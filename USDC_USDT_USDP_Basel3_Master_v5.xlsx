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SDC_RAW" sheetId="1" state="visible" r:id="rId1"/>
    <sheet xmlns:r="http://schemas.openxmlformats.org/officeDocument/2006/relationships" name="USDT_RAW" sheetId="2" state="visible" r:id="rId2"/>
    <sheet xmlns:r="http://schemas.openxmlformats.org/officeDocument/2006/relationships" name="USDP_RAW" sheetId="3" state="visible" r:id="rId3"/>
    <sheet xmlns:r="http://schemas.openxmlformats.org/officeDocument/2006/relationships" name="Coverage_Status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Yield_Curve" sheetId="6" state="visible" r:id="rId6"/>
    <sheet xmlns:r="http://schemas.openxmlformats.org/officeDocument/2006/relationships" name="Stress_Episodes" sheetId="7" state="visible" r:id="rId7"/>
    <sheet xmlns:r="http://schemas.openxmlformats.org/officeDocument/2006/relationships" name="Supply_Daily" sheetId="8" state="visible" r:id="rId8"/>
    <sheet xmlns:r="http://schemas.openxmlformats.org/officeDocument/2006/relationships" name="Comparison_Quarterly" sheetId="9" state="visible" r:id="rId9"/>
    <sheet xmlns:r="http://schemas.openxmlformats.org/officeDocument/2006/relationships" name="Gold_Monthly" sheetId="10" state="visible" r:id="rId10"/>
    <sheet xmlns:r="http://schemas.openxmlformats.org/officeDocument/2006/relationships" name="BTC_Daily" sheetId="11" state="visible" r:id="rId11"/>
    <sheet xmlns:r="http://schemas.openxmlformats.org/officeDocument/2006/relationships" name="Tether_Equity_Profit" sheetId="12" state="visible" r:id="rId12"/>
    <sheet xmlns:r="http://schemas.openxmlformats.org/officeDocument/2006/relationships" name="Circle_Equity_Profit" sheetId="13" state="visible" r:id="rId13"/>
  </sheets>
  <definedNames>
    <definedName name="_xlnm._FilterDatabase" localSheetId="0" hidden="1">'USDC_RAW'!$A$1:$T$1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yyyy\-mm\-dd"/>
    <numFmt numFmtId="165" formatCode="0.000000"/>
    <numFmt numFmtId="166" formatCode="#,##0;\(#,##0\);\-"/>
    <numFmt numFmtId="167" formatCode="\$#,##0.00"/>
    <numFmt numFmtId="168" formatCode="\$#,##0;&quot;($&quot;#,##0\);\-"/>
    <numFmt numFmtId="169" formatCode="\$#,##0.00;&quot;($&quot;#,##0.00\);\-"/>
    <numFmt numFmtId="170" formatCode="0.0000"/>
    <numFmt numFmtId="171" formatCode="0.000"/>
    <numFmt numFmtId="172" formatCode="#,##0.0"/>
    <numFmt numFmtId="173" formatCode="0.0%"/>
    <numFmt numFmtId="174" formatCode="\$#,##0"/>
    <numFmt numFmtId="175" formatCode="yyyy-mm-dd h:mm:ss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i val="1"/>
      <sz val="8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FFFFFF"/>
      <sz val="11"/>
    </font>
    <font>
      <name val="Cambria"/>
      <charset val="1"/>
      <family val="0"/>
      <b val="1"/>
      <color rgb="FFC00000"/>
      <sz val="12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sz val="11"/>
    </font>
    <font>
      <name val="Arial"/>
      <charset val="1"/>
      <family val="0"/>
      <b val="1"/>
      <sz val="10"/>
    </font>
    <font>
      <name val="Cambria"/>
      <charset val="1"/>
      <family val="0"/>
      <b val="1"/>
      <color rgb="FFFFFFFF"/>
      <sz val="11"/>
    </font>
    <font>
      <b val="1"/>
      <sz val="12"/>
    </font>
    <font>
      <i val="1"/>
      <color rgb="00666666"/>
      <sz val="9"/>
    </font>
    <font>
      <b val="1"/>
      <color rgb="00FFFFFF"/>
      <sz val="10"/>
    </font>
    <font>
      <b val="1"/>
    </font>
    <font>
      <i val="1"/>
      <color rgb="00444444"/>
      <sz val="9"/>
    </font>
  </fonts>
  <fills count="27">
    <fill>
      <patternFill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FCE4D6"/>
        <bgColor rgb="FFFFEBEE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7F0F9"/>
      </patternFill>
    </fill>
    <fill>
      <patternFill patternType="solid">
        <fgColor rgb="FFE2EFDA"/>
        <bgColor rgb="FFE8F5E9"/>
      </patternFill>
    </fill>
    <fill>
      <patternFill patternType="solid">
        <fgColor rgb="FFF4CCCC"/>
        <bgColor rgb="FFFFCDD2"/>
      </patternFill>
    </fill>
    <fill>
      <patternFill patternType="solid">
        <fgColor rgb="FFFFFF00"/>
        <bgColor rgb="FFFFE0B2"/>
      </patternFill>
    </fill>
    <fill>
      <patternFill patternType="solid">
        <fgColor rgb="FFC6EFCE"/>
        <bgColor rgb="FFC8E6C9"/>
      </patternFill>
    </fill>
    <fill>
      <patternFill patternType="solid">
        <fgColor rgb="FF1F4E78"/>
        <bgColor rgb="FF1F4E79"/>
      </patternFill>
    </fill>
    <fill>
      <patternFill patternType="solid">
        <fgColor rgb="FF305496"/>
        <bgColor rgb="FF1F4E79"/>
      </patternFill>
    </fill>
    <fill>
      <patternFill patternType="solid">
        <fgColor rgb="FFFFEBEE"/>
        <bgColor rgb="FFFCE4D6"/>
      </patternFill>
    </fill>
    <fill>
      <patternFill patternType="solid">
        <fgColor rgb="FFE8F5E9"/>
        <bgColor rgb="FFF0F7E7"/>
      </patternFill>
    </fill>
    <fill>
      <patternFill patternType="solid">
        <fgColor rgb="FFE7F0F9"/>
        <bgColor rgb="FFE8F1F8"/>
      </patternFill>
    </fill>
    <fill>
      <patternFill patternType="solid">
        <fgColor rgb="FFF0F7E7"/>
        <bgColor rgb="FFE8F5E9"/>
      </patternFill>
    </fill>
    <fill>
      <patternFill patternType="solid">
        <fgColor rgb="FFFFE0B2"/>
        <bgColor rgb="FFFCE4D6"/>
      </patternFill>
    </fill>
    <fill>
      <patternFill patternType="solid">
        <fgColor rgb="FFC8E6C9"/>
        <bgColor rgb="FFC6EFCE"/>
      </patternFill>
    </fill>
    <fill>
      <patternFill patternType="solid">
        <fgColor rgb="FFFFCDD2"/>
        <bgColor rgb="FFF4CCCC"/>
      </patternFill>
    </fill>
    <fill>
      <patternFill patternType="solid">
        <fgColor rgb="FFD9E2F3"/>
        <bgColor rgb="FFDDEBF7"/>
      </patternFill>
    </fill>
    <fill>
      <patternFill patternType="solid">
        <fgColor rgb="FFF4F7FB"/>
        <bgColor rgb="FFF0F7E7"/>
      </patternFill>
    </fill>
    <fill>
      <patternFill patternType="solid">
        <fgColor rgb="FFE8F1F8"/>
        <bgColor rgb="FFE7F0F9"/>
      </patternFill>
    </fill>
    <fill>
      <patternFill patternType="solid">
        <fgColor rgb="FFC00000"/>
        <bgColor rgb="FFCC0000"/>
      </patternFill>
    </fill>
    <fill>
      <patternFill patternType="solid">
        <fgColor rgb="FF375623"/>
        <bgColor rgb="FF333300"/>
      </patternFill>
    </fill>
    <fill>
      <patternFill patternType="solid">
        <fgColor rgb="FF8B6914"/>
        <bgColor rgb="FF808080"/>
      </patternFill>
    </fill>
    <fill>
      <patternFill patternType="solid">
        <fgColor rgb="FFF7931A"/>
        <bgColor rgb="FFFF6600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1" fontId="7" fillId="7" borderId="1" applyAlignment="1" pivotButton="0" quotePrefix="0" xfId="0">
      <alignment horizontal="left" vertical="center"/>
    </xf>
    <xf numFmtId="0" fontId="0" fillId="8" borderId="0" applyAlignment="1" pivotButton="0" quotePrefix="0" xfId="0">
      <alignment horizontal="general" vertical="bottom"/>
    </xf>
    <xf numFmtId="164" fontId="0" fillId="8" borderId="0" applyAlignment="1" pivotButton="0" quotePrefix="0" xfId="0">
      <alignment horizontal="general" vertical="bottom"/>
    </xf>
    <xf numFmtId="1" fontId="0" fillId="8" borderId="0" applyAlignment="1" pivotButton="0" quotePrefix="0" xfId="0">
      <alignment horizontal="general" vertical="bottom"/>
    </xf>
    <xf numFmtId="3" fontId="0" fillId="8" borderId="0" applyAlignment="1" pivotButton="0" quotePrefix="0" xfId="0">
      <alignment horizontal="general" vertical="bottom"/>
    </xf>
    <xf numFmtId="165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164" fontId="0" fillId="9" borderId="0" applyAlignment="1" pivotButton="0" quotePrefix="0" xfId="0">
      <alignment horizontal="general" vertical="bottom"/>
    </xf>
    <xf numFmtId="1" fontId="0" fillId="9" borderId="0" applyAlignment="1" pivotButton="0" quotePrefix="0" xfId="0">
      <alignment horizontal="general" vertical="bottom"/>
    </xf>
    <xf numFmtId="3" fontId="0" fillId="9" borderId="0" applyAlignment="1" pivotButton="0" quotePrefix="0" xfId="0">
      <alignment horizontal="general" vertical="bottom"/>
    </xf>
    <xf numFmtId="165" fontId="0" fillId="9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center" vertical="bottom" wrapText="1"/>
    </xf>
    <xf numFmtId="0" fontId="0" fillId="12" borderId="0" applyAlignment="1" pivotButton="0" quotePrefix="0" xfId="0">
      <alignment horizontal="general" vertical="bottom"/>
    </xf>
    <xf numFmtId="164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167" fontId="0" fillId="12" borderId="0" applyAlignment="1" pivotButton="0" quotePrefix="0" xfId="0">
      <alignment horizontal="general" vertical="bottom"/>
    </xf>
    <xf numFmtId="168" fontId="0" fillId="12" borderId="0" applyAlignment="1" pivotButton="0" quotePrefix="0" xfId="0">
      <alignment horizontal="general" vertical="bottom"/>
    </xf>
    <xf numFmtId="169" fontId="0" fillId="12" borderId="0" applyAlignment="1" pivotButton="0" quotePrefix="0" xfId="0">
      <alignment horizontal="general" vertical="bottom"/>
    </xf>
    <xf numFmtId="170" fontId="0" fillId="12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164" fontId="0" fillId="13" borderId="0" applyAlignment="1" pivotButton="0" quotePrefix="0" xfId="0">
      <alignment horizontal="general" vertical="bottom"/>
    </xf>
    <xf numFmtId="4" fontId="0" fillId="13" borderId="0" applyAlignment="1" pivotButton="0" quotePrefix="0" xfId="0">
      <alignment horizontal="general" vertical="bottom"/>
    </xf>
    <xf numFmtId="167" fontId="0" fillId="13" borderId="0" applyAlignment="1" pivotButton="0" quotePrefix="0" xfId="0">
      <alignment horizontal="general" vertical="bottom"/>
    </xf>
    <xf numFmtId="168" fontId="0" fillId="13" borderId="0" applyAlignment="1" pivotButton="0" quotePrefix="0" xfId="0">
      <alignment horizontal="general" vertical="bottom"/>
    </xf>
    <xf numFmtId="169" fontId="0" fillId="13" borderId="0" applyAlignment="1" pivotButton="0" quotePrefix="0" xfId="0">
      <alignment horizontal="general" vertical="bottom"/>
    </xf>
    <xf numFmtId="17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left" vertical="top" wrapText="1"/>
    </xf>
    <xf numFmtId="0" fontId="0" fillId="15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10" fillId="1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bottom"/>
    </xf>
    <xf numFmtId="0" fontId="12" fillId="19" borderId="0" applyAlignment="1" pivotButton="0" quotePrefix="0" xfId="0">
      <alignment horizontal="general" vertical="bottom"/>
    </xf>
    <xf numFmtId="0" fontId="12" fillId="2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3" fillId="11" borderId="0" applyAlignment="1" pivotButton="0" quotePrefix="0" xfId="0">
      <alignment horizontal="center" vertical="bottom" wrapText="1"/>
    </xf>
    <xf numFmtId="0" fontId="13" fillId="2" borderId="0" applyAlignment="1" pivotButton="0" quotePrefix="0" xfId="0">
      <alignment horizontal="center" vertical="bottom" wrapText="1"/>
    </xf>
    <xf numFmtId="0" fontId="0" fillId="21" borderId="0" applyAlignment="1" pivotButton="0" quotePrefix="0" xfId="0">
      <alignment horizontal="general" vertical="top" wrapText="1"/>
    </xf>
    <xf numFmtId="171" fontId="0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0" fontId="4" fillId="23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general" vertical="bottom"/>
    </xf>
    <xf numFmtId="0" fontId="8" fillId="24" borderId="0" applyAlignment="1" pivotButton="0" quotePrefix="0" xfId="0">
      <alignment horizontal="center" vertical="bottom"/>
    </xf>
    <xf numFmtId="167" fontId="0" fillId="0" borderId="0" applyAlignment="1" pivotButton="0" quotePrefix="0" xfId="0">
      <alignment horizontal="general" vertical="bottom"/>
    </xf>
    <xf numFmtId="0" fontId="8" fillId="25" borderId="0" applyAlignment="1" pivotButton="0" quotePrefix="0" xfId="0">
      <alignment horizontal="center" vertical="bottom"/>
    </xf>
    <xf numFmtId="17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1" fontId="7" fillId="7" borderId="1" applyAlignment="1" pivotButton="0" quotePrefix="0" xfId="0">
      <alignment horizontal="left" vertical="center"/>
    </xf>
    <xf numFmtId="0" fontId="0" fillId="8" borderId="0" applyAlignment="1" pivotButton="0" quotePrefix="0" xfId="0">
      <alignment horizontal="general" vertical="bottom"/>
    </xf>
    <xf numFmtId="164" fontId="0" fillId="8" borderId="0" applyAlignment="1" pivotButton="0" quotePrefix="0" xfId="0">
      <alignment horizontal="general" vertical="bottom"/>
    </xf>
    <xf numFmtId="1" fontId="0" fillId="8" borderId="0" applyAlignment="1" pivotButton="0" quotePrefix="0" xfId="0">
      <alignment horizontal="general" vertical="bottom"/>
    </xf>
    <xf numFmtId="3" fontId="0" fillId="8" borderId="0" applyAlignment="1" pivotButton="0" quotePrefix="0" xfId="0">
      <alignment horizontal="general" vertical="bottom"/>
    </xf>
    <xf numFmtId="165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164" fontId="0" fillId="9" borderId="0" applyAlignment="1" pivotButton="0" quotePrefix="0" xfId="0">
      <alignment horizontal="general" vertical="bottom"/>
    </xf>
    <xf numFmtId="1" fontId="0" fillId="9" borderId="0" applyAlignment="1" pivotButton="0" quotePrefix="0" xfId="0">
      <alignment horizontal="general" vertical="bottom"/>
    </xf>
    <xf numFmtId="3" fontId="0" fillId="9" borderId="0" applyAlignment="1" pivotButton="0" quotePrefix="0" xfId="0">
      <alignment horizontal="general" vertical="bottom"/>
    </xf>
    <xf numFmtId="165" fontId="0" fillId="9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center" vertical="bottom" wrapText="1"/>
    </xf>
    <xf numFmtId="0" fontId="0" fillId="12" borderId="0" applyAlignment="1" pivotButton="0" quotePrefix="0" xfId="0">
      <alignment horizontal="general" vertical="bottom"/>
    </xf>
    <xf numFmtId="164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167" fontId="0" fillId="12" borderId="0" applyAlignment="1" pivotButton="0" quotePrefix="0" xfId="0">
      <alignment horizontal="general" vertical="bottom"/>
    </xf>
    <xf numFmtId="168" fontId="0" fillId="12" borderId="0" applyAlignment="1" pivotButton="0" quotePrefix="0" xfId="0">
      <alignment horizontal="general" vertical="bottom"/>
    </xf>
    <xf numFmtId="169" fontId="0" fillId="12" borderId="0" applyAlignment="1" pivotButton="0" quotePrefix="0" xfId="0">
      <alignment horizontal="general" vertical="bottom"/>
    </xf>
    <xf numFmtId="170" fontId="0" fillId="12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164" fontId="0" fillId="13" borderId="0" applyAlignment="1" pivotButton="0" quotePrefix="0" xfId="0">
      <alignment horizontal="general" vertical="bottom"/>
    </xf>
    <xf numFmtId="4" fontId="0" fillId="13" borderId="0" applyAlignment="1" pivotButton="0" quotePrefix="0" xfId="0">
      <alignment horizontal="general" vertical="bottom"/>
    </xf>
    <xf numFmtId="167" fontId="0" fillId="13" borderId="0" applyAlignment="1" pivotButton="0" quotePrefix="0" xfId="0">
      <alignment horizontal="general" vertical="bottom"/>
    </xf>
    <xf numFmtId="168" fontId="0" fillId="13" borderId="0" applyAlignment="1" pivotButton="0" quotePrefix="0" xfId="0">
      <alignment horizontal="general" vertical="bottom"/>
    </xf>
    <xf numFmtId="169" fontId="0" fillId="13" borderId="0" applyAlignment="1" pivotButton="0" quotePrefix="0" xfId="0">
      <alignment horizontal="general" vertical="bottom"/>
    </xf>
    <xf numFmtId="170" fontId="0" fillId="13" borderId="0" applyAlignment="1" pivotButton="0" quotePrefix="0" xfId="0">
      <alignment horizontal="general" vertical="bottom"/>
    </xf>
    <xf numFmtId="175" fontId="0" fillId="0" borderId="0" pivotButton="0" quotePrefix="0" xfId="0"/>
    <xf numFmtId="0" fontId="0" fillId="14" borderId="0" applyAlignment="1" pivotButton="0" quotePrefix="0" xfId="0">
      <alignment horizontal="left" vertical="top" wrapText="1"/>
    </xf>
    <xf numFmtId="0" fontId="0" fillId="15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10" fillId="1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bottom"/>
    </xf>
    <xf numFmtId="0" fontId="12" fillId="19" borderId="0" applyAlignment="1" pivotButton="0" quotePrefix="0" xfId="0">
      <alignment horizontal="general" vertical="bottom"/>
    </xf>
    <xf numFmtId="0" fontId="12" fillId="2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3" fillId="11" borderId="0" applyAlignment="1" pivotButton="0" quotePrefix="0" xfId="0">
      <alignment horizontal="center" vertical="bottom" wrapText="1"/>
    </xf>
    <xf numFmtId="0" fontId="13" fillId="2" borderId="0" applyAlignment="1" pivotButton="0" quotePrefix="0" xfId="0">
      <alignment horizontal="center" vertical="bottom" wrapText="1"/>
    </xf>
    <xf numFmtId="0" fontId="0" fillId="21" borderId="0" applyAlignment="1" pivotButton="0" quotePrefix="0" xfId="0">
      <alignment horizontal="general" vertical="top" wrapText="1"/>
    </xf>
    <xf numFmtId="171" fontId="0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0" fontId="4" fillId="23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general" vertical="bottom"/>
    </xf>
    <xf numFmtId="0" fontId="8" fillId="24" borderId="0" applyAlignment="1" pivotButton="0" quotePrefix="0" xfId="0">
      <alignment horizontal="center" vertical="bottom"/>
    </xf>
    <xf numFmtId="167" fontId="0" fillId="0" borderId="0" applyAlignment="1" pivotButton="0" quotePrefix="0" xfId="0">
      <alignment horizontal="general" vertical="bottom"/>
    </xf>
    <xf numFmtId="0" fontId="8" fillId="25" borderId="0" applyAlignment="1" pivotButton="0" quotePrefix="0" xfId="0">
      <alignment horizontal="center" vertical="bottom"/>
    </xf>
    <xf numFmtId="174" fontId="0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15" fillId="0" borderId="0" applyAlignment="1" pivotButton="0" quotePrefix="0" xfId="0">
      <alignment wrapText="1"/>
    </xf>
    <xf numFmtId="0" fontId="16" fillId="26" borderId="2" applyAlignment="1" pivotButton="0" quotePrefix="0" xfId="0">
      <alignment horizontal="center" wrapText="1"/>
    </xf>
    <xf numFmtId="0" fontId="17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18" fillId="0" borderId="2" applyAlignment="1" pivotButton="0" quotePrefix="0" xfId="0">
      <alignment horizontal="left"/>
    </xf>
    <xf numFmtId="3" fontId="0" fillId="0" borderId="2" applyAlignment="1" pivotButton="0" quotePrefix="0" xfId="0">
      <alignment horizontal="right"/>
    </xf>
    <xf numFmtId="0" fontId="15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B6914"/>
      <rgbColor rgb="FF800080"/>
      <rgbColor rgb="FF008080"/>
      <rgbColor rgb="FFBFBFBF"/>
      <rgbColor rgb="FF808080"/>
      <rgbColor rgb="FFE7F0F9"/>
      <rgbColor rgb="FF993366"/>
      <rgbColor rgb="FFFFF2CC"/>
      <rgbColor rgb="FFDDEBF7"/>
      <rgbColor rgb="FF660066"/>
      <rgbColor rgb="FFFFEBEE"/>
      <rgbColor rgb="FF1F4E79"/>
      <rgbColor rgb="FFD9E2F3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5E9"/>
      <rgbColor rgb="FFC6EFCE"/>
      <rgbColor rgb="FFF0F7E7"/>
      <rgbColor rgb="FFC8E6C9"/>
      <rgbColor rgb="FFF4CCCC"/>
      <rgbColor rgb="FFFFCDD2"/>
      <rgbColor rgb="FFFFE0B2"/>
      <rgbColor rgb="FF3366FF"/>
      <rgbColor rgb="FF33CCCC"/>
      <rgbColor rgb="FFF4F7FB"/>
      <rgbColor rgb="FFFCE4D6"/>
      <rgbColor rgb="FFF7931A"/>
      <rgbColor rgb="FFFF6600"/>
      <rgbColor rgb="FF666699"/>
      <rgbColor rgb="FFE8F1F8"/>
      <rgbColor rgb="FF1F4E78"/>
      <rgbColor rgb="FF339966"/>
      <rgbColor rgb="FF003300"/>
      <rgbColor rgb="FF333300"/>
      <rgbColor rgb="FF993300"/>
      <rgbColor rgb="FF993366"/>
      <rgbColor rgb="FF305496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0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4" min="1" max="1"/>
    <col width="9" customWidth="1" style="94" min="2" max="2"/>
    <col width="12" customWidth="1" style="94" min="3" max="3"/>
    <col width="11" customWidth="1" style="94" min="4" max="4"/>
    <col width="6" customWidth="1" style="94" min="5" max="5"/>
    <col width="16" customWidth="1" style="94" min="6" max="6"/>
    <col width="22" customWidth="1" style="94" min="7" max="7"/>
    <col width="28" customWidth="1" style="94" min="8" max="8"/>
    <col width="16" customWidth="1" style="94" min="9" max="13"/>
    <col width="14" customWidth="1" style="94" min="14" max="14"/>
    <col width="20" customWidth="1" style="94" min="15" max="15"/>
    <col width="14" customWidth="1" style="94" min="16" max="16"/>
    <col width="8" customWidth="1" style="94" min="17" max="17"/>
    <col width="11" customWidth="1" style="94" min="18" max="18"/>
    <col width="7" customWidth="1" style="94" min="19" max="19"/>
    <col width="60" customWidth="1" style="94" min="20" max="20"/>
  </cols>
  <sheetData>
    <row r="1" ht="34.5" customHeight="1" s="95">
      <c r="A1" s="96" t="inlineStr">
        <is>
          <t>Row_ID</t>
        </is>
      </c>
      <c r="B1" s="96" t="inlineStr">
        <is>
          <t>Month</t>
        </is>
      </c>
      <c r="C1" s="96" t="inlineStr">
        <is>
          <t>Report_Date</t>
        </is>
      </c>
      <c r="D1" s="96" t="inlineStr">
        <is>
          <t>Date_Type</t>
        </is>
      </c>
      <c r="E1" s="96" t="inlineStr">
        <is>
          <t>Year</t>
        </is>
      </c>
      <c r="F1" s="96" t="inlineStr">
        <is>
          <t>Auditor</t>
        </is>
      </c>
      <c r="G1" s="96" t="inlineStr">
        <is>
          <t>Assurance_Type</t>
        </is>
      </c>
      <c r="H1" s="96" t="inlineStr">
        <is>
          <t>Legal_Entity</t>
        </is>
      </c>
      <c r="I1" s="96" t="inlineStr">
        <is>
          <t>USDC_Circulation</t>
        </is>
      </c>
      <c r="J1" s="96" t="inlineStr">
        <is>
          <t>Total_Assets</t>
        </is>
      </c>
      <c r="K1" s="96" t="inlineStr">
        <is>
          <t>Total_Liabilities</t>
        </is>
      </c>
      <c r="L1" s="96" t="inlineStr">
        <is>
          <t>MMF_NAV</t>
        </is>
      </c>
      <c r="M1" s="96" t="inlineStr">
        <is>
          <t>US_Tbills_in_Fund</t>
        </is>
      </c>
      <c r="N1" s="96" t="inlineStr">
        <is>
          <t>Reverse_Repos</t>
        </is>
      </c>
      <c r="O1" s="96" t="inlineStr">
        <is>
          <t>Cash_Deposits_Outside_Fund</t>
        </is>
      </c>
      <c r="P1" s="96" t="inlineStr">
        <is>
          <t>Equity_Implied</t>
        </is>
      </c>
      <c r="Q1" s="96" t="inlineStr">
        <is>
          <t>ALR</t>
        </is>
      </c>
      <c r="R1" s="96" t="inlineStr">
        <is>
          <t>Disclosure_Quality_Tier</t>
        </is>
      </c>
      <c r="S1" s="96" t="inlineStr">
        <is>
          <t>Counterparty_Risk_Score</t>
        </is>
      </c>
      <c r="T1" s="96" t="inlineStr">
        <is>
          <t>Notes</t>
        </is>
      </c>
    </row>
    <row r="2" ht="15" customHeight="1" s="95">
      <c r="A2" s="97" t="inlineStr">
        <is>
          <t>2020-01</t>
        </is>
      </c>
      <c r="B2" s="97" t="inlineStr">
        <is>
          <t>Jan-20</t>
        </is>
      </c>
      <c r="C2" s="98" t="inlineStr">
        <is>
          <t>2020-01-31</t>
        </is>
      </c>
      <c r="D2" s="97" t="inlineStr">
        <is>
          <t>Month-End</t>
        </is>
      </c>
      <c r="E2" s="99" t="n">
        <v>2020</v>
      </c>
      <c r="F2" s="100" t="inlineStr">
        <is>
          <t>Grant Thornton</t>
        </is>
      </c>
      <c r="G2" s="100" t="inlineStr">
        <is>
          <t>Examination (AICPA AT-C 205)</t>
        </is>
      </c>
      <c r="H2" s="100" t="inlineStr">
        <is>
          <t>Circle Internet Financial, LLC</t>
        </is>
      </c>
      <c r="I2" s="101" t="n">
        <v>440715490</v>
      </c>
      <c r="J2" s="101" t="n">
        <v>440780676</v>
      </c>
      <c r="K2" s="101" t="n">
        <v>440715490</v>
      </c>
      <c r="L2" s="101" t="n">
        <v>0</v>
      </c>
      <c r="M2" s="101" t="n">
        <v>0</v>
      </c>
      <c r="N2" s="101" t="n">
        <v>0</v>
      </c>
      <c r="O2" s="101" t="n">
        <v>0</v>
      </c>
      <c r="P2" s="101">
        <f>J2-K2</f>
        <v/>
      </c>
      <c r="Q2" s="102">
        <f>IFERROR(J2/K2,"")</f>
        <v/>
      </c>
      <c r="R2" s="100" t="inlineStr">
        <is>
          <t>Tier 2</t>
        </is>
      </c>
      <c r="S2" s="103" t="n">
        <v>0</v>
      </c>
      <c r="T2" s="104" t="inlineStr">
        <is>
          <t>Exact totals; no asset sub-breakdown; reserves at federally insured US depository institutions</t>
        </is>
      </c>
    </row>
    <row r="3" ht="15" customHeight="1" s="95">
      <c r="A3" s="97" t="inlineStr">
        <is>
          <t>2020-02</t>
        </is>
      </c>
      <c r="B3" s="97" t="inlineStr">
        <is>
          <t>Feb-20</t>
        </is>
      </c>
      <c r="C3" s="98" t="inlineStr">
        <is>
          <t>2020-02-29</t>
        </is>
      </c>
      <c r="D3" s="97" t="inlineStr">
        <is>
          <t>Month-End</t>
        </is>
      </c>
      <c r="E3" s="99" t="n">
        <v>2020</v>
      </c>
      <c r="F3" s="100" t="inlineStr">
        <is>
          <t>Grant Thornton</t>
        </is>
      </c>
      <c r="G3" s="100" t="inlineStr">
        <is>
          <t>Examination (AICPA AT-C 205)</t>
        </is>
      </c>
      <c r="H3" s="100" t="inlineStr">
        <is>
          <t>Circle Internet Financial, LLC</t>
        </is>
      </c>
      <c r="I3" s="101" t="n">
        <v>444800620</v>
      </c>
      <c r="J3" s="101" t="n">
        <v>451257764</v>
      </c>
      <c r="K3" s="101" t="n">
        <v>444800620</v>
      </c>
      <c r="L3" s="101" t="n">
        <v>0</v>
      </c>
      <c r="M3" s="101" t="n">
        <v>0</v>
      </c>
      <c r="N3" s="101" t="n">
        <v>0</v>
      </c>
      <c r="O3" s="101" t="n">
        <v>0</v>
      </c>
      <c r="P3" s="101">
        <f>J3-K3</f>
        <v/>
      </c>
      <c r="Q3" s="102">
        <f>IFERROR(J3/K3,"")</f>
        <v/>
      </c>
      <c r="R3" s="100" t="inlineStr">
        <is>
          <t>Tier 2</t>
        </is>
      </c>
      <c r="S3" s="103" t="n">
        <v>0</v>
      </c>
      <c r="T3" s="104" t="inlineStr">
        <is>
          <t>Unusually large equity buffer ~1.45% – timing/rounding artefact</t>
        </is>
      </c>
    </row>
    <row r="4" ht="15" customHeight="1" s="95">
      <c r="A4" s="97" t="inlineStr">
        <is>
          <t>2020-03</t>
        </is>
      </c>
      <c r="B4" s="97" t="inlineStr">
        <is>
          <t>Mar-20</t>
        </is>
      </c>
      <c r="C4" s="98" t="inlineStr">
        <is>
          <t>2020-03-31</t>
        </is>
      </c>
      <c r="D4" s="97" t="inlineStr">
        <is>
          <t>Month-End</t>
        </is>
      </c>
      <c r="E4" s="99" t="n">
        <v>2020</v>
      </c>
      <c r="F4" s="100" t="inlineStr">
        <is>
          <t>Grant Thornton</t>
        </is>
      </c>
      <c r="G4" s="100" t="inlineStr">
        <is>
          <t>Examination (AICPA AT-C 205)</t>
        </is>
      </c>
      <c r="H4" s="100" t="inlineStr">
        <is>
          <t>Circle Internet Financial, LLC</t>
        </is>
      </c>
      <c r="I4" s="101" t="n">
        <v>692955272</v>
      </c>
      <c r="J4" s="101" t="n">
        <v>693685964</v>
      </c>
      <c r="K4" s="101" t="n">
        <v>692955272</v>
      </c>
      <c r="L4" s="101" t="n">
        <v>0</v>
      </c>
      <c r="M4" s="101" t="n">
        <v>0</v>
      </c>
      <c r="N4" s="101" t="n">
        <v>0</v>
      </c>
      <c r="O4" s="101" t="n">
        <v>0</v>
      </c>
      <c r="P4" s="101">
        <f>J4-K4</f>
        <v/>
      </c>
      <c r="Q4" s="102">
        <f>IFERROR(J4/K4,"")</f>
        <v/>
      </c>
      <c r="R4" s="100" t="inlineStr">
        <is>
          <t>Tier 2</t>
        </is>
      </c>
      <c r="S4" s="103" t="n">
        <v>0</v>
      </c>
      <c r="T4" s="104" t="n"/>
    </row>
    <row r="5" ht="15" customHeight="1" s="95">
      <c r="A5" s="97" t="inlineStr">
        <is>
          <t>2020-04</t>
        </is>
      </c>
      <c r="B5" s="97" t="inlineStr">
        <is>
          <t>Apr-20</t>
        </is>
      </c>
      <c r="C5" s="98" t="inlineStr">
        <is>
          <t>2020-04-30</t>
        </is>
      </c>
      <c r="D5" s="97" t="inlineStr">
        <is>
          <t>Month-End</t>
        </is>
      </c>
      <c r="E5" s="99" t="n">
        <v>2020</v>
      </c>
      <c r="F5" s="100" t="inlineStr">
        <is>
          <t>Grant Thornton</t>
        </is>
      </c>
      <c r="G5" s="100" t="inlineStr">
        <is>
          <t>Examination (AICPA AT-C 205)</t>
        </is>
      </c>
      <c r="H5" s="100" t="inlineStr">
        <is>
          <t>Circle Internet Financial, LLC</t>
        </is>
      </c>
      <c r="I5" s="101" t="n">
        <v>726804679</v>
      </c>
      <c r="J5" s="101" t="n">
        <v>727324351</v>
      </c>
      <c r="K5" s="101" t="n">
        <v>726804679</v>
      </c>
      <c r="L5" s="101" t="n">
        <v>0</v>
      </c>
      <c r="M5" s="101" t="n">
        <v>0</v>
      </c>
      <c r="N5" s="101" t="n">
        <v>0</v>
      </c>
      <c r="O5" s="101" t="n">
        <v>0</v>
      </c>
      <c r="P5" s="101">
        <f>J5-K5</f>
        <v/>
      </c>
      <c r="Q5" s="102">
        <f>IFERROR(J5/K5,"")</f>
        <v/>
      </c>
      <c r="R5" s="100" t="inlineStr">
        <is>
          <t>Tier 2</t>
        </is>
      </c>
      <c r="S5" s="103" t="n">
        <v>0</v>
      </c>
      <c r="T5" s="104" t="n"/>
    </row>
    <row r="6" ht="15" customHeight="1" s="95">
      <c r="A6" s="97" t="inlineStr">
        <is>
          <t>2020-05</t>
        </is>
      </c>
      <c r="B6" s="97" t="inlineStr">
        <is>
          <t>May-20</t>
        </is>
      </c>
      <c r="C6" s="98" t="inlineStr">
        <is>
          <t>2020-05-31</t>
        </is>
      </c>
      <c r="D6" s="97" t="inlineStr">
        <is>
          <t>Month-End</t>
        </is>
      </c>
      <c r="E6" s="99" t="n">
        <v>2020</v>
      </c>
      <c r="F6" s="100" t="inlineStr">
        <is>
          <t>Grant Thornton</t>
        </is>
      </c>
      <c r="G6" s="100" t="inlineStr">
        <is>
          <t>Examination (AICPA AT-C 205)</t>
        </is>
      </c>
      <c r="H6" s="100" t="inlineStr">
        <is>
          <t>Circle Internet Financial, LLC</t>
        </is>
      </c>
      <c r="I6" s="101" t="n">
        <v>730800467</v>
      </c>
      <c r="J6" s="101" t="n">
        <v>746657617</v>
      </c>
      <c r="K6" s="101" t="n">
        <v>730800467</v>
      </c>
      <c r="L6" s="101" t="n">
        <v>0</v>
      </c>
      <c r="M6" s="101" t="n">
        <v>0</v>
      </c>
      <c r="N6" s="101" t="n">
        <v>0</v>
      </c>
      <c r="O6" s="101" t="n">
        <v>0</v>
      </c>
      <c r="P6" s="101">
        <f>J6-K6</f>
        <v/>
      </c>
      <c r="Q6" s="102">
        <f>IFERROR(J6/K6,"")</f>
        <v/>
      </c>
      <c r="R6" s="100" t="inlineStr">
        <is>
          <t>Tier 2</t>
        </is>
      </c>
      <c r="S6" s="103" t="n">
        <v>0</v>
      </c>
      <c r="T6" s="104" t="inlineStr">
        <is>
          <t>Large equity buffer ~2.17% – timing artefact</t>
        </is>
      </c>
    </row>
    <row r="7" ht="15" customHeight="1" s="95">
      <c r="A7" s="97" t="inlineStr">
        <is>
          <t>2020-06</t>
        </is>
      </c>
      <c r="B7" s="97" t="inlineStr">
        <is>
          <t>Jun-20</t>
        </is>
      </c>
      <c r="C7" s="98" t="inlineStr">
        <is>
          <t>2020-06-30</t>
        </is>
      </c>
      <c r="D7" s="97" t="inlineStr">
        <is>
          <t>Month-End</t>
        </is>
      </c>
      <c r="E7" s="99" t="n">
        <v>2020</v>
      </c>
      <c r="F7" s="100" t="inlineStr">
        <is>
          <t>Grant Thornton</t>
        </is>
      </c>
      <c r="G7" s="100" t="inlineStr">
        <is>
          <t>Examination (AICPA AT-C 205)</t>
        </is>
      </c>
      <c r="H7" s="100" t="inlineStr">
        <is>
          <t>Circle Internet Financial, LLC</t>
        </is>
      </c>
      <c r="I7" s="101" t="n">
        <v>985448435</v>
      </c>
      <c r="J7" s="101" t="n">
        <v>990897799</v>
      </c>
      <c r="K7" s="101" t="n">
        <v>985448435</v>
      </c>
      <c r="L7" s="101" t="n">
        <v>0</v>
      </c>
      <c r="M7" s="101" t="n">
        <v>0</v>
      </c>
      <c r="N7" s="101" t="n">
        <v>0</v>
      </c>
      <c r="O7" s="101" t="n">
        <v>0</v>
      </c>
      <c r="P7" s="101">
        <f>J7-K7</f>
        <v/>
      </c>
      <c r="Q7" s="102">
        <f>IFERROR(J7/K7,"")</f>
        <v/>
      </c>
      <c r="R7" s="100" t="inlineStr">
        <is>
          <t>Tier 2</t>
        </is>
      </c>
      <c r="S7" s="103" t="n">
        <v>0</v>
      </c>
      <c r="T7" s="104" t="n"/>
    </row>
    <row r="8" ht="15" customHeight="1" s="95">
      <c r="A8" s="97" t="inlineStr">
        <is>
          <t>2020-07</t>
        </is>
      </c>
      <c r="B8" s="97" t="inlineStr">
        <is>
          <t>Jul-20</t>
        </is>
      </c>
      <c r="C8" s="98" t="inlineStr">
        <is>
          <t>2020-07-31</t>
        </is>
      </c>
      <c r="D8" s="97" t="inlineStr">
        <is>
          <t>Month-End</t>
        </is>
      </c>
      <c r="E8" s="99" t="n">
        <v>2020</v>
      </c>
      <c r="F8" s="100" t="inlineStr">
        <is>
          <t>Grant Thornton</t>
        </is>
      </c>
      <c r="G8" s="100" t="inlineStr">
        <is>
          <t>Examination (AICPA AT-C 205)</t>
        </is>
      </c>
      <c r="H8" s="100" t="inlineStr">
        <is>
          <t>Circle Internet Financial, LLC</t>
        </is>
      </c>
      <c r="I8" s="101" t="n">
        <v>1082327899</v>
      </c>
      <c r="J8" s="101" t="n">
        <v>1085282837</v>
      </c>
      <c r="K8" s="101" t="n">
        <v>1082327899</v>
      </c>
      <c r="L8" s="101" t="n">
        <v>0</v>
      </c>
      <c r="M8" s="101" t="n">
        <v>0</v>
      </c>
      <c r="N8" s="101" t="n">
        <v>0</v>
      </c>
      <c r="O8" s="101" t="n">
        <v>0</v>
      </c>
      <c r="P8" s="101">
        <f>J8-K8</f>
        <v/>
      </c>
      <c r="Q8" s="102">
        <f>IFERROR(J8/K8,"")</f>
        <v/>
      </c>
      <c r="R8" s="100" t="inlineStr">
        <is>
          <t>Tier 2</t>
        </is>
      </c>
      <c r="S8" s="103" t="n">
        <v>0</v>
      </c>
      <c r="T8" s="104" t="n"/>
    </row>
    <row r="9" ht="15" customHeight="1" s="95">
      <c r="A9" s="97" t="inlineStr">
        <is>
          <t>2020-08</t>
        </is>
      </c>
      <c r="B9" s="97" t="inlineStr">
        <is>
          <t>Aug-20</t>
        </is>
      </c>
      <c r="C9" s="98" t="inlineStr">
        <is>
          <t>2020-08-31</t>
        </is>
      </c>
      <c r="D9" s="97" t="inlineStr">
        <is>
          <t>Month-End</t>
        </is>
      </c>
      <c r="E9" s="99" t="n">
        <v>2020</v>
      </c>
      <c r="F9" s="100" t="inlineStr">
        <is>
          <t>Grant Thornton</t>
        </is>
      </c>
      <c r="G9" s="100" t="inlineStr">
        <is>
          <t>Examination (AICPA AT-C 205)</t>
        </is>
      </c>
      <c r="H9" s="100" t="inlineStr">
        <is>
          <t>Circle Internet Financial, LLC</t>
        </is>
      </c>
      <c r="I9" s="101" t="n">
        <v>1467498769</v>
      </c>
      <c r="J9" s="101" t="n">
        <v>1477969595</v>
      </c>
      <c r="K9" s="101" t="n">
        <v>1467498769</v>
      </c>
      <c r="L9" s="101" t="n">
        <v>0</v>
      </c>
      <c r="M9" s="101" t="n">
        <v>0</v>
      </c>
      <c r="N9" s="101" t="n">
        <v>0</v>
      </c>
      <c r="O9" s="101" t="n">
        <v>0</v>
      </c>
      <c r="P9" s="101">
        <f>J9-K9</f>
        <v/>
      </c>
      <c r="Q9" s="102">
        <f>IFERROR(J9/K9,"")</f>
        <v/>
      </c>
      <c r="R9" s="100" t="inlineStr">
        <is>
          <t>Tier 2</t>
        </is>
      </c>
      <c r="S9" s="103" t="n">
        <v>0</v>
      </c>
      <c r="T9" s="104" t="n"/>
    </row>
    <row r="10" ht="15" customHeight="1" s="95">
      <c r="A10" s="97" t="inlineStr">
        <is>
          <t>2020-09</t>
        </is>
      </c>
      <c r="B10" s="97" t="inlineStr">
        <is>
          <t>Sep-20</t>
        </is>
      </c>
      <c r="C10" s="98" t="inlineStr">
        <is>
          <t>2020-09-30</t>
        </is>
      </c>
      <c r="D10" s="97" t="inlineStr">
        <is>
          <t>Month-End</t>
        </is>
      </c>
      <c r="E10" s="99" t="n">
        <v>2020</v>
      </c>
      <c r="F10" s="100" t="inlineStr">
        <is>
          <t>Grant Thornton</t>
        </is>
      </c>
      <c r="G10" s="100" t="inlineStr">
        <is>
          <t>Examination (AICPA AT-C 205)</t>
        </is>
      </c>
      <c r="H10" s="100" t="inlineStr">
        <is>
          <t>Circle Internet Financial, LLC</t>
        </is>
      </c>
      <c r="I10" s="101" t="n">
        <v>2513941166</v>
      </c>
      <c r="J10" s="101" t="n">
        <v>2515032711</v>
      </c>
      <c r="K10" s="101" t="n">
        <v>2513941166</v>
      </c>
      <c r="L10" s="101" t="n">
        <v>0</v>
      </c>
      <c r="M10" s="101" t="n">
        <v>0</v>
      </c>
      <c r="N10" s="101" t="n">
        <v>0</v>
      </c>
      <c r="O10" s="101" t="n">
        <v>0</v>
      </c>
      <c r="P10" s="101">
        <f>J10-K10</f>
        <v/>
      </c>
      <c r="Q10" s="102">
        <f>IFERROR(J10/K10,"")</f>
        <v/>
      </c>
      <c r="R10" s="100" t="inlineStr">
        <is>
          <t>Tier 2</t>
        </is>
      </c>
      <c r="S10" s="103" t="n">
        <v>0</v>
      </c>
      <c r="T10" s="104" t="n"/>
    </row>
    <row r="11" ht="15" customHeight="1" s="95">
      <c r="A11" s="97" t="inlineStr">
        <is>
          <t>2020-10</t>
        </is>
      </c>
      <c r="B11" s="97" t="inlineStr">
        <is>
          <t>Oct-20</t>
        </is>
      </c>
      <c r="C11" s="98" t="inlineStr">
        <is>
          <t>2020-10-31</t>
        </is>
      </c>
      <c r="D11" s="97" t="inlineStr">
        <is>
          <t>Month-End</t>
        </is>
      </c>
      <c r="E11" s="99" t="n">
        <v>2020</v>
      </c>
      <c r="F11" s="100" t="inlineStr">
        <is>
          <t>Grant Thornton</t>
        </is>
      </c>
      <c r="G11" s="100" t="inlineStr">
        <is>
          <t>Examination (AICPA AT-C 205)</t>
        </is>
      </c>
      <c r="H11" s="100" t="inlineStr">
        <is>
          <t>Circle Internet Financial, LLC</t>
        </is>
      </c>
      <c r="I11" s="101" t="n">
        <v>2971030556</v>
      </c>
      <c r="J11" s="101" t="n">
        <v>2973954847</v>
      </c>
      <c r="K11" s="101" t="n">
        <v>2971030556</v>
      </c>
      <c r="L11" s="101" t="n">
        <v>0</v>
      </c>
      <c r="M11" s="101" t="n">
        <v>0</v>
      </c>
      <c r="N11" s="101" t="n">
        <v>0</v>
      </c>
      <c r="O11" s="101" t="n">
        <v>0</v>
      </c>
      <c r="P11" s="101">
        <f>J11-K11</f>
        <v/>
      </c>
      <c r="Q11" s="102">
        <f>IFERROR(J11/K11,"")</f>
        <v/>
      </c>
      <c r="R11" s="100" t="inlineStr">
        <is>
          <t>Tier 2</t>
        </is>
      </c>
      <c r="S11" s="103" t="n">
        <v>0</v>
      </c>
      <c r="T11" s="104" t="n"/>
    </row>
    <row r="12" ht="15" customHeight="1" s="95">
      <c r="A12" s="97" t="inlineStr">
        <is>
          <t>2020-11</t>
        </is>
      </c>
      <c r="B12" s="97" t="inlineStr">
        <is>
          <t>Nov-20</t>
        </is>
      </c>
      <c r="C12" s="98" t="inlineStr">
        <is>
          <t>2020-11-30</t>
        </is>
      </c>
      <c r="D12" s="97" t="inlineStr">
        <is>
          <t>Month-End</t>
        </is>
      </c>
      <c r="E12" s="99" t="n">
        <v>2020</v>
      </c>
      <c r="F12" s="100" t="inlineStr">
        <is>
          <t>Grant Thornton</t>
        </is>
      </c>
      <c r="G12" s="100" t="inlineStr">
        <is>
          <t>Examination (AICPA AT-C 205)</t>
        </is>
      </c>
      <c r="H12" s="100" t="inlineStr">
        <is>
          <t>Circle Internet Financial, LLC</t>
        </is>
      </c>
      <c r="I12" s="101" t="n">
        <v>3002021340</v>
      </c>
      <c r="J12" s="101" t="n">
        <v>3004921958</v>
      </c>
      <c r="K12" s="101" t="n">
        <v>3002021340</v>
      </c>
      <c r="L12" s="101" t="n">
        <v>0</v>
      </c>
      <c r="M12" s="101" t="n">
        <v>0</v>
      </c>
      <c r="N12" s="101" t="n">
        <v>0</v>
      </c>
      <c r="O12" s="101" t="n">
        <v>0</v>
      </c>
      <c r="P12" s="101">
        <f>J12-K12</f>
        <v/>
      </c>
      <c r="Q12" s="102">
        <f>IFERROR(J12/K12,"")</f>
        <v/>
      </c>
      <c r="R12" s="100" t="inlineStr">
        <is>
          <t>Tier 2</t>
        </is>
      </c>
      <c r="S12" s="103" t="n">
        <v>0</v>
      </c>
      <c r="T12" s="104" t="n"/>
    </row>
    <row r="13" ht="15" customHeight="1" s="95">
      <c r="A13" s="97" t="inlineStr">
        <is>
          <t>2020-12</t>
        </is>
      </c>
      <c r="B13" s="97" t="inlineStr">
        <is>
          <t>Dec-20</t>
        </is>
      </c>
      <c r="C13" s="98" t="inlineStr">
        <is>
          <t>2020-12-31</t>
        </is>
      </c>
      <c r="D13" s="97" t="inlineStr">
        <is>
          <t>Month-End</t>
        </is>
      </c>
      <c r="E13" s="99" t="n">
        <v>2020</v>
      </c>
      <c r="F13" s="100" t="inlineStr">
        <is>
          <t>Grant Thornton</t>
        </is>
      </c>
      <c r="G13" s="100" t="inlineStr">
        <is>
          <t>Examination (AICPA AT-C 205)</t>
        </is>
      </c>
      <c r="H13" s="100" t="inlineStr">
        <is>
          <t>Circle Internet Financial, LLC</t>
        </is>
      </c>
      <c r="I13" s="101" t="n">
        <v>4008397398</v>
      </c>
      <c r="J13" s="101" t="n">
        <v>4011270692</v>
      </c>
      <c r="K13" s="101" t="n">
        <v>4008397398</v>
      </c>
      <c r="L13" s="101" t="n">
        <v>0</v>
      </c>
      <c r="M13" s="101" t="n">
        <v>0</v>
      </c>
      <c r="N13" s="101" t="n">
        <v>0</v>
      </c>
      <c r="O13" s="101" t="n">
        <v>0</v>
      </c>
      <c r="P13" s="101">
        <f>J13-K13</f>
        <v/>
      </c>
      <c r="Q13" s="102">
        <f>IFERROR(J13/K13,"")</f>
        <v/>
      </c>
      <c r="R13" s="100" t="inlineStr">
        <is>
          <t>Tier 2</t>
        </is>
      </c>
      <c r="S13" s="103" t="n">
        <v>0</v>
      </c>
      <c r="T13" s="104" t="n"/>
    </row>
    <row r="14" ht="15" customHeight="1" s="95">
      <c r="A14" s="97" t="inlineStr">
        <is>
          <t>2021-01</t>
        </is>
      </c>
      <c r="B14" s="97" t="inlineStr">
        <is>
          <t>Jan-21</t>
        </is>
      </c>
      <c r="C14" s="98" t="inlineStr">
        <is>
          <t>2021-01-31</t>
        </is>
      </c>
      <c r="D14" s="97" t="inlineStr">
        <is>
          <t>Month-End</t>
        </is>
      </c>
      <c r="E14" s="99" t="n">
        <v>2021</v>
      </c>
      <c r="F14" s="100" t="inlineStr">
        <is>
          <t>Grant Thornton</t>
        </is>
      </c>
      <c r="G14" s="100" t="inlineStr">
        <is>
          <t>Examination (AICPA AT-C 205)</t>
        </is>
      </c>
      <c r="H14" s="100" t="inlineStr">
        <is>
          <t>Circle Internet Financial, LLC</t>
        </is>
      </c>
      <c r="I14" s="101" t="n">
        <v>5970149296</v>
      </c>
      <c r="J14" s="101" t="n">
        <v>6002293927</v>
      </c>
      <c r="K14" s="101" t="n">
        <v>5970149296</v>
      </c>
      <c r="L14" s="101" t="n">
        <v>0</v>
      </c>
      <c r="M14" s="101" t="n">
        <v>0</v>
      </c>
      <c r="N14" s="101" t="n">
        <v>0</v>
      </c>
      <c r="O14" s="101" t="n">
        <v>0</v>
      </c>
      <c r="P14" s="101">
        <f>J14-K14</f>
        <v/>
      </c>
      <c r="Q14" s="102">
        <f>IFERROR(J14/K14,"")</f>
        <v/>
      </c>
      <c r="R14" s="100" t="inlineStr">
        <is>
          <t>Tier 2</t>
        </is>
      </c>
      <c r="S14" s="103" t="n">
        <v>0</v>
      </c>
      <c r="T14" s="104" t="inlineStr">
        <is>
          <t>Exact totals; no breakdown</t>
        </is>
      </c>
    </row>
    <row r="15" ht="15" customHeight="1" s="95">
      <c r="A15" s="97" t="inlineStr">
        <is>
          <t>2021-02</t>
        </is>
      </c>
      <c r="B15" s="97" t="inlineStr">
        <is>
          <t>Feb-21</t>
        </is>
      </c>
      <c r="C15" s="98" t="inlineStr">
        <is>
          <t>2021-02-28</t>
        </is>
      </c>
      <c r="D15" s="97" t="inlineStr">
        <is>
          <t>Month-End</t>
        </is>
      </c>
      <c r="E15" s="99" t="n">
        <v>2021</v>
      </c>
      <c r="F15" s="100" t="inlineStr">
        <is>
          <t>Grant Thornton</t>
        </is>
      </c>
      <c r="G15" s="100" t="inlineStr">
        <is>
          <t>Examination (AICPA AT-C 205)</t>
        </is>
      </c>
      <c r="H15" s="100" t="inlineStr">
        <is>
          <t>Circle Internet Financial, LLC</t>
        </is>
      </c>
      <c r="I15" s="101" t="n">
        <v>9343208228</v>
      </c>
      <c r="J15" s="101" t="n">
        <v>9382986657</v>
      </c>
      <c r="K15" s="101" t="n">
        <v>9343208228</v>
      </c>
      <c r="L15" s="101" t="n">
        <v>0</v>
      </c>
      <c r="M15" s="101" t="n">
        <v>0</v>
      </c>
      <c r="N15" s="101" t="n">
        <v>0</v>
      </c>
      <c r="O15" s="101" t="n">
        <v>0</v>
      </c>
      <c r="P15" s="101">
        <f>J15-K15</f>
        <v/>
      </c>
      <c r="Q15" s="102">
        <f>IFERROR(J15/K15,"")</f>
        <v/>
      </c>
      <c r="R15" s="100" t="inlineStr">
        <is>
          <t>Tier 2</t>
        </is>
      </c>
      <c r="S15" s="103" t="n">
        <v>0</v>
      </c>
      <c r="T15" s="104" t="inlineStr">
        <is>
          <t>Exact totals; no breakdown</t>
        </is>
      </c>
    </row>
    <row r="16" ht="15" customHeight="1" s="95">
      <c r="A16" s="105" t="inlineStr">
        <is>
          <t>2021-03</t>
        </is>
      </c>
      <c r="B16" s="105" t="inlineStr">
        <is>
          <t>Mar-21</t>
        </is>
      </c>
      <c r="C16" s="106" t="inlineStr">
        <is>
          <t>2021-03-31</t>
        </is>
      </c>
      <c r="D16" s="105" t="inlineStr">
        <is>
          <t>Month-End</t>
        </is>
      </c>
      <c r="E16" s="107" t="n">
        <v>2021</v>
      </c>
      <c r="F16" s="108" t="inlineStr">
        <is>
          <t>Grant Thornton</t>
        </is>
      </c>
      <c r="G16" s="108" t="inlineStr">
        <is>
          <t>Examination (AICPA AT-C 205)</t>
        </is>
      </c>
      <c r="H16" s="108" t="inlineStr">
        <is>
          <t>Circle Internet Financial, LLC</t>
        </is>
      </c>
      <c r="I16" s="109" t="n">
        <v>11141404000</v>
      </c>
      <c r="J16" s="110" t="n"/>
      <c r="K16" s="109" t="n">
        <v>11141404000</v>
      </c>
      <c r="L16" s="109" t="n">
        <v>0</v>
      </c>
      <c r="M16" s="109" t="n">
        <v>0</v>
      </c>
      <c r="N16" s="109" t="n">
        <v>0</v>
      </c>
      <c r="O16" s="109" t="n">
        <v>0</v>
      </c>
      <c r="P16" s="110">
        <f>J16-K16</f>
        <v/>
      </c>
      <c r="Q16" s="111">
        <f>IFERROR(J16/K16,"")</f>
        <v/>
      </c>
      <c r="R16" s="108" t="inlineStr">
        <is>
          <t>Tier 1</t>
        </is>
      </c>
      <c r="S16" s="112" t="n">
        <v>0</v>
      </c>
      <c r="T16" s="113" t="inlineStr">
        <is>
          <t>Floor assertion only – 'at least equal to or greater than'; held at federally insured US depository institutions + approved investments; no exact total disclosed</t>
        </is>
      </c>
    </row>
    <row r="17" ht="15" customHeight="1" s="95">
      <c r="A17" s="105" t="inlineStr">
        <is>
          <t>2021-04</t>
        </is>
      </c>
      <c r="B17" s="105" t="inlineStr">
        <is>
          <t>Apr-21</t>
        </is>
      </c>
      <c r="C17" s="106" t="inlineStr">
        <is>
          <t>2021-04-30</t>
        </is>
      </c>
      <c r="D17" s="105" t="inlineStr">
        <is>
          <t>Month-End</t>
        </is>
      </c>
      <c r="E17" s="107" t="n">
        <v>2021</v>
      </c>
      <c r="F17" s="108" t="inlineStr">
        <is>
          <t>Grant Thornton</t>
        </is>
      </c>
      <c r="G17" s="108" t="inlineStr">
        <is>
          <t>Examination (AICPA AT-C 205)</t>
        </is>
      </c>
      <c r="H17" s="108" t="inlineStr">
        <is>
          <t>Circle Internet Financial, LLC</t>
        </is>
      </c>
      <c r="I17" s="109" t="n">
        <v>14697267257</v>
      </c>
      <c r="J17" s="110" t="n"/>
      <c r="K17" s="109" t="n">
        <v>14697267257</v>
      </c>
      <c r="L17" s="109" t="n">
        <v>0</v>
      </c>
      <c r="M17" s="109" t="n">
        <v>0</v>
      </c>
      <c r="N17" s="109" t="n">
        <v>0</v>
      </c>
      <c r="O17" s="109" t="n">
        <v>0</v>
      </c>
      <c r="P17" s="110">
        <f>J17-K17</f>
        <v/>
      </c>
      <c r="Q17" s="111">
        <f>IFERROR(J17/K17,"")</f>
        <v/>
      </c>
      <c r="R17" s="108" t="inlineStr">
        <is>
          <t>Tier 1</t>
        </is>
      </c>
      <c r="S17" s="112" t="n">
        <v>0</v>
      </c>
      <c r="T17" s="113" t="inlineStr">
        <is>
          <t>Floor assertion only; no exact total disclosed</t>
        </is>
      </c>
    </row>
    <row r="18" ht="15" customHeight="1" s="95">
      <c r="A18" s="114" t="inlineStr">
        <is>
          <t>2021-05</t>
        </is>
      </c>
      <c r="B18" s="114" t="inlineStr">
        <is>
          <t>May-21</t>
        </is>
      </c>
      <c r="C18" s="115" t="inlineStr">
        <is>
          <t>2021-05-28</t>
        </is>
      </c>
      <c r="D18" s="114" t="inlineStr">
        <is>
          <t>Month-End</t>
        </is>
      </c>
      <c r="E18" s="116" t="n">
        <v>2021</v>
      </c>
      <c r="F18" s="117" t="inlineStr">
        <is>
          <t>Grant Thornton</t>
        </is>
      </c>
      <c r="G18" s="117" t="inlineStr">
        <is>
          <t>Examination (AICPA AT-C 205)</t>
        </is>
      </c>
      <c r="H18" s="117" t="inlineStr">
        <is>
          <t>Circle Internet Financial, LLC</t>
        </is>
      </c>
      <c r="I18" s="118" t="n">
        <v>22176182251</v>
      </c>
      <c r="J18" s="119" t="n"/>
      <c r="K18" s="118" t="n">
        <v>22176182251</v>
      </c>
      <c r="L18" s="118" t="n">
        <v>0</v>
      </c>
      <c r="M18" s="118" t="n">
        <v>2700000000</v>
      </c>
      <c r="N18" s="118" t="n">
        <v>0</v>
      </c>
      <c r="O18" s="118" t="n">
        <v>13400000000</v>
      </c>
      <c r="P18" s="119">
        <f>J18-K18</f>
        <v/>
      </c>
      <c r="Q18" s="120">
        <f>IFERROR(J18/K18,"")</f>
        <v/>
      </c>
      <c r="R18" s="117" t="inlineStr">
        <is>
          <t>Tier 2b</t>
        </is>
      </c>
      <c r="S18" s="121" t="n">
        <v>0</v>
      </c>
      <c r="T18" s="122" t="inlineStr">
        <is>
          <t>~$bn rounded breakdown: Cash/CE $13.4bn (61%; incl bank deposits + Govt MMFs), Yankee CDs $2.9bn, US Treasuries $2.7bn, CP $2.0bn, Corp Bonds $1.1bn, Munis $0.1bn. NON-T-BILL ASSETS PRESENT.</t>
        </is>
      </c>
    </row>
    <row r="19" ht="15" customHeight="1" s="95">
      <c r="A19" s="114" t="inlineStr">
        <is>
          <t>2021-06</t>
        </is>
      </c>
      <c r="B19" s="114" t="inlineStr">
        <is>
          <t>Jun-21</t>
        </is>
      </c>
      <c r="C19" s="115" t="inlineStr">
        <is>
          <t>2021-06-30</t>
        </is>
      </c>
      <c r="D19" s="114" t="inlineStr">
        <is>
          <t>Month-End</t>
        </is>
      </c>
      <c r="E19" s="116" t="n">
        <v>2021</v>
      </c>
      <c r="F19" s="117" t="inlineStr">
        <is>
          <t>Grant Thornton</t>
        </is>
      </c>
      <c r="G19" s="117" t="inlineStr">
        <is>
          <t>Examination (AICPA AT-C 205)</t>
        </is>
      </c>
      <c r="H19" s="117" t="inlineStr">
        <is>
          <t>Circle Internet Financial, LLC</t>
        </is>
      </c>
      <c r="I19" s="118" t="n">
        <v>25158531650</v>
      </c>
      <c r="J19" s="119" t="n"/>
      <c r="K19" s="118" t="n">
        <v>25158531650</v>
      </c>
      <c r="L19" s="118" t="n">
        <v>0</v>
      </c>
      <c r="M19" s="118" t="n">
        <v>3300000000</v>
      </c>
      <c r="N19" s="118" t="n">
        <v>0</v>
      </c>
      <c r="O19" s="118" t="n">
        <v>11700000000</v>
      </c>
      <c r="P19" s="119">
        <f>J19-K19</f>
        <v/>
      </c>
      <c r="Q19" s="120">
        <f>IFERROR(J19/K19,"")</f>
        <v/>
      </c>
      <c r="R19" s="117" t="inlineStr">
        <is>
          <t>Tier 2b</t>
        </is>
      </c>
      <c r="S19" s="121" t="n">
        <v>0</v>
      </c>
      <c r="T19" s="122" t="inlineStr">
        <is>
          <t>~$bn rounded: Cash/CE $11.7bn (46%), Corp Bonds $4.0bn (16%), Yankee CDs $3.7bn (15%), US Treasuries $3.3bn (13%), CP $2.4bn (10%), Munis $0.1bn. Corp bonds + Yankee CDs + CP = ~40% of reserves.</t>
        </is>
      </c>
    </row>
    <row r="20" ht="15" customHeight="1" s="95">
      <c r="A20" s="114" t="inlineStr">
        <is>
          <t>2021-07</t>
        </is>
      </c>
      <c r="B20" s="114" t="inlineStr">
        <is>
          <t>Jul-21</t>
        </is>
      </c>
      <c r="C20" s="115" t="inlineStr">
        <is>
          <t>2021-07-30</t>
        </is>
      </c>
      <c r="D20" s="114" t="inlineStr">
        <is>
          <t>Month-End</t>
        </is>
      </c>
      <c r="E20" s="116" t="n">
        <v>2021</v>
      </c>
      <c r="F20" s="117" t="inlineStr">
        <is>
          <t>Grant Thornton</t>
        </is>
      </c>
      <c r="G20" s="117" t="inlineStr">
        <is>
          <t>Examination (AICPA AT-C 205)</t>
        </is>
      </c>
      <c r="H20" s="117" t="inlineStr">
        <is>
          <t>Circle Internet Financial, LLC</t>
        </is>
      </c>
      <c r="I20" s="118" t="n">
        <v>27312456821</v>
      </c>
      <c r="J20" s="119" t="n"/>
      <c r="K20" s="118" t="n">
        <v>27312456821</v>
      </c>
      <c r="L20" s="118" t="n">
        <v>0</v>
      </c>
      <c r="M20" s="118" t="n">
        <v>0</v>
      </c>
      <c r="N20" s="118" t="n">
        <v>0</v>
      </c>
      <c r="O20" s="118" t="n">
        <v>0</v>
      </c>
      <c r="P20" s="119">
        <f>J20-K20</f>
        <v/>
      </c>
      <c r="Q20" s="120">
        <f>IFERROR(J20/K20,"")</f>
        <v/>
      </c>
      <c r="R20" s="117" t="inlineStr">
        <is>
          <t>Tier 1</t>
        </is>
      </c>
      <c r="S20" s="121" t="n">
        <v>0</v>
      </c>
      <c r="T20" s="122" t="inlineStr">
        <is>
          <t>Floor assertion only – reserves 'at least equal to' USDC in circulation; no asset breakdown. Report date Jul 30 2021.</t>
        </is>
      </c>
    </row>
    <row r="21" ht="15" customHeight="1" s="95">
      <c r="A21" s="114" t="inlineStr">
        <is>
          <t>2021-08</t>
        </is>
      </c>
      <c r="B21" s="114" t="inlineStr">
        <is>
          <t>Aug-21</t>
        </is>
      </c>
      <c r="C21" s="115" t="inlineStr">
        <is>
          <t>2021-08-31</t>
        </is>
      </c>
      <c r="D21" s="114" t="inlineStr">
        <is>
          <t>Month-End</t>
        </is>
      </c>
      <c r="E21" s="116" t="n">
        <v>2021</v>
      </c>
      <c r="F21" s="117" t="inlineStr">
        <is>
          <t>Grant Thornton</t>
        </is>
      </c>
      <c r="G21" s="117" t="inlineStr">
        <is>
          <t>Examination (AICPA AT-C 205)</t>
        </is>
      </c>
      <c r="H21" s="117" t="inlineStr">
        <is>
          <t>Circle Internet Financial, LLC</t>
        </is>
      </c>
      <c r="I21" s="118" t="n">
        <v>27415446969</v>
      </c>
      <c r="J21" s="119" t="n"/>
      <c r="K21" s="118" t="n">
        <v>27415446969</v>
      </c>
      <c r="L21" s="118" t="n">
        <v>0</v>
      </c>
      <c r="M21" s="118" t="n">
        <v>0</v>
      </c>
      <c r="N21" s="118" t="n">
        <v>0</v>
      </c>
      <c r="O21" s="118" t="n">
        <v>0</v>
      </c>
      <c r="P21" s="119">
        <f>J21-K21</f>
        <v/>
      </c>
      <c r="Q21" s="120">
        <f>IFERROR(J21/K21,"")</f>
        <v/>
      </c>
      <c r="R21" s="117" t="inlineStr">
        <is>
          <t>Tier 2b</t>
        </is>
      </c>
      <c r="S21" s="121" t="n">
        <v>0</v>
      </c>
      <c r="T21" s="122" t="inlineStr">
        <is>
          <t>~$bn breakdown: Cash $25.3bn, US Treasuries $2.2bn approx; first report after Circle announced reserve reform. Exact sub-breakdown approximate.</t>
        </is>
      </c>
    </row>
    <row r="22" ht="15" customHeight="1" s="95">
      <c r="A22" s="114" t="inlineStr">
        <is>
          <t>2021-09</t>
        </is>
      </c>
      <c r="B22" s="114" t="inlineStr">
        <is>
          <t>Sep-21</t>
        </is>
      </c>
      <c r="C22" s="115" t="inlineStr">
        <is>
          <t>2021-09-30</t>
        </is>
      </c>
      <c r="D22" s="114" t="inlineStr">
        <is>
          <t>Month-End</t>
        </is>
      </c>
      <c r="E22" s="116" t="n">
        <v>2021</v>
      </c>
      <c r="F22" s="117" t="inlineStr">
        <is>
          <t>Grant Thornton</t>
        </is>
      </c>
      <c r="G22" s="117" t="inlineStr">
        <is>
          <t>Examination (AICPA AT-C 205)</t>
        </is>
      </c>
      <c r="H22" s="117" t="inlineStr">
        <is>
          <t>Circle Internet Financial, LLC</t>
        </is>
      </c>
      <c r="I22" s="118" t="n">
        <v>31652676021</v>
      </c>
      <c r="J22" s="119" t="n"/>
      <c r="K22" s="118" t="n">
        <v>31652676021</v>
      </c>
      <c r="L22" s="118" t="n">
        <v>0</v>
      </c>
      <c r="M22" s="118" t="n">
        <v>0</v>
      </c>
      <c r="N22" s="118" t="n">
        <v>0</v>
      </c>
      <c r="O22" s="118" t="n">
        <v>31700000000</v>
      </c>
      <c r="P22" s="119">
        <f>J22-K22</f>
        <v/>
      </c>
      <c r="Q22" s="120">
        <f>IFERROR(J22/K22,"")</f>
        <v/>
      </c>
      <c r="R22" s="117" t="inlineStr">
        <is>
          <t>Tier 2b</t>
        </is>
      </c>
      <c r="S22" s="121" t="n">
        <v>0</v>
      </c>
      <c r="T22" s="122" t="inlineStr">
        <is>
          <t>100% Cash &amp; Cash Equivalents ($31.7bn); all other categories 0%. Full pivot to cash post-Aug 2021 reform.</t>
        </is>
      </c>
    </row>
    <row r="23" ht="15" customHeight="1" s="95">
      <c r="A23" s="105" t="inlineStr">
        <is>
          <t>2021-10</t>
        </is>
      </c>
      <c r="B23" s="105" t="inlineStr">
        <is>
          <t>Oct-21</t>
        </is>
      </c>
      <c r="C23" s="106" t="inlineStr">
        <is>
          <t>2021-10-29</t>
        </is>
      </c>
      <c r="D23" s="105" t="inlineStr">
        <is>
          <t>Month-End</t>
        </is>
      </c>
      <c r="E23" s="107" t="n">
        <v>2021</v>
      </c>
      <c r="F23" s="108" t="inlineStr">
        <is>
          <t>Grant Thornton</t>
        </is>
      </c>
      <c r="G23" s="108" t="inlineStr">
        <is>
          <t>Examination (AICPA AT-C 205)</t>
        </is>
      </c>
      <c r="H23" s="108" t="inlineStr">
        <is>
          <t>Circle Internet Financial, LLC</t>
        </is>
      </c>
      <c r="I23" s="109" t="n">
        <v>32976946989</v>
      </c>
      <c r="J23" s="110" t="n"/>
      <c r="K23" s="109" t="n">
        <v>32976946989</v>
      </c>
      <c r="L23" s="109" t="n">
        <v>0</v>
      </c>
      <c r="M23" s="109" t="n">
        <v>0</v>
      </c>
      <c r="N23" s="109" t="n">
        <v>0</v>
      </c>
      <c r="O23" s="109" t="n">
        <v>33000000000</v>
      </c>
      <c r="P23" s="110">
        <f>J23-K23</f>
        <v/>
      </c>
      <c r="Q23" s="111">
        <f>IFERROR(J23/K23,"")</f>
        <v/>
      </c>
      <c r="R23" s="108" t="inlineStr">
        <is>
          <t>Tier 2b</t>
        </is>
      </c>
      <c r="S23" s="112" t="n">
        <v>0</v>
      </c>
      <c r="T23" s="113" t="inlineStr">
        <is>
          <t>100% Cash &amp; Cash Equivalents ($33.0bn). Report date Oct 29 (not month-end).</t>
        </is>
      </c>
    </row>
    <row r="24" ht="15" customHeight="1" s="95">
      <c r="A24" s="105" t="inlineStr">
        <is>
          <t>2021-11</t>
        </is>
      </c>
      <c r="B24" s="105" t="inlineStr">
        <is>
          <t>Nov-21</t>
        </is>
      </c>
      <c r="C24" s="106" t="inlineStr">
        <is>
          <t>2021-11-30</t>
        </is>
      </c>
      <c r="D24" s="105" t="inlineStr">
        <is>
          <t>Month-End</t>
        </is>
      </c>
      <c r="E24" s="107" t="n">
        <v>2021</v>
      </c>
      <c r="F24" s="108" t="inlineStr">
        <is>
          <t>Grant Thornton</t>
        </is>
      </c>
      <c r="G24" s="108" t="inlineStr">
        <is>
          <t>Examination (AICPA AT-C 205)</t>
        </is>
      </c>
      <c r="H24" s="108" t="inlineStr">
        <is>
          <t>Circle Internet Financial, LLC</t>
        </is>
      </c>
      <c r="I24" s="109" t="n">
        <v>38744141217</v>
      </c>
      <c r="J24" s="110" t="n"/>
      <c r="K24" s="109" t="n">
        <v>38744141217</v>
      </c>
      <c r="L24" s="109" t="n">
        <v>0</v>
      </c>
      <c r="M24" s="109" t="n">
        <v>0</v>
      </c>
      <c r="N24" s="109" t="n">
        <v>0</v>
      </c>
      <c r="O24" s="109" t="n">
        <v>0</v>
      </c>
      <c r="P24" s="110">
        <f>J24-K24</f>
        <v/>
      </c>
      <c r="Q24" s="111">
        <f>IFERROR(J24/K24,"")</f>
        <v/>
      </c>
      <c r="R24" s="108" t="inlineStr">
        <is>
          <t>Tier 1</t>
        </is>
      </c>
      <c r="S24" s="112" t="n">
        <v>0</v>
      </c>
      <c r="T24" s="113" t="inlineStr">
        <is>
          <t>Floor only – 'at least equal to'; no breakdown. Criteria narrowed: reserves now limited to cash + short-dated US govt obligations. Access Denied tokens introduced ($1.66M). Tokens Allowed Not Issued: $543.8M.</t>
        </is>
      </c>
    </row>
    <row r="25" ht="15" customHeight="1" s="95">
      <c r="A25" s="105" t="inlineStr">
        <is>
          <t>2021-12</t>
        </is>
      </c>
      <c r="B25" s="105" t="inlineStr">
        <is>
          <t>Dec-21</t>
        </is>
      </c>
      <c r="C25" s="106" t="inlineStr">
        <is>
          <t>2021-12-31</t>
        </is>
      </c>
      <c r="D25" s="105" t="inlineStr">
        <is>
          <t>Month-End</t>
        </is>
      </c>
      <c r="E25" s="107" t="n">
        <v>2021</v>
      </c>
      <c r="F25" s="108" t="inlineStr">
        <is>
          <t>Grant Thornton</t>
        </is>
      </c>
      <c r="G25" s="108" t="inlineStr">
        <is>
          <t>Examination (AICPA AT-C 205)</t>
        </is>
      </c>
      <c r="H25" s="108" t="inlineStr">
        <is>
          <t>Circle Internet Financial, LLC</t>
        </is>
      </c>
      <c r="I25" s="109" t="n">
        <v>42416160651</v>
      </c>
      <c r="J25" s="110" t="n"/>
      <c r="K25" s="109" t="n">
        <v>42416160651</v>
      </c>
      <c r="L25" s="109" t="n">
        <v>0</v>
      </c>
      <c r="M25" s="109" t="n">
        <v>0</v>
      </c>
      <c r="N25" s="109" t="n">
        <v>0</v>
      </c>
      <c r="O25" s="109" t="n">
        <v>0</v>
      </c>
      <c r="P25" s="110">
        <f>J25-K25</f>
        <v/>
      </c>
      <c r="Q25" s="111">
        <f>IFERROR(J25/K25,"")</f>
        <v/>
      </c>
      <c r="R25" s="108" t="inlineStr">
        <is>
          <t>Tier 1</t>
        </is>
      </c>
      <c r="S25" s="112" t="n">
        <v>0</v>
      </c>
      <c r="T25" s="113" t="inlineStr">
        <is>
          <t>MISSING detail – floor assertion only per project summary</t>
        </is>
      </c>
    </row>
    <row r="26" ht="15" customHeight="1" s="95">
      <c r="A26" s="105" t="inlineStr">
        <is>
          <t>2022-01</t>
        </is>
      </c>
      <c r="B26" s="105" t="inlineStr">
        <is>
          <t>Jan-22</t>
        </is>
      </c>
      <c r="C26" s="106" t="inlineStr">
        <is>
          <t>2022-01-31</t>
        </is>
      </c>
      <c r="D26" s="105" t="inlineStr">
        <is>
          <t>Month-End</t>
        </is>
      </c>
      <c r="E26" s="107" t="n">
        <v>2022</v>
      </c>
      <c r="F26" s="108" t="inlineStr">
        <is>
          <t>Grant Thornton</t>
        </is>
      </c>
      <c r="G26" s="108" t="inlineStr">
        <is>
          <t>Examination (AICPA AT-C 205)</t>
        </is>
      </c>
      <c r="H26" s="108" t="inlineStr">
        <is>
          <t>Circle Internet Financial, LLC</t>
        </is>
      </c>
      <c r="I26" s="109" t="n">
        <v>50031478777</v>
      </c>
      <c r="J26" s="110" t="n"/>
      <c r="K26" s="109" t="n">
        <v>50031478777</v>
      </c>
      <c r="L26" s="109" t="n">
        <v>0</v>
      </c>
      <c r="M26" s="109" t="n">
        <v>0</v>
      </c>
      <c r="N26" s="109" t="n">
        <v>0</v>
      </c>
      <c r="O26" s="109" t="n">
        <v>0</v>
      </c>
      <c r="P26" s="110">
        <f>J26-K26</f>
        <v/>
      </c>
      <c r="Q26" s="111">
        <f>IFERROR(J26/K26,"")</f>
        <v/>
      </c>
      <c r="R26" s="108" t="inlineStr">
        <is>
          <t>Tier 1</t>
        </is>
      </c>
      <c r="S26" s="112" t="n">
        <v>0</v>
      </c>
      <c r="T26" s="113" t="inlineStr">
        <is>
          <t>Floor assertion only – no breakdown disclosed</t>
        </is>
      </c>
    </row>
    <row r="27" ht="15" customHeight="1" s="95">
      <c r="A27" s="105" t="inlineStr">
        <is>
          <t>2022-02</t>
        </is>
      </c>
      <c r="B27" s="105" t="inlineStr">
        <is>
          <t>Feb-22</t>
        </is>
      </c>
      <c r="C27" s="106" t="inlineStr">
        <is>
          <t>2022-02-28</t>
        </is>
      </c>
      <c r="D27" s="105" t="inlineStr">
        <is>
          <t>Month-End</t>
        </is>
      </c>
      <c r="E27" s="107" t="n">
        <v>2022</v>
      </c>
      <c r="F27" s="108" t="inlineStr">
        <is>
          <t>Grant Thornton</t>
        </is>
      </c>
      <c r="G27" s="108" t="inlineStr">
        <is>
          <t>Examination (AICPA AT-C 205)</t>
        </is>
      </c>
      <c r="H27" s="108" t="inlineStr">
        <is>
          <t>Circle Internet Financial, LLC</t>
        </is>
      </c>
      <c r="I27" s="109" t="n">
        <v>53496850808</v>
      </c>
      <c r="J27" s="110" t="n"/>
      <c r="K27" s="109" t="n">
        <v>53496850808</v>
      </c>
      <c r="L27" s="109" t="n">
        <v>0</v>
      </c>
      <c r="M27" s="109" t="n">
        <v>0</v>
      </c>
      <c r="N27" s="109" t="n">
        <v>0</v>
      </c>
      <c r="O27" s="109" t="n">
        <v>0</v>
      </c>
      <c r="P27" s="110">
        <f>J27-K27</f>
        <v/>
      </c>
      <c r="Q27" s="111">
        <f>IFERROR(J27/K27,"")</f>
        <v/>
      </c>
      <c r="R27" s="108" t="inlineStr">
        <is>
          <t>Tier 1</t>
        </is>
      </c>
      <c r="S27" s="112" t="n">
        <v>0</v>
      </c>
      <c r="T27" s="113" t="n"/>
    </row>
    <row r="28" ht="15" customHeight="1" s="95">
      <c r="A28" s="105" t="inlineStr">
        <is>
          <t>2022-03</t>
        </is>
      </c>
      <c r="B28" s="105" t="inlineStr">
        <is>
          <t>Mar-22</t>
        </is>
      </c>
      <c r="C28" s="106" t="inlineStr">
        <is>
          <t>2022-03-31</t>
        </is>
      </c>
      <c r="D28" s="105" t="inlineStr">
        <is>
          <t>Month-End</t>
        </is>
      </c>
      <c r="E28" s="107" t="n">
        <v>2022</v>
      </c>
      <c r="F28" s="108" t="inlineStr">
        <is>
          <t>Grant Thornton</t>
        </is>
      </c>
      <c r="G28" s="108" t="inlineStr">
        <is>
          <t>Examination (AICPA AT-C 205)</t>
        </is>
      </c>
      <c r="H28" s="108" t="inlineStr">
        <is>
          <t>Circle Internet Financial, LLC</t>
        </is>
      </c>
      <c r="I28" s="109" t="n">
        <v>51388555903</v>
      </c>
      <c r="J28" s="110" t="n"/>
      <c r="K28" s="109" t="n">
        <v>51388555903</v>
      </c>
      <c r="L28" s="109" t="n">
        <v>0</v>
      </c>
      <c r="M28" s="109" t="n">
        <v>0</v>
      </c>
      <c r="N28" s="109" t="n">
        <v>0</v>
      </c>
      <c r="O28" s="109" t="n">
        <v>0</v>
      </c>
      <c r="P28" s="110">
        <f>J28-K28</f>
        <v/>
      </c>
      <c r="Q28" s="111">
        <f>IFERROR(J28/K28,"")</f>
        <v/>
      </c>
      <c r="R28" s="108" t="inlineStr">
        <is>
          <t>Tier 1</t>
        </is>
      </c>
      <c r="S28" s="112" t="n">
        <v>0</v>
      </c>
      <c r="T28" s="113" t="n"/>
    </row>
    <row r="29" ht="15" customHeight="1" s="95">
      <c r="A29" s="105" t="inlineStr">
        <is>
          <t>2022-04</t>
        </is>
      </c>
      <c r="B29" s="105" t="inlineStr">
        <is>
          <t>Apr-22</t>
        </is>
      </c>
      <c r="C29" s="106" t="inlineStr">
        <is>
          <t>2022-04-30</t>
        </is>
      </c>
      <c r="D29" s="105" t="inlineStr">
        <is>
          <t>Month-End</t>
        </is>
      </c>
      <c r="E29" s="107" t="n">
        <v>2022</v>
      </c>
      <c r="F29" s="108" t="inlineStr">
        <is>
          <t>Grant Thornton</t>
        </is>
      </c>
      <c r="G29" s="108" t="inlineStr">
        <is>
          <t>Examination (AICPA AT-C 205)</t>
        </is>
      </c>
      <c r="H29" s="108" t="inlineStr">
        <is>
          <t>Circle Internet Financial, LLC</t>
        </is>
      </c>
      <c r="I29" s="109" t="n">
        <v>49260105739</v>
      </c>
      <c r="J29" s="110" t="n"/>
      <c r="K29" s="109" t="n">
        <v>49260105739</v>
      </c>
      <c r="L29" s="109" t="n">
        <v>0</v>
      </c>
      <c r="M29" s="109" t="n">
        <v>0</v>
      </c>
      <c r="N29" s="109" t="n">
        <v>0</v>
      </c>
      <c r="O29" s="109" t="n">
        <v>0</v>
      </c>
      <c r="P29" s="110">
        <f>J29-K29</f>
        <v/>
      </c>
      <c r="Q29" s="111">
        <f>IFERROR(J29/K29,"")</f>
        <v/>
      </c>
      <c r="R29" s="108" t="inlineStr">
        <is>
          <t>Tier 1</t>
        </is>
      </c>
      <c r="S29" s="112" t="n">
        <v>0</v>
      </c>
      <c r="T29" s="113" t="n"/>
    </row>
    <row r="30" ht="15" customHeight="1" s="95">
      <c r="A30" s="105" t="inlineStr">
        <is>
          <t>2022-05</t>
        </is>
      </c>
      <c r="B30" s="105" t="inlineStr">
        <is>
          <t>May-22</t>
        </is>
      </c>
      <c r="C30" s="106" t="inlineStr">
        <is>
          <t>2022-05-31</t>
        </is>
      </c>
      <c r="D30" s="105" t="inlineStr">
        <is>
          <t>Month-End</t>
        </is>
      </c>
      <c r="E30" s="107" t="n">
        <v>2022</v>
      </c>
      <c r="F30" s="108" t="inlineStr">
        <is>
          <t>Grant Thornton</t>
        </is>
      </c>
      <c r="G30" s="108" t="inlineStr">
        <is>
          <t>Examination (AICPA AT-C 205)</t>
        </is>
      </c>
      <c r="H30" s="108" t="inlineStr">
        <is>
          <t>Circle Internet Financial, LLC</t>
        </is>
      </c>
      <c r="I30" s="109" t="n">
        <v>54005995420</v>
      </c>
      <c r="J30" s="110" t="n"/>
      <c r="K30" s="109" t="n">
        <v>54005995420</v>
      </c>
      <c r="L30" s="109" t="n">
        <v>0</v>
      </c>
      <c r="M30" s="109" t="n">
        <v>0</v>
      </c>
      <c r="N30" s="109" t="n">
        <v>0</v>
      </c>
      <c r="O30" s="109" t="n">
        <v>0</v>
      </c>
      <c r="P30" s="110">
        <f>J30-K30</f>
        <v/>
      </c>
      <c r="Q30" s="111">
        <f>IFERROR(J30/K30,"")</f>
        <v/>
      </c>
      <c r="R30" s="108" t="inlineStr">
        <is>
          <t>Tier 1</t>
        </is>
      </c>
      <c r="S30" s="112" t="n">
        <v>0</v>
      </c>
      <c r="T30" s="113" t="n"/>
    </row>
    <row r="31" ht="15" customHeight="1" s="95">
      <c r="A31" s="123" t="inlineStr">
        <is>
          <t>2022-06</t>
        </is>
      </c>
      <c r="B31" s="123" t="inlineStr">
        <is>
          <t>Jun-22</t>
        </is>
      </c>
      <c r="C31" s="124" t="inlineStr">
        <is>
          <t>2022-06-30</t>
        </is>
      </c>
      <c r="D31" s="123" t="inlineStr">
        <is>
          <t>Month-End</t>
        </is>
      </c>
      <c r="E31" s="125" t="n">
        <v>2022</v>
      </c>
      <c r="F31" s="126" t="inlineStr">
        <is>
          <t>Grant Thornton</t>
        </is>
      </c>
      <c r="G31" s="126" t="inlineStr">
        <is>
          <t>Examination (AICPA AT-C 205)</t>
        </is>
      </c>
      <c r="H31" s="126" t="inlineStr">
        <is>
          <t>Circle Internet Financial, LLC</t>
        </is>
      </c>
      <c r="I31" s="127" t="n">
        <v>55569660586</v>
      </c>
      <c r="J31" s="127" t="n"/>
      <c r="K31" s="127" t="n">
        <v>55569660586</v>
      </c>
      <c r="L31" s="127" t="n">
        <v>0</v>
      </c>
      <c r="M31" s="127" t="n">
        <v>0</v>
      </c>
      <c r="N31" s="127" t="n">
        <v>0</v>
      </c>
      <c r="O31" s="127" t="n">
        <v>0</v>
      </c>
      <c r="P31" s="127">
        <f>J31-K31</f>
        <v/>
      </c>
      <c r="Q31" s="128">
        <f>IFERROR(J31/K31,"")</f>
        <v/>
      </c>
      <c r="R31" s="126" t="inlineStr">
        <is>
          <t>Tier 1</t>
        </is>
      </c>
      <c r="S31" s="129" t="n">
        <v>0</v>
      </c>
      <c r="T31" s="130" t="n"/>
    </row>
    <row r="32" ht="15" customHeight="1" s="95">
      <c r="A32" s="123" t="inlineStr">
        <is>
          <t>2022-07</t>
        </is>
      </c>
      <c r="B32" s="123" t="inlineStr">
        <is>
          <t>Jul-22</t>
        </is>
      </c>
      <c r="C32" s="124" t="inlineStr">
        <is>
          <t>2022-07-31</t>
        </is>
      </c>
      <c r="D32" s="123" t="inlineStr">
        <is>
          <t>Month-End</t>
        </is>
      </c>
      <c r="E32" s="125" t="n">
        <v>2022</v>
      </c>
      <c r="F32" s="126" t="inlineStr">
        <is>
          <t>Grant Thornton</t>
        </is>
      </c>
      <c r="G32" s="126" t="inlineStr">
        <is>
          <t>Examination (AICPA AT-C 205)</t>
        </is>
      </c>
      <c r="H32" s="126" t="inlineStr">
        <is>
          <t>Circle Internet Financial, LLC</t>
        </is>
      </c>
      <c r="I32" s="127" t="n">
        <v>54488837404</v>
      </c>
      <c r="J32" s="127" t="n">
        <v>54618693479</v>
      </c>
      <c r="K32" s="127" t="n">
        <v>54488837404</v>
      </c>
      <c r="L32" s="127" t="n">
        <v>0</v>
      </c>
      <c r="M32" s="127" t="n">
        <v>42373557970</v>
      </c>
      <c r="N32" s="127" t="n">
        <v>0</v>
      </c>
      <c r="O32" s="127" t="n">
        <v>12245135509</v>
      </c>
      <c r="P32" s="127">
        <f>J32-K32</f>
        <v/>
      </c>
      <c r="Q32" s="128">
        <f>IFERROR(J32/K32,"")</f>
        <v/>
      </c>
      <c r="R32" s="126" t="inlineStr">
        <is>
          <t>Tier 3</t>
        </is>
      </c>
      <c r="S32" s="129" t="n">
        <v>0</v>
      </c>
      <c r="T32" s="130" t="inlineStr">
        <is>
          <t>First full itemized report. 100% direct T-bills + cash. WAM=40.7 days. No MMF yet.</t>
        </is>
      </c>
    </row>
    <row r="33" ht="15" customHeight="1" s="95">
      <c r="A33" s="123" t="inlineStr">
        <is>
          <t>2022-08</t>
        </is>
      </c>
      <c r="B33" s="123" t="inlineStr">
        <is>
          <t>Aug-22</t>
        </is>
      </c>
      <c r="C33" s="124" t="inlineStr">
        <is>
          <t>2022-08-31</t>
        </is>
      </c>
      <c r="D33" s="123" t="inlineStr">
        <is>
          <t>Month-End</t>
        </is>
      </c>
      <c r="E33" s="125" t="n">
        <v>2022</v>
      </c>
      <c r="F33" s="126" t="inlineStr">
        <is>
          <t>Grant Thornton</t>
        </is>
      </c>
      <c r="G33" s="126" t="inlineStr">
        <is>
          <t>Examination (AICPA AT-C 205)</t>
        </is>
      </c>
      <c r="H33" s="126" t="inlineStr">
        <is>
          <t>Circle Internet Financial, LLC</t>
        </is>
      </c>
      <c r="I33" s="127" t="n">
        <v>52258056105</v>
      </c>
      <c r="J33" s="127" t="n">
        <v>52430816552</v>
      </c>
      <c r="K33" s="127" t="n">
        <v>52258056105</v>
      </c>
      <c r="L33" s="127" t="n">
        <v>0</v>
      </c>
      <c r="M33" s="127" t="n">
        <v>43502009230</v>
      </c>
      <c r="N33" s="127" t="n">
        <v>0</v>
      </c>
      <c r="O33" s="127" t="n">
        <v>8928807322</v>
      </c>
      <c r="P33" s="127">
        <f>J33-K33</f>
        <v/>
      </c>
      <c r="Q33" s="128">
        <f>IFERROR(J33/K33,"")</f>
        <v/>
      </c>
      <c r="R33" s="126" t="inlineStr">
        <is>
          <t>Tier 3</t>
        </is>
      </c>
      <c r="S33" s="129" t="n">
        <v>0</v>
      </c>
      <c r="T33" s="130" t="inlineStr">
        <is>
          <t>WAM=39.3 days</t>
        </is>
      </c>
    </row>
    <row r="34" ht="15" customHeight="1" s="95">
      <c r="A34" s="123" t="inlineStr">
        <is>
          <t>2022-09</t>
        </is>
      </c>
      <c r="B34" s="123" t="inlineStr">
        <is>
          <t>Sep-22</t>
        </is>
      </c>
      <c r="C34" s="124" t="inlineStr">
        <is>
          <t>2022-09-30</t>
        </is>
      </c>
      <c r="D34" s="123" t="inlineStr">
        <is>
          <t>Month-End</t>
        </is>
      </c>
      <c r="E34" s="125" t="n">
        <v>2022</v>
      </c>
      <c r="F34" s="126" t="inlineStr">
        <is>
          <t>Grant Thornton</t>
        </is>
      </c>
      <c r="G34" s="126" t="inlineStr">
        <is>
          <t>Examination (AICPA AT-C 205)</t>
        </is>
      </c>
      <c r="H34" s="126" t="inlineStr">
        <is>
          <t>Circle Internet Financial, LLC</t>
        </is>
      </c>
      <c r="I34" s="127" t="n">
        <v>47261819834</v>
      </c>
      <c r="J34" s="127" t="n">
        <v>47479523936</v>
      </c>
      <c r="K34" s="127" t="n">
        <v>47261819834</v>
      </c>
      <c r="L34" s="127" t="n">
        <v>0</v>
      </c>
      <c r="M34" s="127" t="n">
        <v>38266665983</v>
      </c>
      <c r="N34" s="127" t="n">
        <v>0</v>
      </c>
      <c r="O34" s="127" t="n">
        <v>9212857953</v>
      </c>
      <c r="P34" s="127">
        <f>J34-K34</f>
        <v/>
      </c>
      <c r="Q34" s="128">
        <f>IFERROR(J34/K34,"")</f>
        <v/>
      </c>
      <c r="R34" s="126" t="inlineStr">
        <is>
          <t>Tier 3</t>
        </is>
      </c>
      <c r="S34" s="129" t="n">
        <v>0</v>
      </c>
      <c r="T34" s="130" t="inlineStr">
        <is>
          <t>WAM=29.56 days</t>
        </is>
      </c>
    </row>
    <row r="35" ht="15" customHeight="1" s="95">
      <c r="A35" s="123" t="inlineStr">
        <is>
          <t>2022-10</t>
        </is>
      </c>
      <c r="B35" s="123" t="inlineStr">
        <is>
          <t>Oct-22</t>
        </is>
      </c>
      <c r="C35" s="124" t="inlineStr">
        <is>
          <t>2022-10-31</t>
        </is>
      </c>
      <c r="D35" s="123" t="inlineStr">
        <is>
          <t>Month-End</t>
        </is>
      </c>
      <c r="E35" s="125" t="n">
        <v>2022</v>
      </c>
      <c r="F35" s="126" t="inlineStr">
        <is>
          <t>Grant Thornton</t>
        </is>
      </c>
      <c r="G35" s="126" t="inlineStr">
        <is>
          <t>Examination (AICPA AT-C 205)</t>
        </is>
      </c>
      <c r="H35" s="126" t="inlineStr">
        <is>
          <t>Circle Internet Financial, LLC</t>
        </is>
      </c>
      <c r="I35" s="127" t="n">
        <v>43507961021</v>
      </c>
      <c r="J35" s="127" t="n">
        <v>43754958453</v>
      </c>
      <c r="K35" s="127" t="n">
        <v>43507961021</v>
      </c>
      <c r="L35" s="127" t="n">
        <v>0</v>
      </c>
      <c r="M35" s="127" t="n">
        <v>35720049340</v>
      </c>
      <c r="N35" s="127" t="n">
        <v>0</v>
      </c>
      <c r="O35" s="127" t="n">
        <v>8034909113</v>
      </c>
      <c r="P35" s="127">
        <f>J35-K35</f>
        <v/>
      </c>
      <c r="Q35" s="128">
        <f>IFERROR(J35/K35,"")</f>
        <v/>
      </c>
      <c r="R35" s="126" t="inlineStr">
        <is>
          <t>Tier 3</t>
        </is>
      </c>
      <c r="S35" s="129" t="n">
        <v>0</v>
      </c>
      <c r="T35" s="130" t="inlineStr">
        <is>
          <t>WAM=27.8 days. Peak equity buffer 2022.</t>
        </is>
      </c>
    </row>
    <row r="36" ht="15" customHeight="1" s="95">
      <c r="A36" s="123" t="inlineStr">
        <is>
          <t>2022-11</t>
        </is>
      </c>
      <c r="B36" s="123" t="inlineStr">
        <is>
          <t>Nov-22</t>
        </is>
      </c>
      <c r="C36" s="124" t="inlineStr">
        <is>
          <t>2022-11-30</t>
        </is>
      </c>
      <c r="D36" s="123" t="inlineStr">
        <is>
          <t>Month-End</t>
        </is>
      </c>
      <c r="E36" s="125" t="n">
        <v>2022</v>
      </c>
      <c r="F36" s="126" t="inlineStr">
        <is>
          <t>Grant Thornton</t>
        </is>
      </c>
      <c r="G36" s="126" t="inlineStr">
        <is>
          <t>Examination (AICPA AT-C 205)</t>
        </is>
      </c>
      <c r="H36" s="126" t="inlineStr">
        <is>
          <t>Circle Internet Financial, LLC</t>
        </is>
      </c>
      <c r="I36" s="127" t="n">
        <v>43238943390</v>
      </c>
      <c r="J36" s="127" t="n">
        <v>43404329767</v>
      </c>
      <c r="K36" s="127" t="n">
        <v>43238943390</v>
      </c>
      <c r="L36" s="127" t="n">
        <v>12791716189</v>
      </c>
      <c r="M36" s="127" t="n">
        <v>19419592530</v>
      </c>
      <c r="N36" s="127" t="n">
        <v>0</v>
      </c>
      <c r="O36" s="127" t="n">
        <v>11193021048</v>
      </c>
      <c r="P36" s="127">
        <f>J36-K36</f>
        <v/>
      </c>
      <c r="Q36" s="128">
        <f>IFERROR(J36/K36,"")</f>
        <v/>
      </c>
      <c r="R36" s="126" t="inlineStr">
        <is>
          <t>Tier 3</t>
        </is>
      </c>
      <c r="S36" s="129" t="n">
        <v>0</v>
      </c>
      <c r="T36" s="130" t="inlineStr">
        <is>
          <t>Circle Reserve Fund (MMF) introduced. Post-FTX stress period. T-bills now split: $19.4bn direct + $12.8bn in Fund. WAM not reported for split structure.</t>
        </is>
      </c>
    </row>
    <row r="37" ht="15" customHeight="1" s="95">
      <c r="A37" s="123" t="inlineStr">
        <is>
          <t>2022-12</t>
        </is>
      </c>
      <c r="B37" s="123" t="inlineStr">
        <is>
          <t>Dec-22</t>
        </is>
      </c>
      <c r="C37" s="124" t="inlineStr">
        <is>
          <t>2022-12-31</t>
        </is>
      </c>
      <c r="D37" s="123" t="inlineStr">
        <is>
          <t>Month-End</t>
        </is>
      </c>
      <c r="E37" s="125" t="n">
        <v>2022</v>
      </c>
      <c r="F37" s="126" t="inlineStr">
        <is>
          <t>Grant Thornton</t>
        </is>
      </c>
      <c r="G37" s="126" t="inlineStr">
        <is>
          <t>Examination (AICPA AT-C 205)</t>
        </is>
      </c>
      <c r="H37" s="126" t="inlineStr">
        <is>
          <t>Circle Internet Financial, LLC</t>
        </is>
      </c>
      <c r="I37" s="127" t="n">
        <v>44553543212</v>
      </c>
      <c r="J37" s="127" t="n">
        <v>44693963701</v>
      </c>
      <c r="K37" s="127" t="n">
        <v>44553543212</v>
      </c>
      <c r="L37" s="127" t="n">
        <v>23663857053</v>
      </c>
      <c r="M37" s="127" t="n">
        <v>10523715583</v>
      </c>
      <c r="N37" s="127" t="n">
        <v>0</v>
      </c>
      <c r="O37" s="127" t="n">
        <v>10506391065</v>
      </c>
      <c r="P37" s="127">
        <f>J37-K37</f>
        <v/>
      </c>
      <c r="Q37" s="128">
        <f>IFERROR(J37/K37,"")</f>
        <v/>
      </c>
      <c r="R37" s="126" t="inlineStr">
        <is>
          <t>Tier 3</t>
        </is>
      </c>
      <c r="S37" s="131" t="n">
        <v>0</v>
      </c>
      <c r="T37" s="130" t="inlineStr">
        <is>
          <t>MMF dominates: $23.7bn Fund vs $10.5bn direct T-bills. Cash custodians include Signature Bank, Silicon Valley Bank, Silvergate Bank – all failed Mar 2023. Counterparty_Risk_Score=3.</t>
        </is>
      </c>
    </row>
    <row r="38" ht="15" customHeight="1" s="95">
      <c r="A38" s="123" t="inlineStr">
        <is>
          <t>2023-01a</t>
        </is>
      </c>
      <c r="B38" s="123" t="inlineStr">
        <is>
          <t>Jan-23</t>
        </is>
      </c>
      <c r="C38" s="124" t="inlineStr">
        <is>
          <t>2023-01-17</t>
        </is>
      </c>
      <c r="D38" s="123" t="inlineStr">
        <is>
          <t>Mid-Month</t>
        </is>
      </c>
      <c r="E38" s="125" t="n">
        <v>2023</v>
      </c>
      <c r="F38" s="126" t="inlineStr">
        <is>
          <t>Deloitte</t>
        </is>
      </c>
      <c r="G38" s="126" t="inlineStr">
        <is>
          <t>Examination (AICPA AT-C 205)</t>
        </is>
      </c>
      <c r="H38" s="126" t="inlineStr">
        <is>
          <t>Circle Internet Financial, LLC</t>
        </is>
      </c>
      <c r="I38" s="127" t="n">
        <v>43480317534</v>
      </c>
      <c r="J38" s="127" t="n">
        <v>43527811961</v>
      </c>
      <c r="K38" s="127" t="n">
        <v>43480317534</v>
      </c>
      <c r="L38" s="127" t="n">
        <v>33662183796</v>
      </c>
      <c r="M38" s="127" t="n">
        <v>33990667299</v>
      </c>
      <c r="N38" s="127" t="n">
        <v>0</v>
      </c>
      <c r="O38" s="127" t="n">
        <v>9865628165</v>
      </c>
      <c r="P38" s="127">
        <f>J38-K38</f>
        <v/>
      </c>
      <c r="Q38" s="128">
        <f>IFERROR(J38/K38,"")</f>
        <v/>
      </c>
      <c r="R38" s="126" t="inlineStr">
        <is>
          <t>Tier 3</t>
        </is>
      </c>
      <c r="S38" s="131" t="n">
        <v>3</v>
      </c>
      <c r="T38" s="130" t="inlineStr">
        <is>
          <t>Custodians: BNY Mellon, Citizens Trust, Customers Bank, NYCB/Flagstar, SIGNATURE BANK, SILICON VALLEY BANK, SILVERGATE BANK. All 3 failed Mar 2023.</t>
        </is>
      </c>
    </row>
    <row r="39" ht="15" customHeight="1" s="95">
      <c r="A39" s="123" t="inlineStr">
        <is>
          <t>2023-01b</t>
        </is>
      </c>
      <c r="B39" s="123" t="inlineStr">
        <is>
          <t>Jan-23</t>
        </is>
      </c>
      <c r="C39" s="124" t="inlineStr">
        <is>
          <t>2023-01-31</t>
        </is>
      </c>
      <c r="D39" s="123" t="inlineStr">
        <is>
          <t>Month-End</t>
        </is>
      </c>
      <c r="E39" s="125" t="n">
        <v>2023</v>
      </c>
      <c r="F39" s="126" t="inlineStr">
        <is>
          <t>Deloitte</t>
        </is>
      </c>
      <c r="G39" s="126" t="inlineStr">
        <is>
          <t>Examination (AICPA AT-C 205)</t>
        </is>
      </c>
      <c r="H39" s="126" t="inlineStr">
        <is>
          <t>Circle Internet Financial, LLC</t>
        </is>
      </c>
      <c r="I39" s="127" t="n">
        <v>42288053870</v>
      </c>
      <c r="J39" s="127" t="n">
        <v>42335734074</v>
      </c>
      <c r="K39" s="127" t="n">
        <v>42288053870</v>
      </c>
      <c r="L39" s="127" t="n">
        <v>33662183796</v>
      </c>
      <c r="M39" s="127" t="n">
        <v>33723644221</v>
      </c>
      <c r="N39" s="127" t="n">
        <v>0</v>
      </c>
      <c r="O39" s="127" t="n">
        <v>8673550278</v>
      </c>
      <c r="P39" s="127">
        <f>J39-K39</f>
        <v/>
      </c>
      <c r="Q39" s="128">
        <f>IFERROR(J39/K39,"")</f>
        <v/>
      </c>
      <c r="R39" s="126" t="inlineStr">
        <is>
          <t>Tier 3</t>
        </is>
      </c>
      <c r="S39" s="131" t="n">
        <v>3</v>
      </c>
      <c r="T39" s="130" t="inlineStr">
        <is>
          <t>Same custodians as Jan-17</t>
        </is>
      </c>
    </row>
    <row r="40" ht="15" customHeight="1" s="95">
      <c r="A40" s="123" t="inlineStr">
        <is>
          <t>2023-02a</t>
        </is>
      </c>
      <c r="B40" s="123" t="inlineStr">
        <is>
          <t>Feb-23</t>
        </is>
      </c>
      <c r="C40" s="124" t="inlineStr">
        <is>
          <t>2023-02-09</t>
        </is>
      </c>
      <c r="D40" s="123" t="inlineStr">
        <is>
          <t>Mid-Month</t>
        </is>
      </c>
      <c r="E40" s="125" t="n">
        <v>2023</v>
      </c>
      <c r="F40" s="126" t="inlineStr">
        <is>
          <t>Deloitte</t>
        </is>
      </c>
      <c r="G40" s="126" t="inlineStr">
        <is>
          <t>Examination (AICPA AT-C 205)</t>
        </is>
      </c>
      <c r="H40" s="126" t="inlineStr">
        <is>
          <t>Circle Internet Financial, LLC</t>
        </is>
      </c>
      <c r="I40" s="127" t="n">
        <v>41608472554</v>
      </c>
      <c r="J40" s="127" t="n">
        <v>41655443978</v>
      </c>
      <c r="K40" s="127" t="n">
        <v>41608472554</v>
      </c>
      <c r="L40" s="127" t="n">
        <v>32761429018</v>
      </c>
      <c r="M40" s="127" t="n">
        <v>36169306572</v>
      </c>
      <c r="N40" s="127" t="n">
        <v>0</v>
      </c>
      <c r="O40" s="127" t="n">
        <v>8894014960</v>
      </c>
      <c r="P40" s="127">
        <f>J40-K40</f>
        <v/>
      </c>
      <c r="Q40" s="128">
        <f>IFERROR(J40/K40,"")</f>
        <v/>
      </c>
      <c r="R40" s="126" t="inlineStr">
        <is>
          <t>Tier 3</t>
        </is>
      </c>
      <c r="S40" s="131" t="n">
        <v>3</v>
      </c>
      <c r="T40" s="130" t="inlineStr">
        <is>
          <t>Same custodians. Large timing adj in Fund (−$3.7bn).</t>
        </is>
      </c>
    </row>
    <row r="41" ht="15" customHeight="1" s="95">
      <c r="A41" s="123" t="inlineStr">
        <is>
          <t>2023-02b</t>
        </is>
      </c>
      <c r="B41" s="123" t="inlineStr">
        <is>
          <t>Feb-23</t>
        </is>
      </c>
      <c r="C41" s="124" t="inlineStr">
        <is>
          <t>2023-02-28</t>
        </is>
      </c>
      <c r="D41" s="123" t="inlineStr">
        <is>
          <t>Month-End</t>
        </is>
      </c>
      <c r="E41" s="125" t="n">
        <v>2023</v>
      </c>
      <c r="F41" s="126" t="inlineStr">
        <is>
          <t>Deloitte</t>
        </is>
      </c>
      <c r="G41" s="126" t="inlineStr">
        <is>
          <t>Examination (AICPA AT-C 205)</t>
        </is>
      </c>
      <c r="H41" s="126" t="inlineStr">
        <is>
          <t>Circle Internet Financial, LLC</t>
        </is>
      </c>
      <c r="I41" s="127" t="n">
        <v>42404871070</v>
      </c>
      <c r="J41" s="127" t="n">
        <v>42456417425</v>
      </c>
      <c r="K41" s="127" t="n">
        <v>42404871070</v>
      </c>
      <c r="L41" s="127" t="n">
        <v>31866013384</v>
      </c>
      <c r="M41" s="127" t="n">
        <v>31677326857</v>
      </c>
      <c r="N41" s="127" t="n">
        <v>0</v>
      </c>
      <c r="O41" s="127" t="n">
        <v>10590404041</v>
      </c>
      <c r="P41" s="127">
        <f>J41-K41</f>
        <v/>
      </c>
      <c r="Q41" s="128">
        <f>IFERROR(J41/K41,"")</f>
        <v/>
      </c>
      <c r="R41" s="126" t="inlineStr">
        <is>
          <t>Tier 3</t>
        </is>
      </c>
      <c r="S41" s="131" t="n">
        <v>3</v>
      </c>
      <c r="T41" s="130" t="inlineStr">
        <is>
          <t>Same custodians</t>
        </is>
      </c>
    </row>
    <row r="42" ht="15" customHeight="1" s="95">
      <c r="A42" s="123" t="inlineStr">
        <is>
          <t>2023-03a</t>
        </is>
      </c>
      <c r="B42" s="123" t="inlineStr">
        <is>
          <t>Mar-23</t>
        </is>
      </c>
      <c r="C42" s="124" t="inlineStr">
        <is>
          <t>2023-03-06</t>
        </is>
      </c>
      <c r="D42" s="123" t="inlineStr">
        <is>
          <t>Mid-Month</t>
        </is>
      </c>
      <c r="E42" s="125" t="n">
        <v>2023</v>
      </c>
      <c r="F42" s="126" t="inlineStr">
        <is>
          <t>Deloitte</t>
        </is>
      </c>
      <c r="G42" s="126" t="inlineStr">
        <is>
          <t>Examination (AICPA AT-C 205)</t>
        </is>
      </c>
      <c r="H42" s="126" t="inlineStr">
        <is>
          <t>Circle Internet Financial, LLC</t>
        </is>
      </c>
      <c r="I42" s="127" t="n">
        <v>43744257742</v>
      </c>
      <c r="J42" s="127" t="n">
        <v>43799077411</v>
      </c>
      <c r="K42" s="127" t="n">
        <v>43744257742</v>
      </c>
      <c r="L42" s="127" t="n">
        <v>32366463626</v>
      </c>
      <c r="M42" s="127" t="n">
        <v>38533882466</v>
      </c>
      <c r="N42" s="127" t="n">
        <v>0</v>
      </c>
      <c r="O42" s="127" t="n">
        <v>11432613785</v>
      </c>
      <c r="P42" s="127">
        <f>J42-K42</f>
        <v/>
      </c>
      <c r="Q42" s="128">
        <f>IFERROR(J42/K42,"")</f>
        <v/>
      </c>
      <c r="R42" s="126" t="inlineStr">
        <is>
          <t>Tier 3</t>
        </is>
      </c>
      <c r="S42" s="129" t="n">
        <v>3</v>
      </c>
      <c r="T42" s="130" t="inlineStr">
        <is>
          <t>LAST date with Signature/SVB/Silvergate as custodians. Banks failed March 8-12 2023.</t>
        </is>
      </c>
    </row>
    <row r="43" ht="15" customHeight="1" s="95">
      <c r="A43" s="123" t="inlineStr">
        <is>
          <t>2023-03b</t>
        </is>
      </c>
      <c r="B43" s="123" t="inlineStr">
        <is>
          <t>Mar-23</t>
        </is>
      </c>
      <c r="C43" s="124" t="inlineStr">
        <is>
          <t>2023-03-31</t>
        </is>
      </c>
      <c r="D43" s="123" t="inlineStr">
        <is>
          <t>Month-End</t>
        </is>
      </c>
      <c r="E43" s="125" t="n">
        <v>2023</v>
      </c>
      <c r="F43" s="126" t="inlineStr">
        <is>
          <t>Deloitte</t>
        </is>
      </c>
      <c r="G43" s="126" t="inlineStr">
        <is>
          <t>Examination (AICPA AT-C 205)</t>
        </is>
      </c>
      <c r="H43" s="126" t="inlineStr">
        <is>
          <t>Circle Internet Financial, LLC</t>
        </is>
      </c>
      <c r="I43" s="127" t="n">
        <v>32518607650</v>
      </c>
      <c r="J43" s="127" t="n">
        <v>32571701308</v>
      </c>
      <c r="K43" s="127" t="n">
        <v>32518607650</v>
      </c>
      <c r="L43" s="127" t="n">
        <v>28886160100</v>
      </c>
      <c r="M43" s="127" t="n">
        <v>28510534939</v>
      </c>
      <c r="N43" s="127" t="n">
        <v>0</v>
      </c>
      <c r="O43" s="127" t="n">
        <v>3685541208</v>
      </c>
      <c r="P43" s="127">
        <f>J43-K43</f>
        <v/>
      </c>
      <c r="Q43" s="128">
        <f>IFERROR(J43/K43,"")</f>
        <v/>
      </c>
      <c r="R43" s="126" t="inlineStr">
        <is>
          <t>Tier 3</t>
        </is>
      </c>
      <c r="S43" s="129" t="n">
        <v>0</v>
      </c>
      <c r="T43" s="130" t="inlineStr">
        <is>
          <t>POST-CRISIS: custodians now only BNY Mellon, Cross River Bank, Customers Bank. USDC dropped ~$11bn (−25%) due to SVB depegging event. Cash_Deposits collapsed from $11.4bn to $3.7bn.</t>
        </is>
      </c>
    </row>
    <row r="44" ht="15" customHeight="1" s="95">
      <c r="A44" s="123" t="inlineStr">
        <is>
          <t>2023-04a</t>
        </is>
      </c>
      <c r="B44" s="123" t="inlineStr">
        <is>
          <t>Apr-23</t>
        </is>
      </c>
      <c r="C44" s="124" t="inlineStr">
        <is>
          <t>2023-04-14</t>
        </is>
      </c>
      <c r="D44" s="123" t="inlineStr">
        <is>
          <t>Mid-Month</t>
        </is>
      </c>
      <c r="E44" s="125" t="n">
        <v>2023</v>
      </c>
      <c r="F44" s="126" t="inlineStr">
        <is>
          <t>Deloitte</t>
        </is>
      </c>
      <c r="G44" s="126" t="inlineStr">
        <is>
          <t>Examination (AICPA AT-C 205)</t>
        </is>
      </c>
      <c r="H44" s="126" t="inlineStr">
        <is>
          <t>Circle Internet Financial, LLC</t>
        </is>
      </c>
      <c r="I44" s="127" t="n">
        <v>31823007385</v>
      </c>
      <c r="J44" s="127" t="n">
        <v>31882385258</v>
      </c>
      <c r="K44" s="127" t="n">
        <v>31823007385</v>
      </c>
      <c r="L44" s="127" t="n">
        <v>27392444316</v>
      </c>
      <c r="M44" s="127" t="n">
        <v>26649100634</v>
      </c>
      <c r="N44" s="127" t="n">
        <v>0</v>
      </c>
      <c r="O44" s="127" t="n">
        <v>4489940942</v>
      </c>
      <c r="P44" s="127">
        <f>J44-K44</f>
        <v/>
      </c>
      <c r="Q44" s="128">
        <f>IFERROR(J44/K44,"")</f>
        <v/>
      </c>
      <c r="R44" s="126" t="inlineStr">
        <is>
          <t>Tier 3</t>
        </is>
      </c>
      <c r="S44" s="129" t="n">
        <v>0</v>
      </c>
      <c r="T44" s="130" t="inlineStr">
        <is>
          <t>&gt;90% cash at BNY Mellon</t>
        </is>
      </c>
    </row>
    <row r="45" ht="15" customHeight="1" s="95">
      <c r="A45" s="123" t="inlineStr">
        <is>
          <t>2023-04b</t>
        </is>
      </c>
      <c r="B45" s="123" t="inlineStr">
        <is>
          <t>Apr-23</t>
        </is>
      </c>
      <c r="C45" s="124" t="inlineStr">
        <is>
          <t>2023-04-28</t>
        </is>
      </c>
      <c r="D45" s="123" t="inlineStr">
        <is>
          <t>Month-End</t>
        </is>
      </c>
      <c r="E45" s="125" t="n">
        <v>2023</v>
      </c>
      <c r="F45" s="126" t="inlineStr">
        <is>
          <t>Deloitte</t>
        </is>
      </c>
      <c r="G45" s="126" t="inlineStr">
        <is>
          <t>Examination (AICPA AT-C 205)</t>
        </is>
      </c>
      <c r="H45" s="126" t="inlineStr">
        <is>
          <t>Circle Internet Financial, LLC</t>
        </is>
      </c>
      <c r="I45" s="127" t="n">
        <v>30494122886</v>
      </c>
      <c r="J45" s="127" t="n">
        <v>30546069033</v>
      </c>
      <c r="K45" s="127" t="n">
        <v>30494122886</v>
      </c>
      <c r="L45" s="127" t="n">
        <v>25384915350</v>
      </c>
      <c r="M45" s="127" t="n">
        <v>30142388334</v>
      </c>
      <c r="N45" s="127" t="n">
        <v>0</v>
      </c>
      <c r="O45" s="127" t="n">
        <v>5161153683</v>
      </c>
      <c r="P45" s="127">
        <f>J45-K45</f>
        <v/>
      </c>
      <c r="Q45" s="128">
        <f>IFERROR(J45/K45,"")</f>
        <v/>
      </c>
      <c r="R45" s="126" t="inlineStr">
        <is>
          <t>Tier 3</t>
        </is>
      </c>
      <c r="S45" s="129" t="n">
        <v>0</v>
      </c>
      <c r="T45" s="130" t="inlineStr">
        <is>
          <t>Large timing adj in Fund (−$6.8bn). No Repos yet.</t>
        </is>
      </c>
    </row>
    <row r="46" ht="15" customHeight="1" s="95">
      <c r="A46" s="123" t="inlineStr">
        <is>
          <t>2023-05a</t>
        </is>
      </c>
      <c r="B46" s="123" t="inlineStr">
        <is>
          <t>May-23</t>
        </is>
      </c>
      <c r="C46" s="124" t="inlineStr">
        <is>
          <t>2023-05-23</t>
        </is>
      </c>
      <c r="D46" s="123" t="inlineStr">
        <is>
          <t>Mid-Month</t>
        </is>
      </c>
      <c r="E46" s="125" t="n">
        <v>2023</v>
      </c>
      <c r="F46" s="126" t="inlineStr">
        <is>
          <t>Deloitte</t>
        </is>
      </c>
      <c r="G46" s="126" t="inlineStr">
        <is>
          <t>Examination (AICPA AT-C 205)</t>
        </is>
      </c>
      <c r="H46" s="126" t="inlineStr">
        <is>
          <t>Circle Internet Financial, LLC</t>
        </is>
      </c>
      <c r="I46" s="127" t="n">
        <v>29253219927</v>
      </c>
      <c r="J46" s="127" t="n">
        <v>29309652268</v>
      </c>
      <c r="K46" s="127" t="n">
        <v>29253219927</v>
      </c>
      <c r="L46" s="127" t="n">
        <v>26789463823</v>
      </c>
      <c r="M46" s="127" t="n">
        <v>11751483932</v>
      </c>
      <c r="N46" s="127" t="n">
        <v>13106000000</v>
      </c>
      <c r="O46" s="127" t="n">
        <v>2520188445</v>
      </c>
      <c r="P46" s="127">
        <f>J46-K46</f>
        <v/>
      </c>
      <c r="Q46" s="128">
        <f>IFERROR(J46/K46,"")</f>
        <v/>
      </c>
      <c r="R46" s="126" t="inlineStr">
        <is>
          <t>Tier 3</t>
        </is>
      </c>
      <c r="S46" s="129" t="n">
        <v>0</v>
      </c>
      <c r="T46" s="130" t="inlineStr">
        <is>
          <t>CRF: T-bills $11.8bn, Repos $13.1bn. External cash $2.5bn. Post-SVB depeg recovery.</t>
        </is>
      </c>
    </row>
    <row r="47" ht="15" customHeight="1" s="95">
      <c r="A47" s="123" t="inlineStr">
        <is>
          <t>2023-05b</t>
        </is>
      </c>
      <c r="B47" s="123" t="inlineStr">
        <is>
          <t>May-23</t>
        </is>
      </c>
      <c r="C47" s="124" t="inlineStr">
        <is>
          <t>2023-05-31</t>
        </is>
      </c>
      <c r="D47" s="123" t="inlineStr">
        <is>
          <t>Month-End</t>
        </is>
      </c>
      <c r="E47" s="125" t="n">
        <v>2023</v>
      </c>
      <c r="F47" s="126" t="inlineStr">
        <is>
          <t>Deloitte</t>
        </is>
      </c>
      <c r="G47" s="126" t="inlineStr">
        <is>
          <t>Examination (AICPA AT-C 205)</t>
        </is>
      </c>
      <c r="H47" s="126" t="inlineStr">
        <is>
          <t>Circle Internet Financial, LLC</t>
        </is>
      </c>
      <c r="I47" s="127" t="n">
        <v>28870143470</v>
      </c>
      <c r="J47" s="127" t="n">
        <v>28925130135</v>
      </c>
      <c r="K47" s="127" t="n">
        <v>28870143470</v>
      </c>
      <c r="L47" s="127" t="n">
        <v>24787909018</v>
      </c>
      <c r="M47" s="127" t="n">
        <v>0</v>
      </c>
      <c r="N47" s="127" t="n">
        <v>22882000000</v>
      </c>
      <c r="O47" s="127" t="n">
        <v>4137221117</v>
      </c>
      <c r="P47" s="127">
        <f>J47-K47</f>
        <v/>
      </c>
      <c r="Q47" s="128">
        <f>IFERROR(J47/K47,"")</f>
        <v/>
      </c>
      <c r="R47" s="126" t="inlineStr">
        <is>
          <t>Tier 3</t>
        </is>
      </c>
      <c r="S47" s="129" t="n">
        <v>0</v>
      </c>
      <c r="T47" s="130" t="inlineStr">
        <is>
          <t>First date with 100% Repos, ZERO T-bills in CRF. Original (pre-Jun 2) inflection point.</t>
        </is>
      </c>
    </row>
    <row r="48" ht="15" customHeight="1" s="95">
      <c r="A48" s="123" t="inlineStr">
        <is>
          <t>2023-06a</t>
        </is>
      </c>
      <c r="B48" s="123" t="inlineStr">
        <is>
          <t>Jun-23</t>
        </is>
      </c>
      <c r="C48" s="124" t="inlineStr">
        <is>
          <t>2023-06-02</t>
        </is>
      </c>
      <c r="D48" s="123" t="inlineStr">
        <is>
          <t>Mid-Month</t>
        </is>
      </c>
      <c r="E48" s="125" t="n">
        <v>2023</v>
      </c>
      <c r="F48" s="126" t="inlineStr">
        <is>
          <t>Deloitte</t>
        </is>
      </c>
      <c r="G48" s="126" t="inlineStr">
        <is>
          <t>Examination (AICPA AT-C 205)</t>
        </is>
      </c>
      <c r="H48" s="126" t="inlineStr">
        <is>
          <t>Circle Internet Financial, LLC</t>
        </is>
      </c>
      <c r="I48" s="127" t="n">
        <v>28901068322</v>
      </c>
      <c r="J48" s="127" t="n">
        <v>28956055009</v>
      </c>
      <c r="K48" s="127" t="n">
        <v>28901068322</v>
      </c>
      <c r="L48" s="127" t="n">
        <v>24787909019</v>
      </c>
      <c r="M48" s="127" t="n">
        <v>0</v>
      </c>
      <c r="N48" s="127" t="n">
        <v>22794000000</v>
      </c>
      <c r="O48" s="127" t="n">
        <v>4168145990</v>
      </c>
      <c r="P48" s="127">
        <f>J48-K48</f>
        <v/>
      </c>
      <c r="Q48" s="128">
        <f>IFERROR(J48/K48,"")</f>
        <v/>
      </c>
      <c r="R48" s="126" t="inlineStr">
        <is>
          <t>Tier 3</t>
        </is>
      </c>
      <c r="S48" s="129" t="n">
        <v>0</v>
      </c>
      <c r="T48" s="130" t="inlineStr">
        <is>
          <t>FIRST MONTH WITH REPOS. Fund holds ONLY Repos + cash on this date – zero T-bills. Structural shift.</t>
        </is>
      </c>
    </row>
    <row r="49" ht="15" customHeight="1" s="95">
      <c r="A49" s="123" t="inlineStr">
        <is>
          <t>2023-06b</t>
        </is>
      </c>
      <c r="B49" s="123" t="inlineStr">
        <is>
          <t>Jun-23</t>
        </is>
      </c>
      <c r="C49" s="124" t="inlineStr">
        <is>
          <t>2023-06-30</t>
        </is>
      </c>
      <c r="D49" s="123" t="inlineStr">
        <is>
          <t>Month-End</t>
        </is>
      </c>
      <c r="E49" s="125" t="n">
        <v>2023</v>
      </c>
      <c r="F49" s="126" t="inlineStr">
        <is>
          <t>Deloitte</t>
        </is>
      </c>
      <c r="G49" s="126" t="inlineStr">
        <is>
          <t>Examination (AICPA AT-C 205)</t>
        </is>
      </c>
      <c r="H49" s="126" t="inlineStr">
        <is>
          <t>Circle Internet Financial, LLC</t>
        </is>
      </c>
      <c r="I49" s="127" t="n">
        <v>27384351887</v>
      </c>
      <c r="J49" s="127" t="n">
        <v>27439541303</v>
      </c>
      <c r="K49" s="127" t="n">
        <v>27384351887</v>
      </c>
      <c r="L49" s="127" t="n">
        <v>24787996274</v>
      </c>
      <c r="M49" s="127" t="n">
        <v>5432701400</v>
      </c>
      <c r="N49" s="127" t="n">
        <v>18456000000</v>
      </c>
      <c r="O49" s="127" t="n">
        <v>2651545029</v>
      </c>
      <c r="P49" s="127">
        <f>J49-K49</f>
        <v/>
      </c>
      <c r="Q49" s="128">
        <f>IFERROR(J49/K49,"")</f>
        <v/>
      </c>
      <c r="R49" s="126" t="inlineStr">
        <is>
          <t>Tier 3</t>
        </is>
      </c>
      <c r="S49" s="129" t="n">
        <v>0</v>
      </c>
      <c r="T49" s="130" t="inlineStr">
        <is>
          <t>&gt;88% cash at BNY Mellon</t>
        </is>
      </c>
    </row>
    <row r="50" ht="15" customHeight="1" s="95">
      <c r="A50" s="123" t="inlineStr">
        <is>
          <t>2023-07a</t>
        </is>
      </c>
      <c r="B50" s="123" t="inlineStr">
        <is>
          <t>Jul-23</t>
        </is>
      </c>
      <c r="C50" s="124" t="inlineStr">
        <is>
          <t>2023-07-24</t>
        </is>
      </c>
      <c r="D50" s="123" t="inlineStr">
        <is>
          <t>Mid-Month</t>
        </is>
      </c>
      <c r="E50" s="125" t="n">
        <v>2023</v>
      </c>
      <c r="F50" s="126" t="inlineStr">
        <is>
          <t>Deloitte</t>
        </is>
      </c>
      <c r="G50" s="126" t="inlineStr">
        <is>
          <t>Examination (AICPA AT-C 205)</t>
        </is>
      </c>
      <c r="H50" s="126" t="inlineStr">
        <is>
          <t>Circle Internet Financial, LLC</t>
        </is>
      </c>
      <c r="I50" s="127" t="n">
        <v>26624720539</v>
      </c>
      <c r="J50" s="127" t="n">
        <v>26679340412</v>
      </c>
      <c r="K50" s="127" t="n">
        <v>26624720539</v>
      </c>
      <c r="L50" s="127" t="n">
        <v>24787777298</v>
      </c>
      <c r="M50" s="127" t="n">
        <v>8389935085</v>
      </c>
      <c r="N50" s="127" t="n">
        <v>15974000000</v>
      </c>
      <c r="O50" s="127" t="n">
        <v>1891563114</v>
      </c>
      <c r="P50" s="127">
        <f>J50-K50</f>
        <v/>
      </c>
      <c r="Q50" s="128">
        <f>IFERROR(J50/K50,"")</f>
        <v/>
      </c>
      <c r="R50" s="126" t="inlineStr">
        <is>
          <t>Tier 3</t>
        </is>
      </c>
      <c r="S50" s="129" t="n">
        <v>0</v>
      </c>
      <c r="T50" s="130" t="inlineStr">
        <is>
          <t>&gt;87% cash at BNY Mellon</t>
        </is>
      </c>
    </row>
    <row r="51" ht="15" customHeight="1" s="95">
      <c r="A51" s="123" t="inlineStr">
        <is>
          <t>2023-07b</t>
        </is>
      </c>
      <c r="B51" s="123" t="inlineStr">
        <is>
          <t>Jul-23</t>
        </is>
      </c>
      <c r="C51" s="124" t="inlineStr">
        <is>
          <t>2023-07-31</t>
        </is>
      </c>
      <c r="D51" s="123" t="inlineStr">
        <is>
          <t>Month-End</t>
        </is>
      </c>
      <c r="E51" s="125" t="n">
        <v>2023</v>
      </c>
      <c r="F51" s="126" t="inlineStr">
        <is>
          <t>Deloitte</t>
        </is>
      </c>
      <c r="G51" s="126" t="inlineStr">
        <is>
          <t>Examination (AICPA AT-C 205)</t>
        </is>
      </c>
      <c r="H51" s="126" t="inlineStr">
        <is>
          <t>Circle Internet Financial, LLC</t>
        </is>
      </c>
      <c r="I51" s="127" t="n">
        <v>26407355247</v>
      </c>
      <c r="J51" s="127" t="n">
        <v>26462068123</v>
      </c>
      <c r="K51" s="127" t="n">
        <v>26407355247</v>
      </c>
      <c r="L51" s="127" t="n">
        <v>24287767483</v>
      </c>
      <c r="M51" s="127" t="n">
        <v>5950941505</v>
      </c>
      <c r="N51" s="127" t="n">
        <v>17436000000</v>
      </c>
      <c r="O51" s="127" t="n">
        <v>2174300640</v>
      </c>
      <c r="P51" s="127">
        <f>J51-K51</f>
        <v/>
      </c>
      <c r="Q51" s="128">
        <f>IFERROR(J51/K51,"")</f>
        <v/>
      </c>
      <c r="R51" s="126" t="inlineStr">
        <is>
          <t>Tier 3</t>
        </is>
      </c>
      <c r="S51" s="129" t="n">
        <v>0</v>
      </c>
      <c r="T51" s="130" t="inlineStr">
        <is>
          <t>&gt;88% cash at BNY Mellon</t>
        </is>
      </c>
    </row>
    <row r="52" ht="15" customHeight="1" s="95">
      <c r="A52" s="123" t="inlineStr">
        <is>
          <t>2023-08a</t>
        </is>
      </c>
      <c r="B52" s="123" t="inlineStr">
        <is>
          <t>Aug-23</t>
        </is>
      </c>
      <c r="C52" s="124" t="inlineStr">
        <is>
          <t>2023-08-07</t>
        </is>
      </c>
      <c r="D52" s="123" t="inlineStr">
        <is>
          <t>Mid-Month</t>
        </is>
      </c>
      <c r="E52" s="125" t="n">
        <v>2023</v>
      </c>
      <c r="F52" s="126" t="inlineStr">
        <is>
          <t>Deloitte</t>
        </is>
      </c>
      <c r="G52" s="126" t="inlineStr">
        <is>
          <t>Examination (AICPA AT-C 205)</t>
        </is>
      </c>
      <c r="H52" s="126" t="inlineStr">
        <is>
          <t>Circle Internet Financial, LLC</t>
        </is>
      </c>
      <c r="I52" s="127" t="n">
        <v>26065557874</v>
      </c>
      <c r="J52" s="127" t="n">
        <v>26120272363</v>
      </c>
      <c r="K52" s="127" t="n">
        <v>26065557874</v>
      </c>
      <c r="L52" s="127" t="n">
        <v>24287871917</v>
      </c>
      <c r="M52" s="127" t="n">
        <v>8495048102</v>
      </c>
      <c r="N52" s="127" t="n">
        <v>16159000000</v>
      </c>
      <c r="O52" s="127" t="n">
        <v>1832400446</v>
      </c>
      <c r="P52" s="127">
        <f>J52-K52</f>
        <v/>
      </c>
      <c r="Q52" s="128">
        <f>IFERROR(J52/K52,"")</f>
        <v/>
      </c>
      <c r="R52" s="126" t="inlineStr">
        <is>
          <t>Tier 3</t>
        </is>
      </c>
      <c r="S52" s="129" t="n">
        <v>0</v>
      </c>
      <c r="T52" s="130" t="inlineStr">
        <is>
          <t>&gt;78% cash at BNY Mellon</t>
        </is>
      </c>
    </row>
    <row r="53" ht="15" customHeight="1" s="95">
      <c r="A53" s="123" t="inlineStr">
        <is>
          <t>2023-08b</t>
        </is>
      </c>
      <c r="B53" s="123" t="inlineStr">
        <is>
          <t>Aug-23</t>
        </is>
      </c>
      <c r="C53" s="124" t="inlineStr">
        <is>
          <t>2023-08-31</t>
        </is>
      </c>
      <c r="D53" s="123" t="inlineStr">
        <is>
          <t>Month-End</t>
        </is>
      </c>
      <c r="E53" s="125" t="n">
        <v>2023</v>
      </c>
      <c r="F53" s="126" t="inlineStr">
        <is>
          <t>Deloitte</t>
        </is>
      </c>
      <c r="G53" s="126" t="inlineStr">
        <is>
          <t>Examination (AICPA AT-C 205)</t>
        </is>
      </c>
      <c r="H53" s="126" t="inlineStr">
        <is>
          <t>Circle Internet Financial, LLC</t>
        </is>
      </c>
      <c r="I53" s="127" t="n">
        <v>26153201149</v>
      </c>
      <c r="J53" s="127" t="n">
        <v>26205114631</v>
      </c>
      <c r="K53" s="127" t="n">
        <v>26153201149</v>
      </c>
      <c r="L53" s="127" t="n">
        <v>24287971202</v>
      </c>
      <c r="M53" s="127" t="n">
        <v>8857879752</v>
      </c>
      <c r="N53" s="127" t="n">
        <v>14534000000</v>
      </c>
      <c r="O53" s="127" t="n">
        <v>1917143429</v>
      </c>
      <c r="P53" s="127">
        <f>J53-K53</f>
        <v/>
      </c>
      <c r="Q53" s="128">
        <f>IFERROR(J53/K53,"")</f>
        <v/>
      </c>
      <c r="R53" s="126" t="inlineStr">
        <is>
          <t>Tier 3</t>
        </is>
      </c>
      <c r="S53" s="129" t="n">
        <v>0</v>
      </c>
      <c r="T53" s="130" t="inlineStr">
        <is>
          <t>&gt;75% cash at BNY Mellon</t>
        </is>
      </c>
    </row>
    <row r="54" ht="15" customHeight="1" s="95">
      <c r="A54" s="123" t="inlineStr">
        <is>
          <t>2023-09a</t>
        </is>
      </c>
      <c r="B54" s="123" t="inlineStr">
        <is>
          <t>Sep-23</t>
        </is>
      </c>
      <c r="C54" s="124" t="inlineStr">
        <is>
          <t>2023-09-14</t>
        </is>
      </c>
      <c r="D54" s="123" t="inlineStr">
        <is>
          <t>Mid-Month</t>
        </is>
      </c>
      <c r="E54" s="125" t="n">
        <v>2023</v>
      </c>
      <c r="F54" s="126" t="inlineStr">
        <is>
          <t>Deloitte</t>
        </is>
      </c>
      <c r="G54" s="126" t="inlineStr">
        <is>
          <t>Examination (AICPA AT-C 205)</t>
        </is>
      </c>
      <c r="H54" s="126" t="inlineStr">
        <is>
          <t>Circle Internet Financial, LLC</t>
        </is>
      </c>
      <c r="I54" s="127" t="n">
        <v>26060315400</v>
      </c>
      <c r="J54" s="127" t="n">
        <v>26110976432</v>
      </c>
      <c r="K54" s="127" t="n">
        <v>26060315400</v>
      </c>
      <c r="L54" s="127" t="n">
        <v>24286818468</v>
      </c>
      <c r="M54" s="127" t="n">
        <v>11096323514</v>
      </c>
      <c r="N54" s="127" t="n">
        <v>14374000000</v>
      </c>
      <c r="O54" s="127" t="n">
        <v>1824157964</v>
      </c>
      <c r="P54" s="127">
        <f>J54-K54</f>
        <v/>
      </c>
      <c r="Q54" s="128">
        <f>IFERROR(J54/K54,"")</f>
        <v/>
      </c>
      <c r="R54" s="126" t="inlineStr">
        <is>
          <t>Tier 3</t>
        </is>
      </c>
      <c r="S54" s="129" t="n">
        <v>0</v>
      </c>
      <c r="T54" s="130" t="n"/>
    </row>
    <row r="55" ht="15" customHeight="1" s="95">
      <c r="A55" s="123" t="inlineStr">
        <is>
          <t>2023-09b</t>
        </is>
      </c>
      <c r="B55" s="123" t="inlineStr">
        <is>
          <t>Sep-23</t>
        </is>
      </c>
      <c r="C55" s="124" t="inlineStr">
        <is>
          <t>2023-09-29</t>
        </is>
      </c>
      <c r="D55" s="123" t="inlineStr">
        <is>
          <t>Month-End</t>
        </is>
      </c>
      <c r="E55" s="125" t="n">
        <v>2023</v>
      </c>
      <c r="F55" s="126" t="inlineStr">
        <is>
          <t>Deloitte</t>
        </is>
      </c>
      <c r="G55" s="126" t="inlineStr">
        <is>
          <t>Examination (AICPA AT-C 205)</t>
        </is>
      </c>
      <c r="H55" s="126" t="inlineStr">
        <is>
          <t>Circle Internet Financial, LLC</t>
        </is>
      </c>
      <c r="I55" s="127" t="n">
        <v>24973159027</v>
      </c>
      <c r="J55" s="127" t="n">
        <v>25025027673</v>
      </c>
      <c r="K55" s="127" t="n">
        <v>24973159027</v>
      </c>
      <c r="L55" s="127" t="n">
        <v>23787935409</v>
      </c>
      <c r="M55" s="127" t="n">
        <v>8995831228</v>
      </c>
      <c r="N55" s="127" t="n">
        <v>13892000000</v>
      </c>
      <c r="O55" s="127" t="n">
        <v>1237092264</v>
      </c>
      <c r="P55" s="127">
        <f>J55-K55</f>
        <v/>
      </c>
      <c r="Q55" s="128">
        <f>IFERROR(J55/K55,"")</f>
        <v/>
      </c>
      <c r="R55" s="126" t="inlineStr">
        <is>
          <t>Tier 3</t>
        </is>
      </c>
      <c r="S55" s="129" t="n">
        <v>0</v>
      </c>
      <c r="T55" s="130" t="n"/>
    </row>
    <row r="56" ht="15" customHeight="1" s="95">
      <c r="A56" s="123" t="inlineStr">
        <is>
          <t>2023-10a</t>
        </is>
      </c>
      <c r="B56" s="123" t="inlineStr">
        <is>
          <t>Oct-23</t>
        </is>
      </c>
      <c r="C56" s="124" t="inlineStr">
        <is>
          <t>2023-10-05</t>
        </is>
      </c>
      <c r="D56" s="123" t="inlineStr">
        <is>
          <t>Mid-Month</t>
        </is>
      </c>
      <c r="E56" s="125" t="n">
        <v>2023</v>
      </c>
      <c r="F56" s="126" t="inlineStr">
        <is>
          <t>Deloitte</t>
        </is>
      </c>
      <c r="G56" s="126" t="inlineStr">
        <is>
          <t>Examination (AICPA AT-C 205)</t>
        </is>
      </c>
      <c r="H56" s="126" t="inlineStr">
        <is>
          <t>Circle Internet Financial, LLC</t>
        </is>
      </c>
      <c r="I56" s="127" t="n">
        <v>25158423972</v>
      </c>
      <c r="J56" s="127" t="n">
        <v>25209986911</v>
      </c>
      <c r="K56" s="127" t="n">
        <v>25158423972</v>
      </c>
      <c r="L56" s="127" t="n">
        <v>23787720350</v>
      </c>
      <c r="M56" s="127" t="n">
        <v>8348827158</v>
      </c>
      <c r="N56" s="127" t="n">
        <v>14802000000</v>
      </c>
      <c r="O56" s="127" t="n">
        <v>1422266561</v>
      </c>
      <c r="P56" s="127">
        <f>J56-K56</f>
        <v/>
      </c>
      <c r="Q56" s="128">
        <f>IFERROR(J56/K56,"")</f>
        <v/>
      </c>
      <c r="R56" s="126" t="inlineStr">
        <is>
          <t>Tier 3</t>
        </is>
      </c>
      <c r="S56" s="129" t="n">
        <v>0</v>
      </c>
      <c r="T56" s="130" t="n"/>
    </row>
    <row r="57" ht="15" customHeight="1" s="95">
      <c r="A57" s="123" t="inlineStr">
        <is>
          <t>2023-10b</t>
        </is>
      </c>
      <c r="B57" s="123" t="inlineStr">
        <is>
          <t>Oct-23</t>
        </is>
      </c>
      <c r="C57" s="124" t="inlineStr">
        <is>
          <t>2023-10-31</t>
        </is>
      </c>
      <c r="D57" s="123" t="inlineStr">
        <is>
          <t>Month-End</t>
        </is>
      </c>
      <c r="E57" s="125" t="n">
        <v>2023</v>
      </c>
      <c r="F57" s="126" t="inlineStr">
        <is>
          <t>Deloitte</t>
        </is>
      </c>
      <c r="G57" s="126" t="inlineStr">
        <is>
          <t>Examination (AICPA AT-C 205)</t>
        </is>
      </c>
      <c r="H57" s="126" t="inlineStr">
        <is>
          <t>Circle Internet Financial, LLC</t>
        </is>
      </c>
      <c r="I57" s="127" t="n">
        <v>24668300827</v>
      </c>
      <c r="J57" s="127" t="n">
        <v>24720265667</v>
      </c>
      <c r="K57" s="127" t="n">
        <v>24668300827</v>
      </c>
      <c r="L57" s="127" t="n">
        <v>23488022227</v>
      </c>
      <c r="M57" s="127" t="n">
        <v>8089725281</v>
      </c>
      <c r="N57" s="127" t="n">
        <v>14498000000</v>
      </c>
      <c r="O57" s="127" t="n">
        <v>1232243440</v>
      </c>
      <c r="P57" s="127">
        <f>J57-K57</f>
        <v/>
      </c>
      <c r="Q57" s="128">
        <f>IFERROR(J57/K57,"")</f>
        <v/>
      </c>
      <c r="R57" s="126" t="inlineStr">
        <is>
          <t>Tier 3</t>
        </is>
      </c>
      <c r="S57" s="129" t="n">
        <v>0</v>
      </c>
      <c r="T57" s="130" t="n"/>
    </row>
    <row r="58" ht="15" customHeight="1" s="95">
      <c r="A58" s="123" t="inlineStr">
        <is>
          <t>2023-11a</t>
        </is>
      </c>
      <c r="B58" s="123" t="inlineStr">
        <is>
          <t>Nov-23</t>
        </is>
      </c>
      <c r="C58" s="124" t="inlineStr">
        <is>
          <t>2023-11-16</t>
        </is>
      </c>
      <c r="D58" s="123" t="inlineStr">
        <is>
          <t>Mid-Month</t>
        </is>
      </c>
      <c r="E58" s="125" t="n">
        <v>2023</v>
      </c>
      <c r="F58" s="126" t="inlineStr">
        <is>
          <t>Deloitte</t>
        </is>
      </c>
      <c r="G58" s="126" t="inlineStr">
        <is>
          <t>Examination (AICPA AT-C 205)</t>
        </is>
      </c>
      <c r="H58" s="126" t="inlineStr">
        <is>
          <t>Circle Internet Financial, LLC</t>
        </is>
      </c>
      <c r="I58" s="127" t="n">
        <v>24023839814</v>
      </c>
      <c r="J58" s="127" t="n">
        <v>24075758343</v>
      </c>
      <c r="K58" s="127" t="n">
        <v>24023839814</v>
      </c>
      <c r="L58" s="127" t="n">
        <v>22338075917</v>
      </c>
      <c r="M58" s="127" t="n">
        <v>7011931098</v>
      </c>
      <c r="N58" s="127" t="n">
        <v>14375000000</v>
      </c>
      <c r="O58" s="127" t="n">
        <v>1737682426</v>
      </c>
      <c r="P58" s="127">
        <f>J58-K58</f>
        <v/>
      </c>
      <c r="Q58" s="128">
        <f>IFERROR(J58/K58,"")</f>
        <v/>
      </c>
      <c r="R58" s="126" t="inlineStr">
        <is>
          <t>Tier 3</t>
        </is>
      </c>
      <c r="S58" s="129" t="n">
        <v>0</v>
      </c>
      <c r="T58" s="130" t="n"/>
    </row>
    <row r="59" ht="15" customHeight="1" s="95">
      <c r="A59" s="123" t="inlineStr">
        <is>
          <t>2023-11b</t>
        </is>
      </c>
      <c r="B59" s="123" t="inlineStr">
        <is>
          <t>Nov-23</t>
        </is>
      </c>
      <c r="C59" s="124" t="inlineStr">
        <is>
          <t>2023-11-30</t>
        </is>
      </c>
      <c r="D59" s="123" t="inlineStr">
        <is>
          <t>Month-End</t>
        </is>
      </c>
      <c r="E59" s="125" t="n">
        <v>2023</v>
      </c>
      <c r="F59" s="126" t="inlineStr">
        <is>
          <t>Deloitte</t>
        </is>
      </c>
      <c r="G59" s="126" t="inlineStr">
        <is>
          <t>Examination (AICPA AT-C 205)</t>
        </is>
      </c>
      <c r="H59" s="126" t="inlineStr">
        <is>
          <t>Circle Internet Financial, LLC</t>
        </is>
      </c>
      <c r="I59" s="127" t="n">
        <v>24477366310</v>
      </c>
      <c r="J59" s="127" t="n">
        <v>24529287113</v>
      </c>
      <c r="K59" s="127" t="n">
        <v>24477366310</v>
      </c>
      <c r="L59" s="127" t="n">
        <v>22637983894</v>
      </c>
      <c r="M59" s="127" t="n">
        <v>7167169630</v>
      </c>
      <c r="N59" s="127" t="n">
        <v>14564000000</v>
      </c>
      <c r="O59" s="127" t="n">
        <v>1891303219</v>
      </c>
      <c r="P59" s="127">
        <f>J59-K59</f>
        <v/>
      </c>
      <c r="Q59" s="128">
        <f>IFERROR(J59/K59,"")</f>
        <v/>
      </c>
      <c r="R59" s="126" t="inlineStr">
        <is>
          <t>Tier 3</t>
        </is>
      </c>
      <c r="S59" s="129" t="n">
        <v>0</v>
      </c>
      <c r="T59" s="130" t="n"/>
    </row>
    <row r="60" ht="15" customHeight="1" s="95">
      <c r="A60" s="123" t="inlineStr">
        <is>
          <t>2023-12a</t>
        </is>
      </c>
      <c r="B60" s="123" t="inlineStr">
        <is>
          <t>Dec-23</t>
        </is>
      </c>
      <c r="C60" s="124" t="inlineStr">
        <is>
          <t>2023-12-06</t>
        </is>
      </c>
      <c r="D60" s="123" t="inlineStr">
        <is>
          <t>Mid-Month</t>
        </is>
      </c>
      <c r="E60" s="125" t="n">
        <v>2023</v>
      </c>
      <c r="F60" s="126" t="inlineStr">
        <is>
          <t>Deloitte</t>
        </is>
      </c>
      <c r="G60" s="126" t="inlineStr">
        <is>
          <t>Examination (AICPA AT-C 205)</t>
        </is>
      </c>
      <c r="H60" s="126" t="inlineStr">
        <is>
          <t>Circle Internet Financial, LLC</t>
        </is>
      </c>
      <c r="I60" s="127" t="n">
        <v>24237841228</v>
      </c>
      <c r="J60" s="127" t="n">
        <v>24289673354</v>
      </c>
      <c r="K60" s="127" t="n">
        <v>24237841228</v>
      </c>
      <c r="L60" s="127" t="n">
        <v>22637988964</v>
      </c>
      <c r="M60" s="127" t="n">
        <v>7176098912</v>
      </c>
      <c r="N60" s="127" t="n">
        <v>15182000000</v>
      </c>
      <c r="O60" s="127" t="n">
        <v>1651684390</v>
      </c>
      <c r="P60" s="127">
        <f>J60-K60</f>
        <v/>
      </c>
      <c r="Q60" s="128">
        <f>IFERROR(J60/K60,"")</f>
        <v/>
      </c>
      <c r="R60" s="126" t="inlineStr">
        <is>
          <t>Tier 3</t>
        </is>
      </c>
      <c r="S60" s="129" t="n">
        <v>0</v>
      </c>
      <c r="T60" s="130" t="n"/>
    </row>
    <row r="61" ht="15" customHeight="1" s="95">
      <c r="A61" s="123" t="inlineStr">
        <is>
          <t>2023-12b</t>
        </is>
      </c>
      <c r="B61" s="123" t="inlineStr">
        <is>
          <t>Dec-23</t>
        </is>
      </c>
      <c r="C61" s="124" t="inlineStr">
        <is>
          <t>2023-12-29</t>
        </is>
      </c>
      <c r="D61" s="123" t="inlineStr">
        <is>
          <t>Month-End</t>
        </is>
      </c>
      <c r="E61" s="125" t="n">
        <v>2023</v>
      </c>
      <c r="F61" s="126" t="inlineStr">
        <is>
          <t>Deloitte</t>
        </is>
      </c>
      <c r="G61" s="126" t="inlineStr">
        <is>
          <t>Examination (AICPA AT-C 205)</t>
        </is>
      </c>
      <c r="H61" s="126" t="inlineStr">
        <is>
          <t>Circle Internet Financial, LLC</t>
        </is>
      </c>
      <c r="I61" s="127" t="n">
        <v>24641390742</v>
      </c>
      <c r="J61" s="127" t="n">
        <v>24693288222</v>
      </c>
      <c r="K61" s="127" t="n">
        <v>24641390742</v>
      </c>
      <c r="L61" s="127" t="n">
        <v>22237963415</v>
      </c>
      <c r="M61" s="127" t="n">
        <v>6622021104</v>
      </c>
      <c r="N61" s="127" t="n">
        <v>14707000000</v>
      </c>
      <c r="O61" s="127" t="n">
        <v>2455324807</v>
      </c>
      <c r="P61" s="127">
        <f>J61-K61</f>
        <v/>
      </c>
      <c r="Q61" s="128">
        <f>IFERROR(J61/K61,"")</f>
        <v/>
      </c>
      <c r="R61" s="126" t="inlineStr">
        <is>
          <t>Tier 3</t>
        </is>
      </c>
      <c r="S61" s="129" t="n">
        <v>0</v>
      </c>
      <c r="T61" s="130" t="n"/>
    </row>
    <row r="62" ht="15" customHeight="1" s="95">
      <c r="A62" s="123" t="inlineStr">
        <is>
          <t>2024-01a</t>
        </is>
      </c>
      <c r="B62" s="123" t="inlineStr">
        <is>
          <t>Jan-24</t>
        </is>
      </c>
      <c r="C62" s="124" t="inlineStr">
        <is>
          <t>2024-01-11</t>
        </is>
      </c>
      <c r="D62" s="123" t="inlineStr">
        <is>
          <t>Mid-Month</t>
        </is>
      </c>
      <c r="E62" s="125" t="n">
        <v>2024</v>
      </c>
      <c r="F62" s="126" t="inlineStr">
        <is>
          <t>Deloitte</t>
        </is>
      </c>
      <c r="G62" s="126" t="inlineStr">
        <is>
          <t>Examination (AICPA AT-C 205)</t>
        </is>
      </c>
      <c r="H62" s="126" t="inlineStr">
        <is>
          <t>Circle Internet Financial, LLC</t>
        </is>
      </c>
      <c r="I62" s="127" t="n">
        <v>25167930727</v>
      </c>
      <c r="J62" s="127" t="n">
        <v>25218952505</v>
      </c>
      <c r="K62" s="127" t="n">
        <v>25167930727</v>
      </c>
      <c r="L62" s="127" t="n">
        <v>22438030739</v>
      </c>
      <c r="M62" s="127" t="n">
        <v>6912713860</v>
      </c>
      <c r="N62" s="127" t="n">
        <v>14558000000</v>
      </c>
      <c r="O62" s="127" t="n">
        <v>2780921766</v>
      </c>
      <c r="P62" s="127">
        <f>J62-K62</f>
        <v/>
      </c>
      <c r="Q62" s="128">
        <f>IFERROR(J62/K62,"")</f>
        <v/>
      </c>
      <c r="R62" s="126" t="inlineStr">
        <is>
          <t>Tier 3</t>
        </is>
      </c>
      <c r="S62" s="129" t="n">
        <v>0</v>
      </c>
      <c r="T62" s="130" t="inlineStr">
        <is>
          <t>CRF: T-bills $6.9bn, Repos $14.6bn, Cash-in-fund $1.0bn. External cash $2.8bn.</t>
        </is>
      </c>
    </row>
    <row r="63" ht="15" customHeight="1" s="95">
      <c r="A63" s="123" t="inlineStr">
        <is>
          <t>2024-01b</t>
        </is>
      </c>
      <c r="B63" s="123" t="inlineStr">
        <is>
          <t>Jan-24</t>
        </is>
      </c>
      <c r="C63" s="124" t="inlineStr">
        <is>
          <t>2024-01-31</t>
        </is>
      </c>
      <c r="D63" s="123" t="inlineStr">
        <is>
          <t>Month-End</t>
        </is>
      </c>
      <c r="E63" s="125" t="n">
        <v>2024</v>
      </c>
      <c r="F63" s="126" t="inlineStr">
        <is>
          <t>Deloitte</t>
        </is>
      </c>
      <c r="G63" s="126" t="inlineStr">
        <is>
          <t>Examination (AICPA AT-C 205)</t>
        </is>
      </c>
      <c r="H63" s="126" t="inlineStr">
        <is>
          <t>Circle Internet Financial, LLC</t>
        </is>
      </c>
      <c r="I63" s="127" t="n">
        <v>26739379540</v>
      </c>
      <c r="J63" s="127" t="n">
        <v>26790484649</v>
      </c>
      <c r="K63" s="127" t="n">
        <v>26739379540</v>
      </c>
      <c r="L63" s="127" t="n">
        <v>23638010762</v>
      </c>
      <c r="M63" s="127" t="n">
        <v>7391263608</v>
      </c>
      <c r="N63" s="127" t="n">
        <v>15342000000</v>
      </c>
      <c r="O63" s="127" t="n">
        <v>3152473887</v>
      </c>
      <c r="P63" s="127">
        <f>J63-K63</f>
        <v/>
      </c>
      <c r="Q63" s="128">
        <f>IFERROR(J63/K63,"")</f>
        <v/>
      </c>
      <c r="R63" s="126" t="inlineStr">
        <is>
          <t>Tier 3</t>
        </is>
      </c>
      <c r="S63" s="129" t="n">
        <v>0</v>
      </c>
      <c r="T63" s="130" t="inlineStr">
        <is>
          <t>CRF: T-bills $7.4bn, Repos $15.3bn, Cash-in-fund $1.0bn. External cash $3.3bn.</t>
        </is>
      </c>
    </row>
    <row r="64" ht="15" customHeight="1" s="95">
      <c r="A64" s="123" t="inlineStr">
        <is>
          <t>2024-02a</t>
        </is>
      </c>
      <c r="B64" s="123" t="inlineStr">
        <is>
          <t>Feb-24</t>
        </is>
      </c>
      <c r="C64" s="124" t="inlineStr">
        <is>
          <t>2024-02-23</t>
        </is>
      </c>
      <c r="D64" s="123" t="inlineStr">
        <is>
          <t>Mid-Month</t>
        </is>
      </c>
      <c r="E64" s="125" t="n">
        <v>2024</v>
      </c>
      <c r="F64" s="126" t="inlineStr">
        <is>
          <t>Deloitte</t>
        </is>
      </c>
      <c r="G64" s="126" t="inlineStr">
        <is>
          <t>Examination (AICPA AT-C 205)</t>
        </is>
      </c>
      <c r="H64" s="126" t="inlineStr">
        <is>
          <t>Circle Internet Financial, LLC</t>
        </is>
      </c>
      <c r="I64" s="127" t="n">
        <v>28062598850</v>
      </c>
      <c r="J64" s="127" t="n">
        <v>28113374184</v>
      </c>
      <c r="K64" s="127" t="n">
        <v>28062598850</v>
      </c>
      <c r="L64" s="127" t="n">
        <v>25137784336</v>
      </c>
      <c r="M64" s="127" t="n">
        <v>9260546767</v>
      </c>
      <c r="N64" s="127" t="n">
        <v>15453000000</v>
      </c>
      <c r="O64" s="127" t="n">
        <v>2975589848</v>
      </c>
      <c r="P64" s="127">
        <f>J64-K64</f>
        <v/>
      </c>
      <c r="Q64" s="128">
        <f>IFERROR(J64/K64,"")</f>
        <v/>
      </c>
      <c r="R64" s="126" t="inlineStr">
        <is>
          <t>Tier 3</t>
        </is>
      </c>
      <c r="S64" s="129" t="n">
        <v>0</v>
      </c>
      <c r="T64" s="130" t="inlineStr">
        <is>
          <t>CRF: T-bills $9.3bn, Repos $15.5bn, Cash-in-fund $1.0bn. External cash $3.0bn.</t>
        </is>
      </c>
    </row>
    <row r="65" ht="15" customHeight="1" s="95">
      <c r="A65" s="132" t="inlineStr">
        <is>
          <t>2024-02b</t>
        </is>
      </c>
      <c r="B65" s="132" t="inlineStr">
        <is>
          <t>Feb-24</t>
        </is>
      </c>
      <c r="C65" s="133" t="inlineStr">
        <is>
          <t>2024-02-29</t>
        </is>
      </c>
      <c r="D65" s="132" t="inlineStr">
        <is>
          <t>Month-End</t>
        </is>
      </c>
      <c r="E65" s="134" t="n">
        <v>2024</v>
      </c>
      <c r="F65" s="132" t="inlineStr">
        <is>
          <t>Deloitte</t>
        </is>
      </c>
      <c r="G65" s="132" t="inlineStr">
        <is>
          <t>Examination (AICPA AT-C 205)</t>
        </is>
      </c>
      <c r="H65" s="132" t="inlineStr">
        <is>
          <t>Circle Internet Financial, LLC</t>
        </is>
      </c>
      <c r="I65" s="135" t="n">
        <v>28683063584</v>
      </c>
      <c r="J65" s="135" t="n">
        <v>28733994331</v>
      </c>
      <c r="K65" s="135" t="n">
        <v>28683063584</v>
      </c>
      <c r="L65" s="135" t="n">
        <v>25437849227</v>
      </c>
      <c r="M65" s="135" t="n">
        <v>10006134453</v>
      </c>
      <c r="N65" s="135" t="n">
        <v>14531000000</v>
      </c>
      <c r="O65" s="135" t="n">
        <v>3296145104</v>
      </c>
      <c r="P65" s="135">
        <f>J65-K65</f>
        <v/>
      </c>
      <c r="Q65" s="136">
        <f>IFERROR(J65/K65,"")</f>
        <v/>
      </c>
      <c r="R65" s="132" t="inlineStr">
        <is>
          <t>Tier 3</t>
        </is>
      </c>
      <c r="S65" s="134" t="n">
        <v>0</v>
      </c>
      <c r="T65" s="132" t="inlineStr">
        <is>
          <t>CRF: T-bills $10.0bn, Repos $14.5bn, Cash-in-fund $1.0bn. External cash $3.3bn.</t>
        </is>
      </c>
    </row>
    <row r="66" ht="15" customHeight="1" s="95">
      <c r="A66" s="137" t="inlineStr">
        <is>
          <t>2024-03a</t>
        </is>
      </c>
      <c r="B66" s="137" t="inlineStr">
        <is>
          <t>Mar-24</t>
        </is>
      </c>
      <c r="C66" s="138" t="inlineStr">
        <is>
          <t>2024-03-25</t>
        </is>
      </c>
      <c r="D66" s="137" t="inlineStr">
        <is>
          <t>Mid-Month</t>
        </is>
      </c>
      <c r="E66" s="139" t="n">
        <v>2024</v>
      </c>
      <c r="F66" s="137" t="inlineStr">
        <is>
          <t>Deloitte</t>
        </is>
      </c>
      <c r="G66" s="137" t="inlineStr">
        <is>
          <t>Examination (AICPA AT-C 205)</t>
        </is>
      </c>
      <c r="H66" s="137" t="inlineStr">
        <is>
          <t>Circle Internet Financial, LLC</t>
        </is>
      </c>
      <c r="I66" s="140" t="n">
        <v>32240171050</v>
      </c>
      <c r="J66" s="140" t="n">
        <v>32291373164</v>
      </c>
      <c r="K66" s="140" t="n">
        <v>32240171050</v>
      </c>
      <c r="L66" s="140" t="n">
        <v>27538211152</v>
      </c>
      <c r="M66" s="140" t="n">
        <v>10818616531</v>
      </c>
      <c r="N66" s="140" t="n">
        <v>16206000000</v>
      </c>
      <c r="O66" s="140" t="n">
        <v>4753162012</v>
      </c>
      <c r="P66" s="140">
        <f>J66-K66</f>
        <v/>
      </c>
      <c r="Q66" s="141">
        <f>IFERROR(J66/K66,"")</f>
        <v/>
      </c>
      <c r="R66" s="137" t="inlineStr">
        <is>
          <t>Tier 3</t>
        </is>
      </c>
      <c r="S66" s="139" t="n">
        <v>0</v>
      </c>
      <c r="T66" s="137" t="inlineStr">
        <is>
          <t>CRF: T-bills $10.8bn, Repos $16.2bn, Cash-in-fund $1.0bn. External cash $4.8bn (incl +$42.6M timing adj).</t>
        </is>
      </c>
    </row>
    <row r="67" ht="15" customHeight="1" s="95">
      <c r="A67" s="137" t="inlineStr">
        <is>
          <t>2024-03b</t>
        </is>
      </c>
      <c r="B67" s="137" t="inlineStr">
        <is>
          <t>Mar-24</t>
        </is>
      </c>
      <c r="C67" s="138" t="inlineStr">
        <is>
          <t>2024-03-29</t>
        </is>
      </c>
      <c r="D67" s="137" t="inlineStr">
        <is>
          <t>Month-End</t>
        </is>
      </c>
      <c r="E67" s="139" t="n">
        <v>2024</v>
      </c>
      <c r="F67" s="137" t="inlineStr">
        <is>
          <t>Deloitte</t>
        </is>
      </c>
      <c r="G67" s="137" t="inlineStr">
        <is>
          <t>Examination (AICPA AT-C 205)</t>
        </is>
      </c>
      <c r="H67" s="137" t="inlineStr">
        <is>
          <t>Circle Internet Financial, LLC</t>
        </is>
      </c>
      <c r="I67" s="140" t="n">
        <v>32374547608</v>
      </c>
      <c r="J67" s="140" t="n">
        <v>32425876781</v>
      </c>
      <c r="K67" s="140" t="n">
        <v>32374547608</v>
      </c>
      <c r="L67" s="140" t="n">
        <v>28238248488</v>
      </c>
      <c r="M67" s="140" t="n">
        <v>11418153075</v>
      </c>
      <c r="N67" s="140" t="n">
        <v>15927000000</v>
      </c>
      <c r="O67" s="140" t="n">
        <v>4187628293</v>
      </c>
      <c r="P67" s="140">
        <f>J67-K67</f>
        <v/>
      </c>
      <c r="Q67" s="141">
        <f>IFERROR(J67/K67,"")</f>
        <v/>
      </c>
      <c r="R67" s="137" t="inlineStr">
        <is>
          <t>Tier 3</t>
        </is>
      </c>
      <c r="S67" s="139" t="n">
        <v>0</v>
      </c>
      <c r="T67" s="137" t="inlineStr">
        <is>
          <t>CRF: T-bills $11.4bn, Repos $15.9bn, Cash-in-fund $1.0bn. External cash $4.2bn.</t>
        </is>
      </c>
    </row>
    <row r="68" ht="15" customHeight="1" s="95">
      <c r="A68" s="137" t="inlineStr">
        <is>
          <t>2024-04a</t>
        </is>
      </c>
      <c r="B68" s="137" t="inlineStr">
        <is>
          <t>Apr-24</t>
        </is>
      </c>
      <c r="C68" s="138" t="inlineStr">
        <is>
          <t>2024-04-05</t>
        </is>
      </c>
      <c r="D68" s="137" t="inlineStr">
        <is>
          <t>Mid-Month</t>
        </is>
      </c>
      <c r="E68" s="139" t="n">
        <v>2024</v>
      </c>
      <c r="F68" s="137" t="inlineStr">
        <is>
          <t>Deloitte</t>
        </is>
      </c>
      <c r="G68" s="137" t="inlineStr">
        <is>
          <t>Examination (AICPA AT-C 205)</t>
        </is>
      </c>
      <c r="H68" s="137" t="inlineStr">
        <is>
          <t>Circle Internet Financial, LLC</t>
        </is>
      </c>
      <c r="I68" s="140" t="n">
        <v>32841199161</v>
      </c>
      <c r="J68" s="140" t="n">
        <v>32892349501</v>
      </c>
      <c r="K68" s="140" t="n">
        <v>32841199161</v>
      </c>
      <c r="L68" s="140" t="n">
        <v>29138159340</v>
      </c>
      <c r="M68" s="140" t="n">
        <v>12848297457</v>
      </c>
      <c r="N68" s="140" t="n">
        <v>16675000000</v>
      </c>
      <c r="O68" s="140" t="n">
        <v>3754190161</v>
      </c>
      <c r="P68" s="140">
        <f>J68-K68</f>
        <v/>
      </c>
      <c r="Q68" s="141">
        <f>IFERROR(J68/K68,"")</f>
        <v/>
      </c>
      <c r="R68" s="137" t="inlineStr">
        <is>
          <t>Tier 3</t>
        </is>
      </c>
      <c r="S68" s="139" t="n">
        <v>0</v>
      </c>
      <c r="T68" s="137" t="inlineStr">
        <is>
          <t>CRF: T-bills $12.8bn, Repos $16.7bn, Cash-in-fund $1.0bn. External cash $3.8bn.</t>
        </is>
      </c>
    </row>
    <row r="69" ht="15" customHeight="1" s="95">
      <c r="A69" s="137" t="inlineStr">
        <is>
          <t>2024-04b</t>
        </is>
      </c>
      <c r="B69" s="137" t="inlineStr">
        <is>
          <t>Apr-24</t>
        </is>
      </c>
      <c r="C69" s="138" t="inlineStr">
        <is>
          <t>2024-04-30</t>
        </is>
      </c>
      <c r="D69" s="137" t="inlineStr">
        <is>
          <t>Month-End</t>
        </is>
      </c>
      <c r="E69" s="139" t="n">
        <v>2024</v>
      </c>
      <c r="F69" s="137" t="inlineStr">
        <is>
          <t>Deloitte</t>
        </is>
      </c>
      <c r="G69" s="137" t="inlineStr">
        <is>
          <t>Examination (AICPA AT-C 205)</t>
        </is>
      </c>
      <c r="H69" s="137" t="inlineStr">
        <is>
          <t>Circle Internet Financial, LLC</t>
        </is>
      </c>
      <c r="I69" s="140" t="n">
        <v>33028099172</v>
      </c>
      <c r="J69" s="140" t="n">
        <v>33079391140</v>
      </c>
      <c r="K69" s="140" t="n">
        <v>33028099172</v>
      </c>
      <c r="L69" s="140" t="n">
        <v>29988203128</v>
      </c>
      <c r="M69" s="140" t="n">
        <v>10377675993</v>
      </c>
      <c r="N69" s="140" t="n">
        <v>18732000000</v>
      </c>
      <c r="O69" s="140" t="n">
        <v>3091188012</v>
      </c>
      <c r="P69" s="140">
        <f>J69-K69</f>
        <v/>
      </c>
      <c r="Q69" s="141">
        <f>IFERROR(J69/K69,"")</f>
        <v/>
      </c>
      <c r="R69" s="137" t="inlineStr">
        <is>
          <t>Tier 3</t>
        </is>
      </c>
      <c r="S69" s="139" t="n">
        <v>0</v>
      </c>
      <c r="T69" s="137" t="inlineStr">
        <is>
          <t>CRF: T-bills $10.4bn, Repos $18.7bn, Cash-in-fund $1.0bn. External cash $3.1bn.</t>
        </is>
      </c>
    </row>
    <row r="70" ht="15" customHeight="1" s="95">
      <c r="A70" s="137" t="inlineStr">
        <is>
          <t>2024-05a</t>
        </is>
      </c>
      <c r="B70" s="137" t="inlineStr">
        <is>
          <t>May-24</t>
        </is>
      </c>
      <c r="C70" s="138" t="inlineStr">
        <is>
          <t>2024-05-07</t>
        </is>
      </c>
      <c r="D70" s="137" t="inlineStr">
        <is>
          <t>Mid-Month</t>
        </is>
      </c>
      <c r="E70" s="139" t="n">
        <v>2024</v>
      </c>
      <c r="F70" s="137" t="inlineStr">
        <is>
          <t>Deloitte</t>
        </is>
      </c>
      <c r="G70" s="137" t="inlineStr">
        <is>
          <t>Examination (AICPA AT-C 205)</t>
        </is>
      </c>
      <c r="H70" s="137" t="inlineStr">
        <is>
          <t>Circle Internet Financial, LLC</t>
        </is>
      </c>
      <c r="I70" s="140" t="n">
        <v>33165344461</v>
      </c>
      <c r="J70" s="140" t="n">
        <v>33216419857</v>
      </c>
      <c r="K70" s="140" t="n">
        <v>33165344461</v>
      </c>
      <c r="L70" s="140" t="n">
        <v>29738083454</v>
      </c>
      <c r="M70" s="140" t="n">
        <v>11809716018</v>
      </c>
      <c r="N70" s="140" t="n">
        <v>17951000000</v>
      </c>
      <c r="O70" s="140" t="n">
        <v>3478336403</v>
      </c>
      <c r="P70" s="140">
        <f>J70-K70</f>
        <v/>
      </c>
      <c r="Q70" s="141">
        <f>IFERROR(J70/K70,"")</f>
        <v/>
      </c>
      <c r="R70" s="137" t="inlineStr">
        <is>
          <t>Tier 3</t>
        </is>
      </c>
      <c r="S70" s="139" t="n">
        <v>0</v>
      </c>
      <c r="T70" s="137" t="inlineStr">
        <is>
          <t>CRF: T-bills $11.8bn, Repos $18.0bn, Cash-in-fund $1.0bn. External cash $3.5bn.</t>
        </is>
      </c>
    </row>
    <row r="71" ht="15" customHeight="1" s="95">
      <c r="A71" s="137" t="inlineStr">
        <is>
          <t>2024-05b</t>
        </is>
      </c>
      <c r="B71" s="137" t="inlineStr">
        <is>
          <t>May-24</t>
        </is>
      </c>
      <c r="C71" s="138" t="inlineStr">
        <is>
          <t>2024-05-31</t>
        </is>
      </c>
      <c r="D71" s="137" t="inlineStr">
        <is>
          <t>Month-End</t>
        </is>
      </c>
      <c r="E71" s="139" t="n">
        <v>2024</v>
      </c>
      <c r="F71" s="137" t="inlineStr">
        <is>
          <t>Deloitte</t>
        </is>
      </c>
      <c r="G71" s="137" t="inlineStr">
        <is>
          <t>Examination (AICPA AT-C 205)</t>
        </is>
      </c>
      <c r="H71" s="137" t="inlineStr">
        <is>
          <t>Circle Internet Financial, LLC</t>
        </is>
      </c>
      <c r="I71" s="140" t="n">
        <v>32289248060</v>
      </c>
      <c r="J71" s="140" t="n">
        <v>32340643744</v>
      </c>
      <c r="K71" s="140" t="n">
        <v>32289248060</v>
      </c>
      <c r="L71" s="140" t="n">
        <v>28988309508</v>
      </c>
      <c r="M71" s="140" t="n">
        <v>11631009304</v>
      </c>
      <c r="N71" s="140" t="n">
        <v>16489000000</v>
      </c>
      <c r="O71" s="140" t="n">
        <v>3352334236</v>
      </c>
      <c r="P71" s="140">
        <f>J71-K71</f>
        <v/>
      </c>
      <c r="Q71" s="141">
        <f>IFERROR(J71/K71,"")</f>
        <v/>
      </c>
      <c r="R71" s="137" t="inlineStr">
        <is>
          <t>Tier 3</t>
        </is>
      </c>
      <c r="S71" s="139" t="n">
        <v>0</v>
      </c>
      <c r="T71" s="137" t="inlineStr">
        <is>
          <t>CRF: T-bills $11.6bn, Repos $16.5bn, Cash-in-fund $1.0bn. External cash $3.4bn.</t>
        </is>
      </c>
    </row>
    <row r="72" ht="15" customHeight="1" s="95">
      <c r="A72" s="137" t="inlineStr">
        <is>
          <t>2024-06a</t>
        </is>
      </c>
      <c r="B72" s="137" t="inlineStr">
        <is>
          <t>Jun-24</t>
        </is>
      </c>
      <c r="C72" s="138" t="inlineStr">
        <is>
          <t>2024-06-10</t>
        </is>
      </c>
      <c r="D72" s="137" t="inlineStr">
        <is>
          <t>Mid-Month</t>
        </is>
      </c>
      <c r="E72" s="139" t="n">
        <v>2024</v>
      </c>
      <c r="F72" s="137" t="inlineStr">
        <is>
          <t>Deloitte</t>
        </is>
      </c>
      <c r="G72" s="137" t="inlineStr">
        <is>
          <t>Examination (AICPA AT-C 205)</t>
        </is>
      </c>
      <c r="H72" s="137" t="inlineStr">
        <is>
          <t>Circle Internet Financial, LLC</t>
        </is>
      </c>
      <c r="I72" s="140" t="n">
        <v>32006867453</v>
      </c>
      <c r="J72" s="140" t="n">
        <v>32058317792</v>
      </c>
      <c r="K72" s="140" t="n">
        <v>32006867453</v>
      </c>
      <c r="L72" s="140" t="n">
        <v>28988459347</v>
      </c>
      <c r="M72" s="140" t="n">
        <v>11199235131</v>
      </c>
      <c r="N72" s="140" t="n">
        <v>17127000000</v>
      </c>
      <c r="O72" s="140" t="n">
        <v>3069858445</v>
      </c>
      <c r="P72" s="140">
        <f>J72-K72</f>
        <v/>
      </c>
      <c r="Q72" s="141">
        <f>IFERROR(J72/K72,"")</f>
        <v/>
      </c>
      <c r="R72" s="137" t="inlineStr">
        <is>
          <t>Tier 3</t>
        </is>
      </c>
      <c r="S72" s="139" t="n">
        <v>0</v>
      </c>
      <c r="T72" s="137" t="inlineStr">
        <is>
          <t>CRF: T-bills $11.2bn, Repos $17.1bn, Cash-in-fund $1.0bn. External cash $3.1bn.</t>
        </is>
      </c>
    </row>
    <row r="73" ht="15" customHeight="1" s="95">
      <c r="A73" s="137" t="inlineStr">
        <is>
          <t>2024-06b</t>
        </is>
      </c>
      <c r="B73" s="137" t="inlineStr">
        <is>
          <t>Jun-24</t>
        </is>
      </c>
      <c r="C73" s="138" t="inlineStr">
        <is>
          <t>2024-06-28</t>
        </is>
      </c>
      <c r="D73" s="137" t="inlineStr">
        <is>
          <t>Month-End</t>
        </is>
      </c>
      <c r="E73" s="139" t="n">
        <v>2024</v>
      </c>
      <c r="F73" s="137" t="inlineStr">
        <is>
          <t>Deloitte</t>
        </is>
      </c>
      <c r="G73" s="137" t="inlineStr">
        <is>
          <t>Examination (AICPA AT-C 205)</t>
        </is>
      </c>
      <c r="H73" s="137" t="inlineStr">
        <is>
          <t>Circle Internet Financial, LLC</t>
        </is>
      </c>
      <c r="I73" s="140" t="n">
        <v>32222674248</v>
      </c>
      <c r="J73" s="140" t="n">
        <v>32274321543</v>
      </c>
      <c r="K73" s="140" t="n">
        <v>32222674248</v>
      </c>
      <c r="L73" s="140" t="n">
        <v>28688570090</v>
      </c>
      <c r="M73" s="140" t="n">
        <v>10720566593</v>
      </c>
      <c r="N73" s="140" t="n">
        <v>17084000000</v>
      </c>
      <c r="O73" s="140" t="n">
        <v>3585751453</v>
      </c>
      <c r="P73" s="140">
        <f>J73-K73</f>
        <v/>
      </c>
      <c r="Q73" s="141">
        <f>IFERROR(J73/K73,"")</f>
        <v/>
      </c>
      <c r="R73" s="137" t="inlineStr">
        <is>
          <t>Tier 3</t>
        </is>
      </c>
      <c r="S73" s="139" t="n">
        <v>0</v>
      </c>
      <c r="T73" s="137" t="inlineStr">
        <is>
          <t>CRF: T-bills $10.7bn, Repos $17.1bn, Cash-in-fund $1.0bn. External cash $3.6bn.</t>
        </is>
      </c>
    </row>
    <row r="74" ht="15" customHeight="1" s="95">
      <c r="A74" s="137" t="inlineStr">
        <is>
          <t>2024-07a</t>
        </is>
      </c>
      <c r="B74" s="137" t="inlineStr">
        <is>
          <t>Jul-24</t>
        </is>
      </c>
      <c r="C74" s="138" t="inlineStr">
        <is>
          <t>2024-07-18</t>
        </is>
      </c>
      <c r="D74" s="137" t="inlineStr">
        <is>
          <t>Mid-Month</t>
        </is>
      </c>
      <c r="E74" s="139" t="n">
        <v>2024</v>
      </c>
      <c r="F74" s="137" t="inlineStr">
        <is>
          <t>Deloitte</t>
        </is>
      </c>
      <c r="G74" s="137" t="inlineStr">
        <is>
          <t>Examination (AICPA AT-C 205)</t>
        </is>
      </c>
      <c r="H74" s="137" t="inlineStr">
        <is>
          <t>Circle Internet Group, Inc.</t>
        </is>
      </c>
      <c r="I74" s="140" t="n">
        <v>33591579563</v>
      </c>
      <c r="J74" s="140" t="n">
        <v>33655332684</v>
      </c>
      <c r="K74" s="140" t="n">
        <v>33591579563</v>
      </c>
      <c r="L74" s="140" t="n">
        <v>29588362291</v>
      </c>
      <c r="M74" s="140" t="n">
        <v>9793495123</v>
      </c>
      <c r="N74" s="140" t="n">
        <v>19365000000</v>
      </c>
      <c r="O74" s="140" t="n">
        <v>4066970393</v>
      </c>
      <c r="P74" s="140">
        <f>J74-K74</f>
        <v/>
      </c>
      <c r="Q74" s="141">
        <f>IFERROR(J74/K74,"")</f>
        <v/>
      </c>
      <c r="R74" s="137" t="inlineStr">
        <is>
          <t>Tier 3</t>
        </is>
      </c>
      <c r="S74" s="139" t="n">
        <v>0</v>
      </c>
      <c r="T74" s="137" t="inlineStr">
        <is>
          <t>Entity: Circle Internet Group Inc (first appearance). CRF: T-bills $9.8bn, Repos $19.4bn. External cash $4.1bn.</t>
        </is>
      </c>
    </row>
    <row r="75" ht="15" customHeight="1" s="95">
      <c r="A75" s="137" t="inlineStr">
        <is>
          <t>2024-07b</t>
        </is>
      </c>
      <c r="B75" s="137" t="inlineStr">
        <is>
          <t>Jul-24</t>
        </is>
      </c>
      <c r="C75" s="138" t="inlineStr">
        <is>
          <t>2024-07-31</t>
        </is>
      </c>
      <c r="D75" s="137" t="inlineStr">
        <is>
          <t>Month-End</t>
        </is>
      </c>
      <c r="E75" s="139" t="n">
        <v>2024</v>
      </c>
      <c r="F75" s="137" t="inlineStr">
        <is>
          <t>Deloitte</t>
        </is>
      </c>
      <c r="G75" s="137" t="inlineStr">
        <is>
          <t>Examination (AICPA AT-C 205)</t>
        </is>
      </c>
      <c r="H75" s="137" t="inlineStr">
        <is>
          <t>Circle Internet Group, Inc.</t>
        </is>
      </c>
      <c r="I75" s="140" t="n">
        <v>33183776501</v>
      </c>
      <c r="J75" s="140" t="n">
        <v>33247845322</v>
      </c>
      <c r="K75" s="140" t="n">
        <v>33183776501</v>
      </c>
      <c r="L75" s="140" t="n">
        <v>29588522876</v>
      </c>
      <c r="M75" s="140" t="n">
        <v>8884159331</v>
      </c>
      <c r="N75" s="140" t="n">
        <v>19831000000</v>
      </c>
      <c r="O75" s="140" t="n">
        <v>3659322446</v>
      </c>
      <c r="P75" s="140">
        <f>J75-K75</f>
        <v/>
      </c>
      <c r="Q75" s="141">
        <f>IFERROR(J75/K75,"")</f>
        <v/>
      </c>
      <c r="R75" s="137" t="inlineStr">
        <is>
          <t>Tier 3</t>
        </is>
      </c>
      <c r="S75" s="139" t="n">
        <v>0</v>
      </c>
      <c r="T75" s="137" t="inlineStr">
        <is>
          <t>CRF: T-bills $8.9bn, Repos $19.8bn, Cash-in-fund $1.0bn. External cash $3.7bn.</t>
        </is>
      </c>
    </row>
    <row r="76" ht="15" customHeight="1" s="95">
      <c r="A76" s="137" t="inlineStr">
        <is>
          <t>2024-08a</t>
        </is>
      </c>
      <c r="B76" s="137" t="inlineStr">
        <is>
          <t>Aug-24</t>
        </is>
      </c>
      <c r="C76" s="138" t="inlineStr">
        <is>
          <t>2024-08-29</t>
        </is>
      </c>
      <c r="D76" s="137" t="inlineStr">
        <is>
          <t>Mid-Month</t>
        </is>
      </c>
      <c r="E76" s="139" t="n">
        <v>2024</v>
      </c>
      <c r="F76" s="137" t="inlineStr">
        <is>
          <t>Deloitte</t>
        </is>
      </c>
      <c r="G76" s="137" t="inlineStr">
        <is>
          <t>Examination (AICPA AT-C 205)</t>
        </is>
      </c>
      <c r="H76" s="137" t="inlineStr">
        <is>
          <t>Circle Internet Group, Inc.</t>
        </is>
      </c>
      <c r="I76" s="140" t="n">
        <v>34521002326</v>
      </c>
      <c r="J76" s="140" t="n">
        <v>34595053289</v>
      </c>
      <c r="K76" s="140" t="n">
        <v>34521002326</v>
      </c>
      <c r="L76" s="140" t="n">
        <v>30788659497</v>
      </c>
      <c r="M76" s="140" t="n">
        <v>8647172626</v>
      </c>
      <c r="N76" s="140" t="n">
        <v>21193000000</v>
      </c>
      <c r="O76" s="140" t="n">
        <v>3806393792</v>
      </c>
      <c r="P76" s="140">
        <f>J76-K76</f>
        <v/>
      </c>
      <c r="Q76" s="141">
        <f>IFERROR(J76/K76,"")</f>
        <v/>
      </c>
      <c r="R76" s="137" t="inlineStr">
        <is>
          <t>Tier 3</t>
        </is>
      </c>
      <c r="S76" s="139" t="n">
        <v>0</v>
      </c>
      <c r="T76" s="137" t="inlineStr">
        <is>
          <t>CRF: T-bills $8.6bn, Repos $21.2bn, Cash-in-fund $1.0bn. External cash $3.8bn.</t>
        </is>
      </c>
    </row>
    <row r="77" ht="15" customHeight="1" s="95">
      <c r="A77" s="137" t="inlineStr">
        <is>
          <t>2024-08b</t>
        </is>
      </c>
      <c r="B77" s="137" t="inlineStr">
        <is>
          <t>Aug-24</t>
        </is>
      </c>
      <c r="C77" s="138" t="inlineStr">
        <is>
          <t>2024-08-30</t>
        </is>
      </c>
      <c r="D77" s="137" t="inlineStr">
        <is>
          <t>Month-End</t>
        </is>
      </c>
      <c r="E77" s="139" t="n">
        <v>2024</v>
      </c>
      <c r="F77" s="137" t="inlineStr">
        <is>
          <t>Deloitte</t>
        </is>
      </c>
      <c r="G77" s="137" t="inlineStr">
        <is>
          <t>Examination (AICPA AT-C 205)</t>
        </is>
      </c>
      <c r="H77" s="137" t="inlineStr">
        <is>
          <t>Circle Internet Group, Inc.</t>
        </is>
      </c>
      <c r="I77" s="140" t="n">
        <v>34644410354</v>
      </c>
      <c r="J77" s="140" t="n">
        <v>34718608570</v>
      </c>
      <c r="K77" s="140" t="n">
        <v>34644410354</v>
      </c>
      <c r="L77" s="140" t="n">
        <v>30788659497</v>
      </c>
      <c r="M77" s="140" t="n">
        <v>8652208527</v>
      </c>
      <c r="N77" s="140" t="n">
        <v>21266000000</v>
      </c>
      <c r="O77" s="140" t="n">
        <v>3929949073</v>
      </c>
      <c r="P77" s="140">
        <f>J77-K77</f>
        <v/>
      </c>
      <c r="Q77" s="141">
        <f>IFERROR(J77/K77,"")</f>
        <v/>
      </c>
      <c r="R77" s="137" t="inlineStr">
        <is>
          <t>Tier 3</t>
        </is>
      </c>
      <c r="S77" s="139" t="n">
        <v>0</v>
      </c>
      <c r="T77" s="137" t="inlineStr">
        <is>
          <t>CRF: T-bills $8.7bn, Repos $21.3bn. External cash $4.0bn. Note: FLOW blockchain deprecated Sep 3 2024.</t>
        </is>
      </c>
    </row>
    <row r="78" ht="15" customHeight="1" s="95">
      <c r="A78" s="137" t="inlineStr">
        <is>
          <t>2024-09a</t>
        </is>
      </c>
      <c r="B78" s="137" t="inlineStr">
        <is>
          <t>Sep-24</t>
        </is>
      </c>
      <c r="C78" s="138" t="inlineStr">
        <is>
          <t>2024-09-20</t>
        </is>
      </c>
      <c r="D78" s="137" t="inlineStr">
        <is>
          <t>Mid-Month</t>
        </is>
      </c>
      <c r="E78" s="139" t="n">
        <v>2024</v>
      </c>
      <c r="F78" s="137" t="inlineStr">
        <is>
          <t>Deloitte</t>
        </is>
      </c>
      <c r="G78" s="137" t="inlineStr">
        <is>
          <t>Examination (AICPA AT-C 205)</t>
        </is>
      </c>
      <c r="H78" s="137" t="inlineStr">
        <is>
          <t>Circle Internet Group, Inc.</t>
        </is>
      </c>
      <c r="I78" s="140" t="n">
        <v>35720351897</v>
      </c>
      <c r="J78" s="140" t="n">
        <v>35784541745</v>
      </c>
      <c r="K78" s="140" t="n">
        <v>35720351897</v>
      </c>
      <c r="L78" s="140" t="n">
        <v>31088797867</v>
      </c>
      <c r="M78" s="140" t="n">
        <v>8803186597</v>
      </c>
      <c r="N78" s="140" t="n">
        <v>21377000000</v>
      </c>
      <c r="O78" s="140" t="n">
        <v>4695743878</v>
      </c>
      <c r="P78" s="140">
        <f>J78-K78</f>
        <v/>
      </c>
      <c r="Q78" s="141">
        <f>IFERROR(J78/K78,"")</f>
        <v/>
      </c>
      <c r="R78" s="137" t="inlineStr">
        <is>
          <t>Tier 3</t>
        </is>
      </c>
      <c r="S78" s="139" t="n">
        <v>0</v>
      </c>
      <c r="T78" s="137" t="inlineStr">
        <is>
          <t>UTC time standard adopted. CRF: T-bills $8.8bn, Repos $21.4bn. External cash $4.7bn.</t>
        </is>
      </c>
    </row>
    <row r="79" ht="15" customHeight="1" s="95">
      <c r="A79" s="137" t="inlineStr">
        <is>
          <t>2024-09b</t>
        </is>
      </c>
      <c r="B79" s="137" t="inlineStr">
        <is>
          <t>Sep-24</t>
        </is>
      </c>
      <c r="C79" s="138" t="inlineStr">
        <is>
          <t>2024-09-30</t>
        </is>
      </c>
      <c r="D79" s="137" t="inlineStr">
        <is>
          <t>Month-End</t>
        </is>
      </c>
      <c r="E79" s="139" t="n">
        <v>2024</v>
      </c>
      <c r="F79" s="137" t="inlineStr">
        <is>
          <t>Deloitte</t>
        </is>
      </c>
      <c r="G79" s="137" t="inlineStr">
        <is>
          <t>Examination (AICPA AT-C 205)</t>
        </is>
      </c>
      <c r="H79" s="137" t="inlineStr">
        <is>
          <t>Circle Internet Group, Inc.</t>
        </is>
      </c>
      <c r="I79" s="140" t="n">
        <v>35468964901</v>
      </c>
      <c r="J79" s="140" t="n">
        <v>35533322286</v>
      </c>
      <c r="K79" s="140" t="n">
        <v>35468964901</v>
      </c>
      <c r="L79" s="140" t="n">
        <v>31488797867</v>
      </c>
      <c r="M79" s="140" t="n">
        <v>8059348784</v>
      </c>
      <c r="N79" s="140" t="n">
        <v>22556000000</v>
      </c>
      <c r="O79" s="140" t="n">
        <v>4044524419</v>
      </c>
      <c r="P79" s="140">
        <f>J79-K79</f>
        <v/>
      </c>
      <c r="Q79" s="141">
        <f>IFERROR(J79/K79,"")</f>
        <v/>
      </c>
      <c r="R79" s="137" t="inlineStr">
        <is>
          <t>Tier 3</t>
        </is>
      </c>
      <c r="S79" s="139" t="n">
        <v>0</v>
      </c>
      <c r="T79" s="137" t="inlineStr">
        <is>
          <t>CRF: T-bills $8.1bn, Repos $22.6bn. External cash $4.0bn.</t>
        </is>
      </c>
    </row>
    <row r="80" ht="15" customHeight="1" s="95">
      <c r="A80" s="137" t="inlineStr">
        <is>
          <t>2024-10a</t>
        </is>
      </c>
      <c r="B80" s="137" t="inlineStr">
        <is>
          <t>Oct-24</t>
        </is>
      </c>
      <c r="C80" s="138" t="inlineStr">
        <is>
          <t>2024-10-07</t>
        </is>
      </c>
      <c r="D80" s="137" t="inlineStr">
        <is>
          <t>Mid-Month</t>
        </is>
      </c>
      <c r="E80" s="139" t="n">
        <v>2024</v>
      </c>
      <c r="F80" s="137" t="inlineStr">
        <is>
          <t>Deloitte</t>
        </is>
      </c>
      <c r="G80" s="137" t="inlineStr">
        <is>
          <t>Examination (AICPA AT-C 205)</t>
        </is>
      </c>
      <c r="H80" s="137" t="inlineStr">
        <is>
          <t>Circle Internet Group, Inc.</t>
        </is>
      </c>
      <c r="I80" s="140" t="n">
        <v>35259575752</v>
      </c>
      <c r="J80" s="140" t="n">
        <v>35323765191</v>
      </c>
      <c r="K80" s="140" t="n">
        <v>35259575752</v>
      </c>
      <c r="L80" s="140" t="n">
        <v>31488797867</v>
      </c>
      <c r="M80" s="140" t="n">
        <v>8575834259</v>
      </c>
      <c r="N80" s="140" t="n">
        <v>22627000000</v>
      </c>
      <c r="O80" s="140" t="n">
        <v>3834967324</v>
      </c>
      <c r="P80" s="140">
        <f>J80-K80</f>
        <v/>
      </c>
      <c r="Q80" s="141">
        <f>IFERROR(J80/K80,"")</f>
        <v/>
      </c>
      <c r="R80" s="137" t="inlineStr">
        <is>
          <t>Tier 3</t>
        </is>
      </c>
      <c r="S80" s="139" t="n">
        <v>0</v>
      </c>
      <c r="T80" s="137" t="inlineStr">
        <is>
          <t>CRF: T-bills $8.6bn, Repos $22.6bn. External cash $3.9bn.</t>
        </is>
      </c>
    </row>
    <row r="81" ht="15" customHeight="1" s="95">
      <c r="A81" s="137" t="inlineStr">
        <is>
          <t>2024-10b</t>
        </is>
      </c>
      <c r="B81" s="137" t="inlineStr">
        <is>
          <t>Oct-24</t>
        </is>
      </c>
      <c r="C81" s="138" t="inlineStr">
        <is>
          <t>2024-10-31</t>
        </is>
      </c>
      <c r="D81" s="137" t="inlineStr">
        <is>
          <t>Month-End</t>
        </is>
      </c>
      <c r="E81" s="139" t="n">
        <v>2024</v>
      </c>
      <c r="F81" s="137" t="inlineStr">
        <is>
          <t>Deloitte</t>
        </is>
      </c>
      <c r="G81" s="137" t="inlineStr">
        <is>
          <t>Examination (AICPA AT-C 205)</t>
        </is>
      </c>
      <c r="H81" s="137" t="inlineStr">
        <is>
          <t>Circle Internet Group, Inc.</t>
        </is>
      </c>
      <c r="I81" s="140" t="n">
        <v>34673185631</v>
      </c>
      <c r="J81" s="140" t="n">
        <v>34737568377</v>
      </c>
      <c r="K81" s="140" t="n">
        <v>34673185631</v>
      </c>
      <c r="L81" s="140" t="n">
        <v>30438870949</v>
      </c>
      <c r="M81" s="140" t="n">
        <v>10648250115</v>
      </c>
      <c r="N81" s="140" t="n">
        <v>18913000000</v>
      </c>
      <c r="O81" s="140" t="n">
        <v>4298697428</v>
      </c>
      <c r="P81" s="140">
        <f>J81-K81</f>
        <v/>
      </c>
      <c r="Q81" s="141">
        <f>IFERROR(J81/K81,"")</f>
        <v/>
      </c>
      <c r="R81" s="137" t="inlineStr">
        <is>
          <t>Tier 3</t>
        </is>
      </c>
      <c r="S81" s="139" t="n">
        <v>0</v>
      </c>
      <c r="T81" s="137" t="inlineStr">
        <is>
          <t>CRF: T-bills $10.6bn, Repos $18.9bn. External cash $4.3bn.</t>
        </is>
      </c>
    </row>
    <row r="82" ht="15" customHeight="1" s="95">
      <c r="A82" s="137" t="inlineStr">
        <is>
          <t>2024-11a</t>
        </is>
      </c>
      <c r="B82" s="137" t="inlineStr">
        <is>
          <t>Nov-24</t>
        </is>
      </c>
      <c r="C82" s="138" t="inlineStr">
        <is>
          <t>2024-11-27</t>
        </is>
      </c>
      <c r="D82" s="137" t="inlineStr">
        <is>
          <t>Mid-Month</t>
        </is>
      </c>
      <c r="E82" s="139" t="n">
        <v>2024</v>
      </c>
      <c r="F82" s="137" t="inlineStr">
        <is>
          <t>Deloitte</t>
        </is>
      </c>
      <c r="G82" s="137" t="inlineStr">
        <is>
          <t>Examination (AICPA AT-C 205)</t>
        </is>
      </c>
      <c r="H82" s="137" t="inlineStr">
        <is>
          <t>Circle Internet Group, Inc.</t>
        </is>
      </c>
      <c r="I82" s="140" t="n">
        <v>39412456784</v>
      </c>
      <c r="J82" s="140" t="n">
        <v>39477067526</v>
      </c>
      <c r="K82" s="140" t="n">
        <v>39412456784</v>
      </c>
      <c r="L82" s="140" t="n">
        <v>33364218676</v>
      </c>
      <c r="M82" s="140" t="n">
        <v>15117317784</v>
      </c>
      <c r="N82" s="140" t="n">
        <v>19343000000</v>
      </c>
      <c r="O82" s="140" t="n">
        <v>6112848850</v>
      </c>
      <c r="P82" s="140">
        <f>J82-K82</f>
        <v/>
      </c>
      <c r="Q82" s="141">
        <f>IFERROR(J82/K82,"")</f>
        <v/>
      </c>
      <c r="R82" s="137" t="inlineStr">
        <is>
          <t>Tier 3</t>
        </is>
      </c>
      <c r="S82" s="139" t="n">
        <v>0</v>
      </c>
      <c r="T82" s="137" t="inlineStr">
        <is>
          <t>CRF: T-bills $15.1bn, Repos $19.3bn. External cash $6.1bn. Large timing adj in Fund (−$2.1bn).</t>
        </is>
      </c>
    </row>
    <row r="83" ht="15" customHeight="1" s="95">
      <c r="A83" s="137" t="inlineStr">
        <is>
          <t>2024-11b</t>
        </is>
      </c>
      <c r="B83" s="137" t="inlineStr">
        <is>
          <t>Nov-24</t>
        </is>
      </c>
      <c r="C83" s="138" t="inlineStr">
        <is>
          <t>2024-11-29</t>
        </is>
      </c>
      <c r="D83" s="137" t="inlineStr">
        <is>
          <t>Month-End</t>
        </is>
      </c>
      <c r="E83" s="139" t="n">
        <v>2024</v>
      </c>
      <c r="F83" s="137" t="inlineStr">
        <is>
          <t>Deloitte</t>
        </is>
      </c>
      <c r="G83" s="137" t="inlineStr">
        <is>
          <t>Examination (AICPA AT-C 205)</t>
        </is>
      </c>
      <c r="H83" s="137" t="inlineStr">
        <is>
          <t>Circle Internet Group, Inc.</t>
        </is>
      </c>
      <c r="I83" s="140" t="n">
        <v>39737020007</v>
      </c>
      <c r="J83" s="140" t="n">
        <v>39801630749</v>
      </c>
      <c r="K83" s="140" t="n">
        <v>39737020007</v>
      </c>
      <c r="L83" s="140" t="n">
        <v>33364218676</v>
      </c>
      <c r="M83" s="140" t="n">
        <v>14801641265</v>
      </c>
      <c r="N83" s="140" t="n">
        <v>17680000000</v>
      </c>
      <c r="O83" s="140" t="n">
        <v>6437412073</v>
      </c>
      <c r="P83" s="140">
        <f>J83-K83</f>
        <v/>
      </c>
      <c r="Q83" s="141">
        <f>IFERROR(J83/K83,"")</f>
        <v/>
      </c>
      <c r="R83" s="137" t="inlineStr">
        <is>
          <t>Tier 3</t>
        </is>
      </c>
      <c r="S83" s="139" t="n">
        <v>0</v>
      </c>
      <c r="T83" s="137" t="inlineStr">
        <is>
          <t>CRF: T-bills $14.8bn, Repos $17.7bn. External cash $6.5bn.</t>
        </is>
      </c>
    </row>
    <row r="84" ht="15" customHeight="1" s="95">
      <c r="A84" s="137" t="inlineStr">
        <is>
          <t>2024-12a</t>
        </is>
      </c>
      <c r="B84" s="137" t="inlineStr">
        <is>
          <t>Dec-24</t>
        </is>
      </c>
      <c r="C84" s="138" t="inlineStr">
        <is>
          <t>2024-12-09</t>
        </is>
      </c>
      <c r="D84" s="137" t="inlineStr">
        <is>
          <t>Mid-Month</t>
        </is>
      </c>
      <c r="E84" s="139" t="n">
        <v>2024</v>
      </c>
      <c r="F84" s="137" t="inlineStr">
        <is>
          <t>Deloitte</t>
        </is>
      </c>
      <c r="G84" s="137" t="inlineStr">
        <is>
          <t>Examination (AICPA AT-C 205)</t>
        </is>
      </c>
      <c r="H84" s="137" t="inlineStr">
        <is>
          <t>Circle Internet Group, Inc.</t>
        </is>
      </c>
      <c r="I84" s="140" t="n">
        <v>40596908123</v>
      </c>
      <c r="J84" s="140" t="n">
        <v>40661528469</v>
      </c>
      <c r="K84" s="140" t="n">
        <v>40596908123</v>
      </c>
      <c r="L84" s="140" t="n">
        <v>34964228280</v>
      </c>
      <c r="M84" s="140" t="n">
        <v>15517335716</v>
      </c>
      <c r="N84" s="140" t="n">
        <v>18486000000</v>
      </c>
      <c r="O84" s="140" t="n">
        <v>5697300189</v>
      </c>
      <c r="P84" s="140">
        <f>J84-K84</f>
        <v/>
      </c>
      <c r="Q84" s="141">
        <f>IFERROR(J84/K84,"")</f>
        <v/>
      </c>
      <c r="R84" s="137" t="inlineStr">
        <is>
          <t>Tier 3</t>
        </is>
      </c>
      <c r="S84" s="139" t="n">
        <v>0</v>
      </c>
      <c r="T84" s="137" t="inlineStr">
        <is>
          <t>CRF: T-bills $15.5bn, Repos $18.5bn. External cash $5.8bn.</t>
        </is>
      </c>
    </row>
    <row r="85" ht="15" customHeight="1" s="95">
      <c r="A85" s="137" t="inlineStr">
        <is>
          <t>2024-12b</t>
        </is>
      </c>
      <c r="B85" s="137" t="inlineStr">
        <is>
          <t>Dec-24</t>
        </is>
      </c>
      <c r="C85" s="138" t="inlineStr">
        <is>
          <t>2024-12-31</t>
        </is>
      </c>
      <c r="D85" s="137" t="inlineStr">
        <is>
          <t>Month-End</t>
        </is>
      </c>
      <c r="E85" s="139" t="n">
        <v>2024</v>
      </c>
      <c r="F85" s="137" t="inlineStr">
        <is>
          <t>Deloitte</t>
        </is>
      </c>
      <c r="G85" s="137" t="inlineStr">
        <is>
          <t>Examination (AICPA AT-C 205)</t>
        </is>
      </c>
      <c r="H85" s="137" t="inlineStr">
        <is>
          <t>Circle Internet Group, Inc.</t>
        </is>
      </c>
      <c r="I85" s="140" t="n">
        <v>43856799846</v>
      </c>
      <c r="J85" s="140" t="n">
        <v>43921522065</v>
      </c>
      <c r="K85" s="140" t="n">
        <v>43856799846</v>
      </c>
      <c r="L85" s="140" t="n">
        <v>37514330156</v>
      </c>
      <c r="M85" s="140" t="n">
        <v>14787448865</v>
      </c>
      <c r="N85" s="140" t="n">
        <v>21863000000</v>
      </c>
      <c r="O85" s="140" t="n">
        <v>6407191909</v>
      </c>
      <c r="P85" s="140">
        <f>J85-K85</f>
        <v/>
      </c>
      <c r="Q85" s="141">
        <f>IFERROR(J85/K85,"")</f>
        <v/>
      </c>
      <c r="R85" s="137" t="inlineStr">
        <is>
          <t>Tier 3</t>
        </is>
      </c>
      <c r="S85" s="139" t="n">
        <v>0</v>
      </c>
      <c r="T85" s="137" t="inlineStr">
        <is>
          <t>CRF: T-bills $14.8bn, Repos $21.9bn. External cash $6.4bn. Sui blockchain added.</t>
        </is>
      </c>
    </row>
    <row r="86" ht="15" customHeight="1" s="95">
      <c r="A86" s="137" t="inlineStr">
        <is>
          <t>2025-01a</t>
        </is>
      </c>
      <c r="B86" s="137" t="inlineStr">
        <is>
          <t>Jan-25</t>
        </is>
      </c>
      <c r="C86" s="138" t="inlineStr">
        <is>
          <t>2025-01-06</t>
        </is>
      </c>
      <c r="D86" s="137" t="inlineStr">
        <is>
          <t>Mid-Month</t>
        </is>
      </c>
      <c r="E86" s="139" t="n">
        <v>2025</v>
      </c>
      <c r="F86" s="137" t="inlineStr">
        <is>
          <t>Deloitte</t>
        </is>
      </c>
      <c r="G86" s="137" t="inlineStr">
        <is>
          <t>Examination (AICPA AT-C 205)</t>
        </is>
      </c>
      <c r="H86" s="137" t="inlineStr">
        <is>
          <t>Circle Internet Group, Inc.</t>
        </is>
      </c>
      <c r="I86" s="140" t="n">
        <v>45749557136</v>
      </c>
      <c r="J86" s="140" t="n">
        <v>45814301624</v>
      </c>
      <c r="K86" s="140" t="n">
        <v>45749557136</v>
      </c>
      <c r="L86" s="140" t="n">
        <v>39514352425</v>
      </c>
      <c r="M86" s="140" t="n">
        <v>11904075163</v>
      </c>
      <c r="N86" s="140" t="n">
        <v>25947000000</v>
      </c>
      <c r="O86" s="140" t="n">
        <v>6299949199</v>
      </c>
      <c r="P86" s="140">
        <f>J86-K86</f>
        <v/>
      </c>
      <c r="Q86" s="141">
        <f>IFERROR(J86/K86,"")</f>
        <v/>
      </c>
      <c r="R86" s="137" t="inlineStr">
        <is>
          <t>Tier 3</t>
        </is>
      </c>
      <c r="S86" s="139" t="n">
        <v>0</v>
      </c>
      <c r="T86" s="137" t="inlineStr">
        <is>
          <t>Legal entity: Circle Internet Group Inc (confirmed). T-bills $11.9bn, Repos $25.9bn. External cash $6.3bn.</t>
        </is>
      </c>
    </row>
    <row r="87" ht="15" customHeight="1" s="95">
      <c r="A87" s="137" t="inlineStr">
        <is>
          <t>2025-01b</t>
        </is>
      </c>
      <c r="B87" s="137" t="inlineStr">
        <is>
          <t>Jan-25</t>
        </is>
      </c>
      <c r="C87" s="138" t="inlineStr">
        <is>
          <t>2025-01-31</t>
        </is>
      </c>
      <c r="D87" s="137" t="inlineStr">
        <is>
          <t>Month-End</t>
        </is>
      </c>
      <c r="E87" s="139" t="n">
        <v>2025</v>
      </c>
      <c r="F87" s="137" t="inlineStr">
        <is>
          <t>Deloitte</t>
        </is>
      </c>
      <c r="G87" s="137" t="inlineStr">
        <is>
          <t>Examination (AICPA AT-C 205)</t>
        </is>
      </c>
      <c r="H87" s="137" t="inlineStr">
        <is>
          <t>Circle Internet Group, Inc.</t>
        </is>
      </c>
      <c r="I87" s="140" t="n">
        <v>53218939728</v>
      </c>
      <c r="J87" s="140" t="n">
        <v>53283800358</v>
      </c>
      <c r="K87" s="140" t="n">
        <v>53218939728</v>
      </c>
      <c r="L87" s="140" t="n">
        <v>47264468524</v>
      </c>
      <c r="M87" s="140" t="n">
        <v>20801877573</v>
      </c>
      <c r="N87" s="140" t="n">
        <v>27602000000</v>
      </c>
      <c r="O87" s="140" t="n">
        <v>6019331834</v>
      </c>
      <c r="P87" s="140">
        <f>J87-K87</f>
        <v/>
      </c>
      <c r="Q87" s="141">
        <f>IFERROR(J87/K87,"")</f>
        <v/>
      </c>
      <c r="R87" s="137" t="inlineStr">
        <is>
          <t>Tier 3</t>
        </is>
      </c>
      <c r="S87" s="139" t="n">
        <v>0</v>
      </c>
      <c r="T87" s="137" t="inlineStr">
        <is>
          <t>USDC surged to $53bn. CRF: T-bills $20.8bn, Repos $27.6bn. External cash $6.0bn. Aptos blockchain added.</t>
        </is>
      </c>
    </row>
    <row r="88" ht="15" customHeight="1" s="95">
      <c r="A88" s="137" t="inlineStr">
        <is>
          <t>2025-02a</t>
        </is>
      </c>
      <c r="B88" s="137" t="inlineStr">
        <is>
          <t>Feb-25</t>
        </is>
      </c>
      <c r="C88" s="138" t="inlineStr">
        <is>
          <t>2025-02-04</t>
        </is>
      </c>
      <c r="D88" s="137" t="inlineStr">
        <is>
          <t>Mid-Month</t>
        </is>
      </c>
      <c r="E88" s="139" t="n">
        <v>2025</v>
      </c>
      <c r="F88" s="137" t="inlineStr">
        <is>
          <t>Deloitte</t>
        </is>
      </c>
      <c r="G88" s="137" t="inlineStr">
        <is>
          <t>Examination (AICPA AT-C 205)</t>
        </is>
      </c>
      <c r="H88" s="137" t="inlineStr">
        <is>
          <t>Circle Internet Group, Inc.</t>
        </is>
      </c>
      <c r="I88" s="140" t="n">
        <v>54946994369</v>
      </c>
      <c r="J88" s="140" t="n">
        <v>55011856146</v>
      </c>
      <c r="K88" s="140" t="n">
        <v>54946994369</v>
      </c>
      <c r="L88" s="140" t="n">
        <v>48264469673</v>
      </c>
      <c r="M88" s="140" t="n">
        <v>21334341582</v>
      </c>
      <c r="N88" s="140" t="n">
        <v>28339000000</v>
      </c>
      <c r="O88" s="140" t="n">
        <v>6747386473</v>
      </c>
      <c r="P88" s="140">
        <f>J88-K88</f>
        <v/>
      </c>
      <c r="Q88" s="141">
        <f>IFERROR(J88/K88,"")</f>
        <v/>
      </c>
      <c r="R88" s="137" t="inlineStr">
        <is>
          <t>Tier 3</t>
        </is>
      </c>
      <c r="S88" s="139" t="n">
        <v>0</v>
      </c>
      <c r="T88" s="137" t="inlineStr">
        <is>
          <t>CRF: T-bills $21.3bn, Repos $28.3bn. External cash $6.7bn. Unichain blockchain added.</t>
        </is>
      </c>
    </row>
    <row r="89" ht="15" customHeight="1" s="95">
      <c r="A89" s="137" t="inlineStr">
        <is>
          <t>2025-02b</t>
        </is>
      </c>
      <c r="B89" s="137" t="inlineStr">
        <is>
          <t>Feb-25</t>
        </is>
      </c>
      <c r="C89" s="138" t="inlineStr">
        <is>
          <t>2025-02-28</t>
        </is>
      </c>
      <c r="D89" s="137" t="inlineStr">
        <is>
          <t>Month-End</t>
        </is>
      </c>
      <c r="E89" s="139" t="n">
        <v>2025</v>
      </c>
      <c r="F89" s="137" t="inlineStr">
        <is>
          <t>Deloitte</t>
        </is>
      </c>
      <c r="G89" s="137" t="inlineStr">
        <is>
          <t>Examination (AICPA AT-C 205)</t>
        </is>
      </c>
      <c r="H89" s="137" t="inlineStr">
        <is>
          <t>Circle Internet Group, Inc.</t>
        </is>
      </c>
      <c r="I89" s="140" t="n">
        <v>56284318550</v>
      </c>
      <c r="J89" s="140" t="n">
        <v>56349194760</v>
      </c>
      <c r="K89" s="140" t="n">
        <v>56284318550</v>
      </c>
      <c r="L89" s="140" t="n">
        <v>49364484105</v>
      </c>
      <c r="M89" s="140" t="n">
        <v>22047086599</v>
      </c>
      <c r="N89" s="140" t="n">
        <v>27473000000</v>
      </c>
      <c r="O89" s="140" t="n">
        <v>6984710655</v>
      </c>
      <c r="P89" s="140">
        <f>J89-K89</f>
        <v/>
      </c>
      <c r="Q89" s="141">
        <f>IFERROR(J89/K89,"")</f>
        <v/>
      </c>
      <c r="R89" s="137" t="inlineStr">
        <is>
          <t>Tier 3</t>
        </is>
      </c>
      <c r="S89" s="139" t="n">
        <v>0</v>
      </c>
      <c r="T89" s="137" t="inlineStr">
        <is>
          <t>CRF: T-bills $22.0bn, Repos $27.5bn. External cash $7.0bn.</t>
        </is>
      </c>
    </row>
    <row r="90" ht="15" customHeight="1" s="95">
      <c r="A90" s="137" t="inlineStr">
        <is>
          <t>2025-03a</t>
        </is>
      </c>
      <c r="B90" s="137" t="inlineStr">
        <is>
          <t>Mar-25</t>
        </is>
      </c>
      <c r="C90" s="138" t="inlineStr">
        <is>
          <t>2025-03-19</t>
        </is>
      </c>
      <c r="D90" s="137" t="inlineStr">
        <is>
          <t>Mid-Month</t>
        </is>
      </c>
      <c r="E90" s="139" t="n">
        <v>2025</v>
      </c>
      <c r="F90" s="137" t="inlineStr">
        <is>
          <t>Deloitte</t>
        </is>
      </c>
      <c r="G90" s="137" t="inlineStr">
        <is>
          <t>Examination (AICPA AT-C 205)</t>
        </is>
      </c>
      <c r="H90" s="137" t="inlineStr">
        <is>
          <t>Circle Internet Group, Inc.</t>
        </is>
      </c>
      <c r="I90" s="140" t="n">
        <v>59082692603</v>
      </c>
      <c r="J90" s="140" t="n">
        <v>59147592128</v>
      </c>
      <c r="K90" s="140" t="n">
        <v>59082692603</v>
      </c>
      <c r="L90" s="140" t="n">
        <v>52164507220</v>
      </c>
      <c r="M90" s="140" t="n">
        <v>22220166790</v>
      </c>
      <c r="N90" s="140" t="n">
        <v>31040000000</v>
      </c>
      <c r="O90" s="140" t="n">
        <v>6983084908</v>
      </c>
      <c r="P90" s="140">
        <f>J90-K90</f>
        <v/>
      </c>
      <c r="Q90" s="141">
        <f>IFERROR(J90/K90,"")</f>
        <v/>
      </c>
      <c r="R90" s="137" t="inlineStr">
        <is>
          <t>Tier 3</t>
        </is>
      </c>
      <c r="S90" s="139" t="n">
        <v>0</v>
      </c>
      <c r="T90" s="137" t="inlineStr">
        <is>
          <t>CRF: T-bills $22.2bn, Repos $31.0bn. External cash $7.1bn. Linea blockchain added.</t>
        </is>
      </c>
    </row>
    <row r="91" ht="15" customHeight="1" s="95">
      <c r="A91" s="137" t="inlineStr">
        <is>
          <t>2025-03b</t>
        </is>
      </c>
      <c r="B91" s="137" t="inlineStr">
        <is>
          <t>Mar-25</t>
        </is>
      </c>
      <c r="C91" s="138" t="inlineStr">
        <is>
          <t>2025-03-31</t>
        </is>
      </c>
      <c r="D91" s="137" t="inlineStr">
        <is>
          <t>Month-End</t>
        </is>
      </c>
      <c r="E91" s="139" t="n">
        <v>2025</v>
      </c>
      <c r="F91" s="137" t="inlineStr">
        <is>
          <t>Deloitte</t>
        </is>
      </c>
      <c r="G91" s="137" t="inlineStr">
        <is>
          <t>Examination (AICPA AT-C 205)</t>
        </is>
      </c>
      <c r="H91" s="137" t="inlineStr">
        <is>
          <t>Circle Internet Group, Inc.</t>
        </is>
      </c>
      <c r="I91" s="140" t="n">
        <v>59975771715</v>
      </c>
      <c r="J91" s="140" t="n">
        <v>60040707040</v>
      </c>
      <c r="K91" s="140" t="n">
        <v>59975771715</v>
      </c>
      <c r="L91" s="140" t="n">
        <v>53564543222</v>
      </c>
      <c r="M91" s="140" t="n">
        <v>24862566987</v>
      </c>
      <c r="N91" s="140" t="n">
        <v>30815000000</v>
      </c>
      <c r="O91" s="140" t="n">
        <v>6476163818</v>
      </c>
      <c r="P91" s="140">
        <f>J91-K91</f>
        <v/>
      </c>
      <c r="Q91" s="141">
        <f>IFERROR(J91/K91,"")</f>
        <v/>
      </c>
      <c r="R91" s="137" t="inlineStr">
        <is>
          <t>Tier 3</t>
        </is>
      </c>
      <c r="S91" s="139" t="n">
        <v>0</v>
      </c>
      <c r="T91" s="137" t="inlineStr">
        <is>
          <t>CRF: T-bills $24.9bn, Repos $30.8bn. External cash $6.5bn.</t>
        </is>
      </c>
    </row>
    <row r="92" ht="15" customHeight="1" s="95">
      <c r="A92" s="137" t="inlineStr">
        <is>
          <t>2025-04a</t>
        </is>
      </c>
      <c r="B92" s="137" t="inlineStr">
        <is>
          <t>Apr-25</t>
        </is>
      </c>
      <c r="C92" s="138" t="inlineStr">
        <is>
          <t>2025-04-03</t>
        </is>
      </c>
      <c r="D92" s="137" t="inlineStr">
        <is>
          <t>Mid-Month</t>
        </is>
      </c>
      <c r="E92" s="139" t="n">
        <v>2025</v>
      </c>
      <c r="F92" s="137" t="inlineStr">
        <is>
          <t>Deloitte</t>
        </is>
      </c>
      <c r="G92" s="137" t="inlineStr">
        <is>
          <t>Examination (AICPA AT-C 205)</t>
        </is>
      </c>
      <c r="H92" s="137" t="inlineStr">
        <is>
          <t>Circle Internet Group, Inc.</t>
        </is>
      </c>
      <c r="I92" s="140" t="n">
        <v>60771278931</v>
      </c>
      <c r="J92" s="140" t="n">
        <v>60836214403</v>
      </c>
      <c r="K92" s="140" t="n">
        <v>60771278931</v>
      </c>
      <c r="L92" s="140" t="n">
        <v>53864543369</v>
      </c>
      <c r="M92" s="140" t="n">
        <v>24027987792</v>
      </c>
      <c r="N92" s="140" t="n">
        <v>30410000000</v>
      </c>
      <c r="O92" s="140" t="n">
        <v>6971671034</v>
      </c>
      <c r="P92" s="140">
        <f>J92-K92</f>
        <v/>
      </c>
      <c r="Q92" s="141">
        <f>IFERROR(J92/K92,"")</f>
        <v/>
      </c>
      <c r="R92" s="137" t="inlineStr">
        <is>
          <t>Tier 3</t>
        </is>
      </c>
      <c r="S92" s="139" t="n">
        <v>0</v>
      </c>
      <c r="T92" s="137" t="inlineStr">
        <is>
          <t>Legal entity changed to Circle Internet Group Inc. (IPO-related). Signatory: Tamara Schulz (CAO).</t>
        </is>
      </c>
    </row>
    <row r="93" ht="15" customHeight="1" s="95">
      <c r="A93" s="137" t="inlineStr">
        <is>
          <t>2025-04b</t>
        </is>
      </c>
      <c r="B93" s="137" t="inlineStr">
        <is>
          <t>Apr-25</t>
        </is>
      </c>
      <c r="C93" s="138" t="inlineStr">
        <is>
          <t>2025-04-30</t>
        </is>
      </c>
      <c r="D93" s="137" t="inlineStr">
        <is>
          <t>Month-End</t>
        </is>
      </c>
      <c r="E93" s="139" t="n">
        <v>2025</v>
      </c>
      <c r="F93" s="137" t="inlineStr">
        <is>
          <t>Deloitte</t>
        </is>
      </c>
      <c r="G93" s="137" t="inlineStr">
        <is>
          <t>Examination (AICPA AT-C 205)</t>
        </is>
      </c>
      <c r="H93" s="137" t="inlineStr">
        <is>
          <t>Circle Internet Group, Inc.</t>
        </is>
      </c>
      <c r="I93" s="140" t="n">
        <v>61412761631</v>
      </c>
      <c r="J93" s="140" t="n">
        <v>61477725087</v>
      </c>
      <c r="K93" s="140" t="n">
        <v>61412761631</v>
      </c>
      <c r="L93" s="140" t="n">
        <v>54214571351</v>
      </c>
      <c r="M93" s="140" t="n">
        <v>25481695229</v>
      </c>
      <c r="N93" s="140" t="n">
        <v>31439000000</v>
      </c>
      <c r="O93" s="140" t="n">
        <v>7263153736</v>
      </c>
      <c r="P93" s="140">
        <f>J93-K93</f>
        <v/>
      </c>
      <c r="Q93" s="141">
        <f>IFERROR(J93/K93,"")</f>
        <v/>
      </c>
      <c r="R93" s="137" t="inlineStr">
        <is>
          <t>Tier 3</t>
        </is>
      </c>
      <c r="S93" s="139" t="n">
        <v>0</v>
      </c>
      <c r="T93" s="137" t="inlineStr">
        <is>
          <t>Circle Gateway pending burns introduced as new deduction from circulation</t>
        </is>
      </c>
    </row>
    <row r="94" ht="15" customHeight="1" s="95">
      <c r="A94" s="137" t="inlineStr">
        <is>
          <t>2025-05a</t>
        </is>
      </c>
      <c r="B94" s="137" t="inlineStr">
        <is>
          <t>May-25</t>
        </is>
      </c>
      <c r="C94" s="138" t="inlineStr">
        <is>
          <t>2025-05-27</t>
        </is>
      </c>
      <c r="D94" s="137" t="inlineStr">
        <is>
          <t>Mid-Month</t>
        </is>
      </c>
      <c r="E94" s="139" t="n">
        <v>2025</v>
      </c>
      <c r="F94" s="137" t="inlineStr">
        <is>
          <t>Deloitte</t>
        </is>
      </c>
      <c r="G94" s="137" t="inlineStr">
        <is>
          <t>Examination (AICPA AT-C 205)</t>
        </is>
      </c>
      <c r="H94" s="137" t="inlineStr">
        <is>
          <t>Circle Internet Group, Inc.</t>
        </is>
      </c>
      <c r="I94" s="140" t="n">
        <v>61300869505</v>
      </c>
      <c r="J94" s="140" t="n">
        <v>61365878015</v>
      </c>
      <c r="K94" s="140" t="n">
        <v>61300869505</v>
      </c>
      <c r="L94" s="140" t="n">
        <v>53314616405</v>
      </c>
      <c r="M94" s="140" t="n">
        <v>28693574377</v>
      </c>
      <c r="N94" s="140" t="n">
        <v>26532000000</v>
      </c>
      <c r="O94" s="140" t="n">
        <v>8051261610</v>
      </c>
      <c r="P94" s="140">
        <f>J94-K94</f>
        <v/>
      </c>
      <c r="Q94" s="141">
        <f>IFERROR(J94/K94,"")</f>
        <v/>
      </c>
      <c r="R94" s="137" t="inlineStr">
        <is>
          <t>Tier 3</t>
        </is>
      </c>
      <c r="S94" s="139" t="n">
        <v>0</v>
      </c>
      <c r="T94" s="137" t="inlineStr">
        <is>
          <t>CRF: T-bills $28.7bn, Repos $26.5bn. External cash $8.1bn. Sonic/Worldchain blockchains added.</t>
        </is>
      </c>
    </row>
    <row r="95" ht="15" customHeight="1" s="95">
      <c r="A95" s="137" t="inlineStr">
        <is>
          <t>2025-05b</t>
        </is>
      </c>
      <c r="B95" s="137" t="inlineStr">
        <is>
          <t>May-25</t>
        </is>
      </c>
      <c r="C95" s="138" t="inlineStr">
        <is>
          <t>2025-05-30</t>
        </is>
      </c>
      <c r="D95" s="137" t="inlineStr">
        <is>
          <t>Month-End</t>
        </is>
      </c>
      <c r="E95" s="139" t="n">
        <v>2025</v>
      </c>
      <c r="F95" s="137" t="inlineStr">
        <is>
          <t>Deloitte</t>
        </is>
      </c>
      <c r="G95" s="137" t="inlineStr">
        <is>
          <t>Examination (AICPA AT-C 205)</t>
        </is>
      </c>
      <c r="H95" s="137" t="inlineStr">
        <is>
          <t>Circle Internet Group, Inc.</t>
        </is>
      </c>
      <c r="I95" s="140" t="n">
        <v>60883338651</v>
      </c>
      <c r="J95" s="140" t="n">
        <v>60948366559</v>
      </c>
      <c r="K95" s="140" t="n">
        <v>60883338651</v>
      </c>
      <c r="L95" s="140" t="n">
        <v>53064635802</v>
      </c>
      <c r="M95" s="140" t="n">
        <v>28342482586</v>
      </c>
      <c r="N95" s="140" t="n">
        <v>25402000000</v>
      </c>
      <c r="O95" s="140" t="n">
        <v>7883730757</v>
      </c>
      <c r="P95" s="140">
        <f>J95-K95</f>
        <v/>
      </c>
      <c r="Q95" s="141">
        <f>IFERROR(J95/K95,"")</f>
        <v/>
      </c>
      <c r="R95" s="137" t="inlineStr">
        <is>
          <t>Tier 3</t>
        </is>
      </c>
      <c r="S95" s="139" t="n">
        <v>0</v>
      </c>
      <c r="T95" s="137" t="inlineStr">
        <is>
          <t>CRF: T-bills $28.3bn, Repos $25.4bn. External cash $7.9bn.</t>
        </is>
      </c>
    </row>
    <row r="96" ht="15" customHeight="1" s="95">
      <c r="A96" s="137" t="inlineStr">
        <is>
          <t>2025-06a</t>
        </is>
      </c>
      <c r="B96" s="137" t="inlineStr">
        <is>
          <t>Jun-25</t>
        </is>
      </c>
      <c r="C96" s="138" t="inlineStr">
        <is>
          <t>2025-06-12</t>
        </is>
      </c>
      <c r="D96" s="137" t="inlineStr">
        <is>
          <t>Mid-Month</t>
        </is>
      </c>
      <c r="E96" s="139" t="n">
        <v>2025</v>
      </c>
      <c r="F96" s="137" t="inlineStr">
        <is>
          <t>Deloitte</t>
        </is>
      </c>
      <c r="G96" s="137" t="inlineStr">
        <is>
          <t>Examination (AICPA AT-C 205)</t>
        </is>
      </c>
      <c r="H96" s="137" t="inlineStr">
        <is>
          <t>Circle Internet Group, Inc.</t>
        </is>
      </c>
      <c r="I96" s="140" t="n">
        <v>60935344661</v>
      </c>
      <c r="J96" s="140" t="n">
        <v>61000387007</v>
      </c>
      <c r="K96" s="140" t="n">
        <v>60935344661</v>
      </c>
      <c r="L96" s="140" t="n">
        <v>52664650199</v>
      </c>
      <c r="M96" s="140" t="n">
        <v>24845006566</v>
      </c>
      <c r="N96" s="140" t="n">
        <v>26895000000</v>
      </c>
      <c r="O96" s="140" t="n">
        <v>8335736808</v>
      </c>
      <c r="P96" s="140">
        <f>J96-K96</f>
        <v/>
      </c>
      <c r="Q96" s="141">
        <f>IFERROR(J96/K96,"")</f>
        <v/>
      </c>
      <c r="R96" s="137" t="inlineStr">
        <is>
          <t>Tier 3</t>
        </is>
      </c>
      <c r="S96" s="139" t="n">
        <v>0</v>
      </c>
      <c r="T96" s="137" t="inlineStr">
        <is>
          <t>CRF: T-bills $24.8bn, Repos $26.9bn. External cash $8.4bn. Codex blockchain added.</t>
        </is>
      </c>
    </row>
    <row r="97" ht="15" customHeight="1" s="95">
      <c r="A97" s="137" t="inlineStr">
        <is>
          <t>2025-06b</t>
        </is>
      </c>
      <c r="B97" s="137" t="inlineStr">
        <is>
          <t>Jun-25</t>
        </is>
      </c>
      <c r="C97" s="138" t="inlineStr">
        <is>
          <t>2025-06-30</t>
        </is>
      </c>
      <c r="D97" s="137" t="inlineStr">
        <is>
          <t>Month-End</t>
        </is>
      </c>
      <c r="E97" s="139" t="n">
        <v>2025</v>
      </c>
      <c r="F97" s="137" t="inlineStr">
        <is>
          <t>Deloitte</t>
        </is>
      </c>
      <c r="G97" s="137" t="inlineStr">
        <is>
          <t>Examination (AICPA AT-C 205)</t>
        </is>
      </c>
      <c r="H97" s="137" t="inlineStr">
        <is>
          <t>Circle Internet Group, Inc.</t>
        </is>
      </c>
      <c r="I97" s="140" t="n">
        <v>61332530506</v>
      </c>
      <c r="J97" s="140" t="n">
        <v>61397784739</v>
      </c>
      <c r="K97" s="140" t="n">
        <v>61332530506</v>
      </c>
      <c r="L97" s="140" t="n">
        <v>53164862125</v>
      </c>
      <c r="M97" s="140" t="n">
        <v>27039491803</v>
      </c>
      <c r="N97" s="140" t="n">
        <v>27066000000</v>
      </c>
      <c r="O97" s="140" t="n">
        <v>8232922614</v>
      </c>
      <c r="P97" s="140">
        <f>J97-K97</f>
        <v/>
      </c>
      <c r="Q97" s="141">
        <f>IFERROR(J97/K97,"")</f>
        <v/>
      </c>
      <c r="R97" s="137" t="inlineStr">
        <is>
          <t>Tier 3</t>
        </is>
      </c>
      <c r="S97" s="139" t="n">
        <v>0</v>
      </c>
      <c r="T97" s="137" t="inlineStr">
        <is>
          <t>CRF: T-bills $27.0bn, Repos $27.1bn. External cash $8.2bn.</t>
        </is>
      </c>
    </row>
    <row r="98" ht="15" customHeight="1" s="95">
      <c r="A98" s="137" t="inlineStr">
        <is>
          <t>2025-07a</t>
        </is>
      </c>
      <c r="B98" s="137" t="inlineStr">
        <is>
          <t>Jul-25</t>
        </is>
      </c>
      <c r="C98" s="138" t="inlineStr">
        <is>
          <t>2025-07-08</t>
        </is>
      </c>
      <c r="D98" s="137" t="inlineStr">
        <is>
          <t>Mid-Month</t>
        </is>
      </c>
      <c r="E98" s="139" t="n">
        <v>2025</v>
      </c>
      <c r="F98" s="137" t="inlineStr">
        <is>
          <t>Deloitte</t>
        </is>
      </c>
      <c r="G98" s="137" t="inlineStr">
        <is>
          <t>Examination (AICPA AT-C 205)</t>
        </is>
      </c>
      <c r="H98" s="137" t="inlineStr">
        <is>
          <t>Circle Internet Group, Inc.</t>
        </is>
      </c>
      <c r="I98" s="140" t="n">
        <v>61801685654</v>
      </c>
      <c r="J98" s="140" t="n">
        <v>61866954359</v>
      </c>
      <c r="K98" s="140" t="n">
        <v>61801685654</v>
      </c>
      <c r="L98" s="140" t="n">
        <v>53664876542</v>
      </c>
      <c r="M98" s="140" t="n">
        <v>24316404371</v>
      </c>
      <c r="N98" s="140" t="n">
        <v>31382500000</v>
      </c>
      <c r="O98" s="140" t="n">
        <v>8202077817</v>
      </c>
      <c r="P98" s="140">
        <f>J98-K98</f>
        <v/>
      </c>
      <c r="Q98" s="141">
        <f>IFERROR(J98/K98,"")</f>
        <v/>
      </c>
      <c r="R98" s="137" t="inlineStr">
        <is>
          <t>Tier 3</t>
        </is>
      </c>
      <c r="S98" s="139" t="n">
        <v>0</v>
      </c>
      <c r="T98" s="137" t="inlineStr">
        <is>
          <t>CRF: T-bills $24.3bn, Repos $31.4bn. External cash $8.2bn. Ripple/Sei blockchains added.</t>
        </is>
      </c>
    </row>
    <row r="99" ht="15" customHeight="1" s="95">
      <c r="A99" s="137" t="inlineStr">
        <is>
          <t>2025-07b</t>
        </is>
      </c>
      <c r="B99" s="137" t="inlineStr">
        <is>
          <t>Jul-25</t>
        </is>
      </c>
      <c r="C99" s="138" t="inlineStr">
        <is>
          <t>2025-07-31</t>
        </is>
      </c>
      <c r="D99" s="137" t="inlineStr">
        <is>
          <t>Month-End</t>
        </is>
      </c>
      <c r="E99" s="139" t="n">
        <v>2025</v>
      </c>
      <c r="F99" s="137" t="inlineStr">
        <is>
          <t>Deloitte</t>
        </is>
      </c>
      <c r="G99" s="137" t="inlineStr">
        <is>
          <t>Examination (AICPA AT-C 205)</t>
        </is>
      </c>
      <c r="H99" s="137" t="inlineStr">
        <is>
          <t>Circle Internet Group, Inc.</t>
        </is>
      </c>
      <c r="I99" s="140" t="n">
        <v>63935611557</v>
      </c>
      <c r="J99" s="140" t="n">
        <v>64000903241</v>
      </c>
      <c r="K99" s="140" t="n">
        <v>63935611557</v>
      </c>
      <c r="L99" s="140" t="n">
        <v>55214899587</v>
      </c>
      <c r="M99" s="140" t="n">
        <v>18890847168</v>
      </c>
      <c r="N99" s="140" t="n">
        <v>35514000000</v>
      </c>
      <c r="O99" s="140" t="n">
        <v>8786003654</v>
      </c>
      <c r="P99" s="140">
        <f>J99-K99</f>
        <v/>
      </c>
      <c r="Q99" s="141">
        <f>IFERROR(J99/K99,"")</f>
        <v/>
      </c>
      <c r="R99" s="137" t="inlineStr">
        <is>
          <t>Tier 3</t>
        </is>
      </c>
      <c r="S99" s="139" t="n">
        <v>0</v>
      </c>
      <c r="T99" s="137" t="inlineStr">
        <is>
          <t>CRF: T-bills $18.9bn, Repos $35.5bn. External cash $8.8bn. USDC at $64bn.</t>
        </is>
      </c>
    </row>
    <row r="100" ht="15" customHeight="1" s="95">
      <c r="A100" s="137" t="inlineStr">
        <is>
          <t>2025-08a</t>
        </is>
      </c>
      <c r="B100" s="137" t="inlineStr">
        <is>
          <t>Aug-25</t>
        </is>
      </c>
      <c r="C100" s="138" t="inlineStr">
        <is>
          <t>2025-08-04</t>
        </is>
      </c>
      <c r="D100" s="137" t="inlineStr">
        <is>
          <t>Mid-Month</t>
        </is>
      </c>
      <c r="E100" s="139" t="n">
        <v>2025</v>
      </c>
      <c r="F100" s="137" t="inlineStr">
        <is>
          <t>Deloitte</t>
        </is>
      </c>
      <c r="G100" s="137" t="inlineStr">
        <is>
          <t>Examination (AICPA AT-C 205)</t>
        </is>
      </c>
      <c r="H100" s="137" t="inlineStr">
        <is>
          <t>Circle Internet Group, Inc.</t>
        </is>
      </c>
      <c r="I100" s="140" t="n">
        <v>64198138583</v>
      </c>
      <c r="J100" s="140" t="n">
        <v>64263432313</v>
      </c>
      <c r="K100" s="140" t="n">
        <v>64198138583</v>
      </c>
      <c r="L100" s="140" t="n">
        <v>55214901619</v>
      </c>
      <c r="M100" s="140" t="n">
        <v>21373118072</v>
      </c>
      <c r="N100" s="140" t="n">
        <v>35337000000</v>
      </c>
      <c r="O100" s="140" t="n">
        <v>9048530694</v>
      </c>
      <c r="P100" s="140">
        <f>J100-K100</f>
        <v/>
      </c>
      <c r="Q100" s="141">
        <f>IFERROR(J100/K100,"")</f>
        <v/>
      </c>
      <c r="R100" s="137" t="inlineStr">
        <is>
          <t>Tier 3</t>
        </is>
      </c>
      <c r="S100" s="139" t="n">
        <v>0</v>
      </c>
      <c r="T100" s="137" t="inlineStr">
        <is>
          <t>CRF: T-bills $21.4bn, Repos $35.3bn. External cash $9.0bn.</t>
        </is>
      </c>
    </row>
    <row r="101" ht="15" customHeight="1" s="95">
      <c r="A101" s="137" t="inlineStr">
        <is>
          <t>2025-08b</t>
        </is>
      </c>
      <c r="B101" s="137" t="inlineStr">
        <is>
          <t>Aug-25</t>
        </is>
      </c>
      <c r="C101" s="138" t="inlineStr">
        <is>
          <t>2025-08-29</t>
        </is>
      </c>
      <c r="D101" s="137" t="inlineStr">
        <is>
          <t>Month-End</t>
        </is>
      </c>
      <c r="E101" s="139" t="n">
        <v>2025</v>
      </c>
      <c r="F101" s="137" t="inlineStr">
        <is>
          <t>Deloitte</t>
        </is>
      </c>
      <c r="G101" s="137" t="inlineStr">
        <is>
          <t>Examination (AICPA AT-C 205)</t>
        </is>
      </c>
      <c r="H101" s="137" t="inlineStr">
        <is>
          <t>Circle Internet Group, Inc.</t>
        </is>
      </c>
      <c r="I101" s="140" t="n">
        <v>71384711725</v>
      </c>
      <c r="J101" s="140" t="n">
        <v>71450126631</v>
      </c>
      <c r="K101" s="140" t="n">
        <v>71384711725</v>
      </c>
      <c r="L101" s="140" t="n">
        <v>61015022853</v>
      </c>
      <c r="M101" s="140" t="n">
        <v>24405584005</v>
      </c>
      <c r="N101" s="140" t="n">
        <v>36906000000</v>
      </c>
      <c r="O101" s="140" t="n">
        <v>10435103778</v>
      </c>
      <c r="P101" s="140">
        <f>J101-K101</f>
        <v/>
      </c>
      <c r="Q101" s="141">
        <f>IFERROR(J101/K101,"")</f>
        <v/>
      </c>
      <c r="R101" s="137" t="inlineStr">
        <is>
          <t>Tier 3</t>
        </is>
      </c>
      <c r="S101" s="139" t="n">
        <v>0</v>
      </c>
      <c r="T101" s="137" t="inlineStr">
        <is>
          <t>CRF: T-bills $24.4bn, Repos $36.9bn. External cash $10.4bn. USDC at $71bn.</t>
        </is>
      </c>
    </row>
    <row r="102" ht="15" customHeight="1" s="95">
      <c r="A102" s="137" t="inlineStr">
        <is>
          <t>2025-09a</t>
        </is>
      </c>
      <c r="B102" s="137" t="inlineStr">
        <is>
          <t>Sep-25</t>
        </is>
      </c>
      <c r="C102" s="138" t="inlineStr">
        <is>
          <t>2025-09-18</t>
        </is>
      </c>
      <c r="D102" s="137" t="inlineStr">
        <is>
          <t>Mid-Month</t>
        </is>
      </c>
      <c r="E102" s="139" t="n">
        <v>2025</v>
      </c>
      <c r="F102" s="137" t="inlineStr">
        <is>
          <t>Deloitte</t>
        </is>
      </c>
      <c r="G102" s="137" t="inlineStr">
        <is>
          <t>Examination (AICPA AT-C 205)</t>
        </is>
      </c>
      <c r="H102" s="137" t="inlineStr">
        <is>
          <t>Circle Internet Group, Inc.</t>
        </is>
      </c>
      <c r="I102" s="140" t="n">
        <v>74225102864</v>
      </c>
      <c r="J102" s="140" t="n">
        <v>74290695677</v>
      </c>
      <c r="K102" s="140" t="n">
        <v>74225102864</v>
      </c>
      <c r="L102" s="140" t="n">
        <v>64115200835</v>
      </c>
      <c r="M102" s="140" t="n">
        <v>24339807688</v>
      </c>
      <c r="N102" s="140" t="n">
        <v>38899000000</v>
      </c>
      <c r="O102" s="140" t="n">
        <v>10175494842</v>
      </c>
      <c r="P102" s="140">
        <f>J102-K102</f>
        <v/>
      </c>
      <c r="Q102" s="141">
        <f>IFERROR(J102/K102,"")</f>
        <v/>
      </c>
      <c r="R102" s="137" t="inlineStr">
        <is>
          <t>Tier 3</t>
        </is>
      </c>
      <c r="S102" s="139" t="n">
        <v>0</v>
      </c>
      <c r="T102" s="137" t="inlineStr">
        <is>
          <t>USDC surpassed $74bn – near all-time high at time of report</t>
        </is>
      </c>
    </row>
    <row r="103" ht="15" customHeight="1" s="95">
      <c r="A103" s="137" t="inlineStr">
        <is>
          <t>2025-09b</t>
        </is>
      </c>
      <c r="B103" s="137" t="inlineStr">
        <is>
          <t>Sep-25</t>
        </is>
      </c>
      <c r="C103" s="138" t="inlineStr">
        <is>
          <t>2025-09-30</t>
        </is>
      </c>
      <c r="D103" s="137" t="inlineStr">
        <is>
          <t>Month-End</t>
        </is>
      </c>
      <c r="E103" s="139" t="n">
        <v>2025</v>
      </c>
      <c r="F103" s="137" t="inlineStr">
        <is>
          <t>Deloitte</t>
        </is>
      </c>
      <c r="G103" s="137" t="inlineStr">
        <is>
          <t>Examination (AICPA AT-C 205)</t>
        </is>
      </c>
      <c r="H103" s="137" t="inlineStr">
        <is>
          <t>Circle Internet Group, Inc.</t>
        </is>
      </c>
      <c r="I103" s="140" t="n">
        <v>73748934193</v>
      </c>
      <c r="J103" s="140" t="n">
        <v>73814526973</v>
      </c>
      <c r="K103" s="140" t="n">
        <v>73748934193</v>
      </c>
      <c r="L103" s="140" t="n">
        <v>64165200835</v>
      </c>
      <c r="M103" s="140" t="n">
        <v>21761417417</v>
      </c>
      <c r="N103" s="140" t="n">
        <v>41619000000</v>
      </c>
      <c r="O103" s="140" t="n">
        <v>9649326138</v>
      </c>
      <c r="P103" s="140">
        <f>J103-K103</f>
        <v/>
      </c>
      <c r="Q103" s="141">
        <f>IFERROR(J103/K103,"")</f>
        <v/>
      </c>
      <c r="R103" s="137" t="inlineStr">
        <is>
          <t>Tier 3</t>
        </is>
      </c>
      <c r="S103" s="139" t="n">
        <v>0</v>
      </c>
      <c r="T103" s="137" t="n"/>
    </row>
    <row r="104" ht="15" customHeight="1" s="95">
      <c r="A104" s="137" t="inlineStr">
        <is>
          <t>2025-10a</t>
        </is>
      </c>
      <c r="B104" s="137" t="inlineStr">
        <is>
          <t>Oct-25</t>
        </is>
      </c>
      <c r="C104" s="138" t="inlineStr">
        <is>
          <t>2025-10-13</t>
        </is>
      </c>
      <c r="D104" s="137" t="inlineStr">
        <is>
          <t>Mid-Month</t>
        </is>
      </c>
      <c r="E104" s="139" t="n">
        <v>2025</v>
      </c>
      <c r="F104" s="137" t="inlineStr">
        <is>
          <t>Deloitte</t>
        </is>
      </c>
      <c r="G104" s="137" t="inlineStr">
        <is>
          <t>Examination (AICPA AT-C 205)</t>
        </is>
      </c>
      <c r="H104" s="137" t="inlineStr">
        <is>
          <t>Circle Internet Group, Inc.</t>
        </is>
      </c>
      <c r="I104" s="140" t="n">
        <v>75722097497</v>
      </c>
      <c r="J104" s="140" t="n">
        <v>75787781613</v>
      </c>
      <c r="K104" s="140" t="n">
        <v>75722097497</v>
      </c>
      <c r="L104" s="140" t="n">
        <v>65665292160</v>
      </c>
      <c r="M104" s="140" t="n">
        <v>23713203937</v>
      </c>
      <c r="N104" s="140" t="n">
        <v>42718000000</v>
      </c>
      <c r="O104" s="140" t="n">
        <v>10122489453</v>
      </c>
      <c r="P104" s="140">
        <f>J104-K104</f>
        <v/>
      </c>
      <c r="Q104" s="141">
        <f>IFERROR(J104/K104,"")</f>
        <v/>
      </c>
      <c r="R104" s="137" t="inlineStr">
        <is>
          <t>Tier 3</t>
        </is>
      </c>
      <c r="S104" s="139" t="n">
        <v>0</v>
      </c>
      <c r="T104" s="137" t="n"/>
    </row>
    <row r="105" ht="15" customHeight="1" s="95">
      <c r="A105" s="137" t="inlineStr">
        <is>
          <t>2025-10b</t>
        </is>
      </c>
      <c r="B105" s="137" t="inlineStr">
        <is>
          <t>Oct-25</t>
        </is>
      </c>
      <c r="C105" s="138" t="inlineStr">
        <is>
          <t>2025-10-31</t>
        </is>
      </c>
      <c r="D105" s="137" t="inlineStr">
        <is>
          <t>Month-End</t>
        </is>
      </c>
      <c r="E105" s="139" t="n">
        <v>2025</v>
      </c>
      <c r="F105" s="137" t="inlineStr">
        <is>
          <t>Deloitte</t>
        </is>
      </c>
      <c r="G105" s="137" t="inlineStr">
        <is>
          <t>Examination (AICPA AT-C 205)</t>
        </is>
      </c>
      <c r="H105" s="137" t="inlineStr">
        <is>
          <t>Circle Internet Group, Inc.</t>
        </is>
      </c>
      <c r="I105" s="140" t="n">
        <v>75812280166</v>
      </c>
      <c r="J105" s="140" t="n">
        <v>75878386060</v>
      </c>
      <c r="K105" s="140" t="n">
        <v>75812280166</v>
      </c>
      <c r="L105" s="140" t="n">
        <v>66065713969</v>
      </c>
      <c r="M105" s="140" t="n">
        <v>26868073557</v>
      </c>
      <c r="N105" s="140" t="n">
        <v>40196000000</v>
      </c>
      <c r="O105" s="140" t="n">
        <v>9812672091</v>
      </c>
      <c r="P105" s="140">
        <f>J105-K105</f>
        <v/>
      </c>
      <c r="Q105" s="141">
        <f>IFERROR(J105/K105,"")</f>
        <v/>
      </c>
      <c r="R105" s="137" t="inlineStr">
        <is>
          <t>Tier 3</t>
        </is>
      </c>
      <c r="S105" s="139" t="n">
        <v>0</v>
      </c>
      <c r="T105" s="137" t="n"/>
    </row>
    <row r="106" ht="15" customHeight="1" s="95">
      <c r="A106" s="137" t="inlineStr">
        <is>
          <t>2025-11a</t>
        </is>
      </c>
      <c r="B106" s="137" t="inlineStr">
        <is>
          <t>Nov-25</t>
        </is>
      </c>
      <c r="C106" s="138" t="inlineStr">
        <is>
          <t>2025-11-03</t>
        </is>
      </c>
      <c r="D106" s="137" t="inlineStr">
        <is>
          <t>Mid-Month</t>
        </is>
      </c>
      <c r="E106" s="139" t="n">
        <v>2025</v>
      </c>
      <c r="F106" s="137" t="inlineStr">
        <is>
          <t>Deloitte</t>
        </is>
      </c>
      <c r="G106" s="137" t="inlineStr">
        <is>
          <t>Examination (AICPA AT-C 205)</t>
        </is>
      </c>
      <c r="H106" s="137" t="inlineStr">
        <is>
          <t>Circle Internet Group, Inc.</t>
        </is>
      </c>
      <c r="I106" s="140" t="n">
        <v>75470267265</v>
      </c>
      <c r="J106" s="140" t="n">
        <v>75536387672</v>
      </c>
      <c r="K106" s="140" t="n">
        <v>75470267265</v>
      </c>
      <c r="L106" s="140" t="n">
        <v>65565728333</v>
      </c>
      <c r="M106" s="140" t="n">
        <v>26870386119</v>
      </c>
      <c r="N106" s="140" t="n">
        <v>40146000000</v>
      </c>
      <c r="O106" s="140" t="n">
        <v>9970659339</v>
      </c>
      <c r="P106" s="140">
        <f>J106-K106</f>
        <v/>
      </c>
      <c r="Q106" s="141">
        <f>IFERROR(J106/K106,"")</f>
        <v/>
      </c>
      <c r="R106" s="137" t="inlineStr">
        <is>
          <t>Tier 3</t>
        </is>
      </c>
      <c r="S106" s="139" t="n">
        <v>0</v>
      </c>
      <c r="T106" s="137" t="inlineStr">
        <is>
          <t>CRF: T-bills $26.9bn, Repos $40.1bn. External cash $10.0bn. HyperEVM/Ink/Monad/Plume/XDC added.</t>
        </is>
      </c>
    </row>
    <row r="107" ht="15" customHeight="1" s="95">
      <c r="A107" s="137" t="inlineStr">
        <is>
          <t>2025-11b</t>
        </is>
      </c>
      <c r="B107" s="137" t="inlineStr">
        <is>
          <t>Nov-25</t>
        </is>
      </c>
      <c r="C107" s="138" t="inlineStr">
        <is>
          <t>2025-11-28</t>
        </is>
      </c>
      <c r="D107" s="137" t="inlineStr">
        <is>
          <t>Month-End</t>
        </is>
      </c>
      <c r="E107" s="139" t="n">
        <v>2025</v>
      </c>
      <c r="F107" s="137" t="inlineStr">
        <is>
          <t>Deloitte</t>
        </is>
      </c>
      <c r="G107" s="137" t="inlineStr">
        <is>
          <t>Examination (AICPA AT-C 205)</t>
        </is>
      </c>
      <c r="H107" s="137" t="inlineStr">
        <is>
          <t>Circle Internet Group, Inc.</t>
        </is>
      </c>
      <c r="I107" s="140" t="n">
        <v>76435499580</v>
      </c>
      <c r="J107" s="140" t="n">
        <v>76502172739</v>
      </c>
      <c r="K107" s="140" t="n">
        <v>76435499580</v>
      </c>
      <c r="L107" s="140" t="n">
        <v>65966281154</v>
      </c>
      <c r="M107" s="140" t="n">
        <v>24515510489</v>
      </c>
      <c r="N107" s="140" t="n">
        <v>40649000000</v>
      </c>
      <c r="O107" s="140" t="n">
        <v>10535891585</v>
      </c>
      <c r="P107" s="140">
        <f>J107-K107</f>
        <v/>
      </c>
      <c r="Q107" s="141">
        <f>IFERROR(J107/K107,"")</f>
        <v/>
      </c>
      <c r="R107" s="137" t="inlineStr">
        <is>
          <t>Tier 3</t>
        </is>
      </c>
      <c r="S107" s="139" t="n">
        <v>0</v>
      </c>
      <c r="T107" s="137" t="inlineStr">
        <is>
          <t>CRF: T-bills $24.5bn, Repos $40.6bn. External cash $10.5bn.</t>
        </is>
      </c>
    </row>
    <row r="108" ht="15" customHeight="1" s="95">
      <c r="A108" s="137" t="inlineStr">
        <is>
          <t>2025-12a</t>
        </is>
      </c>
      <c r="B108" s="137" t="inlineStr">
        <is>
          <t>Dec-25</t>
        </is>
      </c>
      <c r="C108" s="138" t="inlineStr">
        <is>
          <t>2025-12-26</t>
        </is>
      </c>
      <c r="D108" s="137" t="inlineStr">
        <is>
          <t>Mid-Month</t>
        </is>
      </c>
      <c r="E108" s="139" t="n">
        <v>2025</v>
      </c>
      <c r="F108" s="137" t="inlineStr">
        <is>
          <t>Deloitte</t>
        </is>
      </c>
      <c r="G108" s="137" t="inlineStr">
        <is>
          <t>Examination (AICPA AT-C 205)</t>
        </is>
      </c>
      <c r="H108" s="137" t="inlineStr">
        <is>
          <t>Circle Internet Group, Inc.</t>
        </is>
      </c>
      <c r="I108" s="140" t="n">
        <v>76404636239</v>
      </c>
      <c r="J108" s="140" t="n">
        <v>76471507322</v>
      </c>
      <c r="K108" s="140" t="n">
        <v>76404636239</v>
      </c>
      <c r="L108" s="140" t="n">
        <v>66816479184</v>
      </c>
      <c r="M108" s="140" t="n">
        <v>17542700647</v>
      </c>
      <c r="N108" s="140" t="n">
        <v>51441000000</v>
      </c>
      <c r="O108" s="140" t="n">
        <v>9655028138</v>
      </c>
      <c r="P108" s="140">
        <f>J108-K108</f>
        <v/>
      </c>
      <c r="Q108" s="141">
        <f>IFERROR(J108/K108,"")</f>
        <v/>
      </c>
      <c r="R108" s="137" t="inlineStr">
        <is>
          <t>Tier 3</t>
        </is>
      </c>
      <c r="S108" s="139" t="n">
        <v>0</v>
      </c>
      <c r="T108" s="137" t="inlineStr">
        <is>
          <t>CRF: T-bills $17.5bn, Repos $51.4bn. External cash $9.7bn. Year-end repo concentration.</t>
        </is>
      </c>
    </row>
    <row r="109" ht="15" customHeight="1" s="95">
      <c r="A109" s="137" t="inlineStr">
        <is>
          <t>2025-12b</t>
        </is>
      </c>
      <c r="B109" s="137" t="inlineStr">
        <is>
          <t>Dec-25</t>
        </is>
      </c>
      <c r="C109" s="138" t="inlineStr">
        <is>
          <t>2025-12-31</t>
        </is>
      </c>
      <c r="D109" s="137" t="inlineStr">
        <is>
          <t>Month-End</t>
        </is>
      </c>
      <c r="E109" s="139" t="n">
        <v>2025</v>
      </c>
      <c r="F109" s="137" t="inlineStr">
        <is>
          <t>Deloitte</t>
        </is>
      </c>
      <c r="G109" s="137" t="inlineStr">
        <is>
          <t>Examination (AICPA AT-C 205)</t>
        </is>
      </c>
      <c r="H109" s="137" t="inlineStr">
        <is>
          <t>Circle Internet Group, Inc.</t>
        </is>
      </c>
      <c r="I109" s="140" t="n">
        <v>75266033823</v>
      </c>
      <c r="J109" s="140" t="n">
        <v>75332981976</v>
      </c>
      <c r="K109" s="140" t="n">
        <v>75266033823</v>
      </c>
      <c r="L109" s="140" t="n">
        <v>66316556313</v>
      </c>
      <c r="M109" s="140" t="n">
        <v>14963264493</v>
      </c>
      <c r="N109" s="140" t="n">
        <v>50790000000</v>
      </c>
      <c r="O109" s="140" t="n">
        <v>9016425663</v>
      </c>
      <c r="P109" s="140">
        <f>J109-K109</f>
        <v/>
      </c>
      <c r="Q109" s="141">
        <f>IFERROR(J109/K109,"")</f>
        <v/>
      </c>
      <c r="R109" s="137" t="inlineStr">
        <is>
          <t>Tier 3</t>
        </is>
      </c>
      <c r="S109" s="139" t="n">
        <v>0</v>
      </c>
      <c r="T109" s="137" t="inlineStr">
        <is>
          <t>CRF: T-bills $15.0bn, Repos $50.8bn. External cash $9.0bn. Year-end USDC $75bn. Starknet added.</t>
        </is>
      </c>
    </row>
  </sheetData>
  <autoFilter ref="A1:T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4" min="1" max="1"/>
    <col width="9" customWidth="1" style="94" min="2" max="2"/>
    <col width="12" customWidth="1" style="94" min="3" max="3"/>
    <col width="6" customWidth="1" style="94" min="4" max="4"/>
    <col width="14" customWidth="1" style="94" min="5" max="5"/>
    <col width="22" customWidth="1" style="94" min="6" max="6"/>
    <col width="35" customWidth="1" style="94" min="7" max="7"/>
    <col width="16" customWidth="1" style="94" min="8" max="15"/>
    <col width="14" customWidth="1" style="94" min="16" max="16"/>
    <col width="16" customWidth="1" style="94" min="17" max="17"/>
    <col width="14" customWidth="1" style="94" min="18" max="21"/>
    <col width="16" customWidth="1" style="94" min="22" max="22"/>
    <col width="14" customWidth="1" style="94" min="23" max="23"/>
    <col width="11" customWidth="1" style="94" min="24" max="24"/>
    <col width="10" customWidth="1" style="94" min="25" max="25"/>
    <col width="60" customWidth="1" style="94" min="26" max="26"/>
  </cols>
  <sheetData>
    <row r="1" ht="30" customHeight="1" s="95">
      <c r="A1" s="142" t="inlineStr">
        <is>
          <t>Row_ID</t>
        </is>
      </c>
      <c r="B1" s="142" t="inlineStr">
        <is>
          <t>Quarter</t>
        </is>
      </c>
      <c r="C1" s="142" t="inlineStr">
        <is>
          <t>Report_Date</t>
        </is>
      </c>
      <c r="D1" s="142" t="inlineStr">
        <is>
          <t>Year</t>
        </is>
      </c>
      <c r="E1" s="142" t="inlineStr">
        <is>
          <t>Auditor</t>
        </is>
      </c>
      <c r="F1" s="142" t="inlineStr">
        <is>
          <t>Assurance_Type</t>
        </is>
      </c>
      <c r="G1" s="142" t="inlineStr">
        <is>
          <t>Legal_Entity</t>
        </is>
      </c>
      <c r="H1" s="142" t="inlineStr">
        <is>
          <t>USDT_Circulation</t>
        </is>
      </c>
      <c r="I1" s="142" t="inlineStr">
        <is>
          <t>Total_Assets</t>
        </is>
      </c>
      <c r="J1" s="142" t="inlineStr">
        <is>
          <t>Total_Liabilities</t>
        </is>
      </c>
      <c r="K1" s="142" t="inlineStr">
        <is>
          <t>US_Tbills</t>
        </is>
      </c>
      <c r="L1" s="142" t="inlineStr">
        <is>
          <t>Overnight_Repos</t>
        </is>
      </c>
      <c r="M1" s="142" t="inlineStr">
        <is>
          <t>Term_Repos</t>
        </is>
      </c>
      <c r="N1" s="142" t="inlineStr">
        <is>
          <t>Money_Market_Funds</t>
        </is>
      </c>
      <c r="O1" s="142" t="inlineStr">
        <is>
          <t>Cash_Bank_Deposits</t>
        </is>
      </c>
      <c r="P1" s="142" t="inlineStr">
        <is>
          <t>Non_US_Tbills</t>
        </is>
      </c>
      <c r="Q1" s="142" t="inlineStr">
        <is>
          <t>Commercial_Paper_CDs</t>
        </is>
      </c>
      <c r="R1" s="142" t="inlineStr">
        <is>
          <t>Corporate_Bonds</t>
        </is>
      </c>
      <c r="S1" s="142" t="inlineStr">
        <is>
          <t>Precious_Metals</t>
        </is>
      </c>
      <c r="T1" s="142" t="inlineStr">
        <is>
          <t>Bitcoin</t>
        </is>
      </c>
      <c r="U1" s="142" t="inlineStr">
        <is>
          <t>Secured_Loans</t>
        </is>
      </c>
      <c r="V1" s="142" t="inlineStr">
        <is>
          <t>Other_Investments</t>
        </is>
      </c>
      <c r="W1" s="142" t="inlineStr">
        <is>
          <t>Equity_Implied</t>
        </is>
      </c>
      <c r="X1" s="142" t="inlineStr">
        <is>
          <t>ALR</t>
        </is>
      </c>
      <c r="Y1" s="142" t="inlineStr">
        <is>
          <t>Disclosure_Quality_Tier</t>
        </is>
      </c>
      <c r="Z1" s="142" t="inlineStr">
        <is>
          <t>Notes</t>
        </is>
      </c>
    </row>
    <row r="2" ht="15" customHeight="1" s="95">
      <c r="A2" s="94" t="inlineStr">
        <is>
          <t>2021-Q1a</t>
        </is>
      </c>
      <c r="B2" s="94" t="inlineStr">
        <is>
          <t>2021-Q1</t>
        </is>
      </c>
      <c r="C2" s="143" t="n">
        <v>44255</v>
      </c>
      <c r="D2" s="144" t="n">
        <v>2021</v>
      </c>
      <c r="E2" s="94" t="inlineStr">
        <is>
          <t>Moore Cayman</t>
        </is>
      </c>
      <c r="F2" s="94" t="inlineStr">
        <is>
          <t>ISAE 3000 (Revised)</t>
        </is>
      </c>
      <c r="G2" s="94" t="inlineStr">
        <is>
          <t>Tether Holdings Limited</t>
        </is>
      </c>
      <c r="H2" s="145" t="n">
        <v>35111966857</v>
      </c>
      <c r="I2" s="145" t="n">
        <v>35276327156</v>
      </c>
      <c r="J2" s="145" t="n">
        <v>35154786806</v>
      </c>
      <c r="K2" s="145" t="n"/>
      <c r="L2" s="145" t="n"/>
      <c r="M2" s="145" t="n"/>
      <c r="N2" s="145" t="n"/>
      <c r="O2" s="145" t="n"/>
      <c r="P2" s="145" t="n"/>
      <c r="Q2" s="145" t="n"/>
      <c r="R2" s="145" t="n"/>
      <c r="S2" s="145" t="n"/>
      <c r="T2" s="145" t="n"/>
      <c r="U2" s="145" t="n"/>
      <c r="V2" s="145" t="n"/>
      <c r="W2" s="145">
        <f>I2-J2</f>
        <v/>
      </c>
      <c r="X2" s="146">
        <f>IFERROR(I2/J2,"")</f>
        <v/>
      </c>
      <c r="Y2" s="94" t="inlineStr">
        <is>
          <t>Tier 1</t>
        </is>
      </c>
      <c r="Z2" s="94" t="inlineStr">
        <is>
          <t>Floor only - no asset breakdown in CRR. Moore Cayman audit. Pre-pie-chart era.</t>
        </is>
      </c>
    </row>
    <row r="3" ht="15" customHeight="1" s="95">
      <c r="A3" s="94" t="inlineStr">
        <is>
          <t>2021-Q1b</t>
        </is>
      </c>
      <c r="B3" s="94" t="inlineStr">
        <is>
          <t>2021-Q1</t>
        </is>
      </c>
      <c r="C3" s="143" t="n">
        <v>44286</v>
      </c>
      <c r="D3" s="144" t="n">
        <v>2021</v>
      </c>
      <c r="E3" s="94" t="inlineStr">
        <is>
          <t>Moore Cayman</t>
        </is>
      </c>
      <c r="F3" s="94" t="inlineStr">
        <is>
          <t>ISAE 3000 (Revised)</t>
        </is>
      </c>
      <c r="G3" s="94" t="inlineStr">
        <is>
          <t>Tether Holdings Limited</t>
        </is>
      </c>
      <c r="H3" s="145" t="n">
        <v>40855204950</v>
      </c>
      <c r="I3" s="145" t="n">
        <v>41017565708</v>
      </c>
      <c r="J3" s="145" t="n">
        <v>40868295798</v>
      </c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>
        <f>I3-J3</f>
        <v/>
      </c>
      <c r="X3" s="146">
        <f>IFERROR(I3/J3,"")</f>
        <v/>
      </c>
      <c r="Y3" s="94" t="inlineStr">
        <is>
          <t>Tier 1</t>
        </is>
      </c>
      <c r="Z3" s="94" t="inlineStr">
        <is>
          <t>Floor only. Quarter-end Q1 2021. NYAG settlement period.</t>
        </is>
      </c>
    </row>
    <row r="4" ht="15" customHeight="1" s="95">
      <c r="A4" s="94" t="inlineStr">
        <is>
          <t>2021-Q2</t>
        </is>
      </c>
      <c r="B4" s="94" t="inlineStr">
        <is>
          <t>2021-Q2</t>
        </is>
      </c>
      <c r="C4" s="143" t="n">
        <v>44377</v>
      </c>
      <c r="D4" s="144" t="n">
        <v>2021</v>
      </c>
      <c r="E4" s="94" t="inlineStr">
        <is>
          <t>Moore Cayman</t>
        </is>
      </c>
      <c r="F4" s="94" t="inlineStr">
        <is>
          <t>ISAE 3000 (Revised)</t>
        </is>
      </c>
      <c r="G4" s="94" t="inlineStr">
        <is>
          <t>Tether Holdings Limited</t>
        </is>
      </c>
      <c r="H4" s="145" t="n">
        <v>62610829196</v>
      </c>
      <c r="I4" s="145" t="n">
        <v>62773190075</v>
      </c>
      <c r="J4" s="145" t="n">
        <v>62628932116</v>
      </c>
      <c r="K4" s="145" t="n"/>
      <c r="L4" s="145" t="n"/>
      <c r="M4" s="145" t="n"/>
      <c r="N4" s="145" t="n"/>
      <c r="O4" s="145" t="n"/>
      <c r="P4" s="145" t="n"/>
      <c r="Q4" s="145" t="n"/>
      <c r="R4" s="145" t="n"/>
      <c r="S4" s="145" t="n"/>
      <c r="T4" s="145" t="n"/>
      <c r="U4" s="145" t="n"/>
      <c r="V4" s="145" t="n"/>
      <c r="W4" s="145">
        <f>I4-J4</f>
        <v/>
      </c>
      <c r="X4" s="146">
        <f>IFERROR(I4/J4,"")</f>
        <v/>
      </c>
      <c r="Y4" s="94" t="inlineStr">
        <is>
          <t>Tier 1</t>
        </is>
      </c>
      <c r="Z4" s="94" t="inlineStr">
        <is>
          <t>Floor only. Q2 2021 quarter-end. Strong supply growth.</t>
        </is>
      </c>
    </row>
    <row r="5" ht="15" customHeight="1" s="95">
      <c r="A5" s="94" t="inlineStr">
        <is>
          <t>2021-Q3</t>
        </is>
      </c>
      <c r="B5" s="94" t="inlineStr">
        <is>
          <t>2021-Q3</t>
        </is>
      </c>
      <c r="C5" s="143" t="n">
        <v>44469</v>
      </c>
      <c r="D5" s="144" t="n">
        <v>2021</v>
      </c>
      <c r="E5" s="94" t="inlineStr">
        <is>
          <t>Moore Cayman</t>
        </is>
      </c>
      <c r="F5" s="94" t="inlineStr">
        <is>
          <t>ISAE 3000 (Revised)</t>
        </is>
      </c>
      <c r="G5" s="94" t="inlineStr">
        <is>
          <t>Tether Holdings Limited</t>
        </is>
      </c>
      <c r="H5" s="145" t="n">
        <v>68994393701</v>
      </c>
      <c r="I5" s="145" t="n">
        <v>69156771674</v>
      </c>
      <c r="J5" s="145" t="n">
        <v>69010581556</v>
      </c>
      <c r="K5" s="145" t="n"/>
      <c r="L5" s="145" t="n"/>
      <c r="M5" s="145" t="n"/>
      <c r="N5" s="145" t="n"/>
      <c r="O5" s="145" t="n"/>
      <c r="P5" s="145" t="n"/>
      <c r="Q5" s="145" t="n"/>
      <c r="R5" s="145" t="n"/>
      <c r="S5" s="145" t="n"/>
      <c r="T5" s="145" t="n"/>
      <c r="U5" s="145" t="n"/>
      <c r="V5" s="145" t="n"/>
      <c r="W5" s="145">
        <f>I5-J5</f>
        <v/>
      </c>
      <c r="X5" s="146">
        <f>IFERROR(I5/J5,"")</f>
        <v/>
      </c>
      <c r="Y5" s="94" t="inlineStr">
        <is>
          <t>Tier 1</t>
        </is>
      </c>
      <c r="Z5" s="94" t="inlineStr">
        <is>
          <t>Floor only. Q3 2021. CFTC fine $41m settled Oct 2021.</t>
        </is>
      </c>
    </row>
    <row r="6" ht="15" customHeight="1" s="95">
      <c r="A6" s="94" t="inlineStr">
        <is>
          <t>2021-Q4</t>
        </is>
      </c>
      <c r="B6" s="94" t="inlineStr">
        <is>
          <t>2021-Q4</t>
        </is>
      </c>
      <c r="C6" s="143" t="n">
        <v>44561</v>
      </c>
      <c r="D6" s="144" t="n">
        <v>2021</v>
      </c>
      <c r="E6" s="94" t="inlineStr">
        <is>
          <t>MHA Cayman</t>
        </is>
      </c>
      <c r="F6" s="94" t="inlineStr">
        <is>
          <t>ISAE 3000 (Revised)</t>
        </is>
      </c>
      <c r="G6" s="94" t="inlineStr">
        <is>
          <t>Tether Holdings Limited</t>
        </is>
      </c>
      <c r="H6" s="145" t="n">
        <v>78480852949</v>
      </c>
      <c r="I6" s="145" t="n">
        <v>78675642677</v>
      </c>
      <c r="J6" s="145" t="n">
        <v>78538305451</v>
      </c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>
        <f>I6-J6</f>
        <v/>
      </c>
      <c r="X6" s="146">
        <f>IFERROR(I6/J6,"")</f>
        <v/>
      </c>
      <c r="Y6" s="94" t="inlineStr">
        <is>
          <t>Tier 1</t>
        </is>
      </c>
      <c r="Z6" s="94" t="inlineStr">
        <is>
          <t>Floor only. Q4 2021. MHA Cayman replaces Moore Cayman. Peak pre-LUNA supply.</t>
        </is>
      </c>
    </row>
    <row r="7" ht="15" customHeight="1" s="95">
      <c r="A7" s="94" t="inlineStr">
        <is>
          <t>2022-Q1</t>
        </is>
      </c>
      <c r="B7" s="94" t="inlineStr">
        <is>
          <t>2022-Q1</t>
        </is>
      </c>
      <c r="C7" s="143" t="n">
        <v>44651</v>
      </c>
      <c r="D7" s="144" t="n">
        <v>2022</v>
      </c>
      <c r="E7" s="94" t="inlineStr">
        <is>
          <t>MHA Cayman</t>
        </is>
      </c>
      <c r="F7" s="94" t="inlineStr">
        <is>
          <t>ISAE 3000 (Revised)</t>
        </is>
      </c>
      <c r="G7" s="94" t="inlineStr">
        <is>
          <t>Tether Holdings Limited</t>
        </is>
      </c>
      <c r="H7" s="145" t="n">
        <v>82188190813</v>
      </c>
      <c r="I7" s="145" t="n">
        <v>82424821101</v>
      </c>
      <c r="J7" s="145" t="n">
        <v>82262430079</v>
      </c>
      <c r="K7" s="145" t="n">
        <v>39199221428</v>
      </c>
      <c r="L7" s="145" t="n"/>
      <c r="M7" s="145" t="n"/>
      <c r="N7" s="145" t="n">
        <v>6798150552</v>
      </c>
      <c r="O7" s="145" t="n">
        <v>4100485805</v>
      </c>
      <c r="P7" s="145" t="n">
        <v>286155289</v>
      </c>
      <c r="Q7" s="145" t="n">
        <v>20096579998</v>
      </c>
      <c r="R7" s="145" t="n"/>
      <c r="S7" s="145" t="n"/>
      <c r="T7" s="145" t="n"/>
      <c r="U7" s="145" t="n">
        <v>3149732368</v>
      </c>
      <c r="V7" s="145" t="n">
        <v>8689164392</v>
      </c>
      <c r="W7" s="145">
        <f>I7-J7</f>
        <v/>
      </c>
      <c r="X7" s="146">
        <f>IFERROR(I7/J7,"")</f>
        <v/>
      </c>
      <c r="Y7" s="94" t="inlineStr">
        <is>
          <t>Tier 3</t>
        </is>
      </c>
      <c r="Z7" s="94" t="inlineStr">
        <is>
          <t>First Tier 3 breakdown. CP&amp;CDs still $20bn (76% A-1/A-1+). Corp Bonds/Precious Metals bundled. Pre-LUNA peak.</t>
        </is>
      </c>
    </row>
    <row r="8" ht="15" customHeight="1" s="95">
      <c r="A8" s="94" t="inlineStr">
        <is>
          <t>2022-Q2</t>
        </is>
      </c>
      <c r="B8" s="94" t="inlineStr">
        <is>
          <t>2022-Q2</t>
        </is>
      </c>
      <c r="C8" s="143" t="n">
        <v>44742</v>
      </c>
      <c r="D8" s="144" t="n">
        <v>2022</v>
      </c>
      <c r="E8" s="94" t="inlineStr">
        <is>
          <t>BDO Italia</t>
        </is>
      </c>
      <c r="F8" s="94" t="inlineStr">
        <is>
          <t>ISAE 3000 (Revised)</t>
        </is>
      </c>
      <c r="G8" s="94" t="inlineStr">
        <is>
          <t>Tether Holdings Limited</t>
        </is>
      </c>
      <c r="H8" s="145" t="n">
        <v>66204234509</v>
      </c>
      <c r="I8" s="145" t="n">
        <v>66409619424</v>
      </c>
      <c r="J8" s="145" t="n">
        <v>66218725778</v>
      </c>
      <c r="K8" s="145" t="n">
        <v>28856434491</v>
      </c>
      <c r="L8" s="145" t="n"/>
      <c r="M8" s="145" t="n"/>
      <c r="N8" s="145" t="n">
        <v>6810253431</v>
      </c>
      <c r="O8" s="145" t="n">
        <v>5418232067</v>
      </c>
      <c r="P8" s="145" t="n">
        <v>397150678</v>
      </c>
      <c r="Q8" s="145" t="n">
        <v>8402426505</v>
      </c>
      <c r="R8" s="145" t="n"/>
      <c r="S8" s="145" t="n"/>
      <c r="T8" s="145" t="n"/>
      <c r="U8" s="145" t="n">
        <v>4494373260</v>
      </c>
      <c r="V8" s="145" t="n">
        <v>9038733038</v>
      </c>
      <c r="W8" s="145">
        <f>I8-J8</f>
        <v/>
      </c>
      <c r="X8" s="146">
        <f>IFERROR(I8/J8,"")</f>
        <v/>
      </c>
      <c r="Y8" s="94" t="inlineStr">
        <is>
          <t>Tier 3</t>
        </is>
      </c>
      <c r="Z8" s="94" t="inlineStr">
        <is>
          <t>Post-LUNA: USDT supply down ~$16bn. BDO Italia takes audit. CP&amp;CDs cut to $8.4bn.</t>
        </is>
      </c>
    </row>
    <row r="9" ht="15" customHeight="1" s="95">
      <c r="A9" s="94" t="inlineStr">
        <is>
          <t>2022-Q3</t>
        </is>
      </c>
      <c r="B9" s="94" t="inlineStr">
        <is>
          <t>2022-Q3</t>
        </is>
      </c>
      <c r="C9" s="143" t="n">
        <v>44834</v>
      </c>
      <c r="D9" s="144" t="n">
        <v>2022</v>
      </c>
      <c r="E9" s="94" t="inlineStr">
        <is>
          <t>BDO Italia</t>
        </is>
      </c>
      <c r="F9" s="94" t="inlineStr">
        <is>
          <t>ISAE 3000 (Revised)</t>
        </is>
      </c>
      <c r="G9" s="94" t="inlineStr">
        <is>
          <t>Tether Holdings Limited</t>
        </is>
      </c>
      <c r="H9" s="145" t="n">
        <v>67805112981</v>
      </c>
      <c r="I9" s="145" t="n">
        <v>68061618458</v>
      </c>
      <c r="J9" s="145" t="n">
        <v>67811510720</v>
      </c>
      <c r="K9" s="145" t="n">
        <v>39678465980</v>
      </c>
      <c r="L9" s="145" t="n"/>
      <c r="M9" s="145" t="n"/>
      <c r="N9" s="145" t="n">
        <v>7101935591</v>
      </c>
      <c r="O9" s="145" t="n">
        <v>6077722223</v>
      </c>
      <c r="P9" s="145" t="n">
        <v>182114357</v>
      </c>
      <c r="Q9" s="145" t="n">
        <v>49981855</v>
      </c>
      <c r="R9" s="145" t="n"/>
      <c r="S9" s="145" t="n"/>
      <c r="T9" s="145" t="n"/>
      <c r="U9" s="145" t="n">
        <v>6135946415</v>
      </c>
      <c r="V9" s="145" t="n">
        <v>5811637644</v>
      </c>
      <c r="W9" s="145">
        <f>I9-J9</f>
        <v/>
      </c>
      <c r="X9" s="146">
        <f>IFERROR(I9/J9,"")</f>
        <v/>
      </c>
      <c r="Y9" s="94" t="inlineStr">
        <is>
          <t>Tier 3</t>
        </is>
      </c>
      <c r="Z9" s="94" t="inlineStr">
        <is>
          <t>CP&amp;CDs collapsed to $50m (-99%). Massive shift to US T-bills ($40bn).</t>
        </is>
      </c>
    </row>
    <row r="10" ht="15" customHeight="1" s="95">
      <c r="A10" s="94" t="inlineStr">
        <is>
          <t>2022-Q4</t>
        </is>
      </c>
      <c r="B10" s="94" t="inlineStr">
        <is>
          <t>2022-Q4</t>
        </is>
      </c>
      <c r="C10" s="143" t="n">
        <v>44926</v>
      </c>
      <c r="D10" s="144" t="n">
        <v>2022</v>
      </c>
      <c r="E10" s="94" t="inlineStr">
        <is>
          <t>BDO Italia</t>
        </is>
      </c>
      <c r="F10" s="94" t="inlineStr">
        <is>
          <t>ISAE 3000 (Revised)</t>
        </is>
      </c>
      <c r="G10" s="94" t="inlineStr">
        <is>
          <t>Tether Holdings Limited</t>
        </is>
      </c>
      <c r="H10" s="145" t="n">
        <v>66057260169</v>
      </c>
      <c r="I10" s="145" t="n">
        <v>67044148175</v>
      </c>
      <c r="J10" s="145" t="n">
        <v>66083530757</v>
      </c>
      <c r="K10" s="145" t="n">
        <v>39230259046</v>
      </c>
      <c r="L10" s="145" t="n"/>
      <c r="M10" s="145" t="n"/>
      <c r="N10" s="145" t="n">
        <v>7372926391</v>
      </c>
      <c r="O10" s="145" t="n">
        <v>5318311794</v>
      </c>
      <c r="P10" s="145" t="n">
        <v>93849833</v>
      </c>
      <c r="Q10" s="145" t="n">
        <v>0</v>
      </c>
      <c r="R10" s="145" t="n"/>
      <c r="S10" s="145" t="n"/>
      <c r="T10" s="145" t="n"/>
      <c r="U10" s="145" t="n">
        <v>5852823328</v>
      </c>
      <c r="V10" s="145" t="n">
        <v>6129883829</v>
      </c>
      <c r="W10" s="145">
        <f>I10-J10</f>
        <v/>
      </c>
      <c r="X10" s="146">
        <f>IFERROR(I10/J10,"")</f>
        <v/>
      </c>
      <c r="Y10" s="94" t="inlineStr">
        <is>
          <t>Tier 3</t>
        </is>
      </c>
      <c r="Z10" s="94" t="inlineStr">
        <is>
          <t>CP&amp;CDs = ZERO. Post-FTX. Equity buffer ~$1bn.</t>
        </is>
      </c>
    </row>
    <row r="11" ht="15" customHeight="1" s="95">
      <c r="A11" s="94" t="inlineStr">
        <is>
          <t>2023-Q1</t>
        </is>
      </c>
      <c r="B11" s="94" t="inlineStr">
        <is>
          <t>2023-Q1</t>
        </is>
      </c>
      <c r="C11" s="143" t="n">
        <v>45016</v>
      </c>
      <c r="D11" s="144" t="n">
        <v>2023</v>
      </c>
      <c r="E11" s="94" t="inlineStr">
        <is>
          <t>BDO Italia</t>
        </is>
      </c>
      <c r="F11" s="94" t="inlineStr">
        <is>
          <t>ISAE 3000 (Revised)</t>
        </is>
      </c>
      <c r="G11" s="94" t="inlineStr">
        <is>
          <t>Tether Holdings Limited</t>
        </is>
      </c>
      <c r="H11" s="145" t="n">
        <v>79372401626</v>
      </c>
      <c r="I11" s="145" t="n">
        <v>81833149345</v>
      </c>
      <c r="J11" s="145" t="n">
        <v>79390359036</v>
      </c>
      <c r="K11" s="145" t="n">
        <v>53044762609</v>
      </c>
      <c r="L11" s="145" t="n">
        <v>7500000000</v>
      </c>
      <c r="M11" s="145" t="n">
        <v>786850807</v>
      </c>
      <c r="N11" s="145" t="n">
        <v>7453204896</v>
      </c>
      <c r="O11" s="145" t="n">
        <v>481350555</v>
      </c>
      <c r="P11" s="145" t="n">
        <v>47680940</v>
      </c>
      <c r="Q11" s="145" t="n">
        <v>0</v>
      </c>
      <c r="R11" s="145" t="n">
        <v>140669244</v>
      </c>
      <c r="S11" s="145" t="n">
        <v>3391091658</v>
      </c>
      <c r="T11" s="145" t="n">
        <v>1500064140</v>
      </c>
      <c r="U11" s="145" t="n">
        <v>5349078821</v>
      </c>
      <c r="V11" s="145" t="n">
        <v>2138395675</v>
      </c>
      <c r="W11" s="145">
        <f>I11-J11</f>
        <v/>
      </c>
      <c r="X11" s="146">
        <f>IFERROR(I11/J11,"")</f>
        <v/>
      </c>
      <c r="Y11" s="94" t="inlineStr">
        <is>
          <t>Tier 3</t>
        </is>
      </c>
      <c r="Z11" s="94" t="inlineStr">
        <is>
          <t>First Bitcoin disclosure ($1.5bn). Repos split Overnight/Term. SVB stress period.</t>
        </is>
      </c>
    </row>
    <row r="12" ht="15" customHeight="1" s="95">
      <c r="A12" s="94" t="inlineStr">
        <is>
          <t>2023-Q2</t>
        </is>
      </c>
      <c r="B12" s="94" t="inlineStr">
        <is>
          <t>2023-Q2</t>
        </is>
      </c>
      <c r="C12" s="143" t="n">
        <v>45107</v>
      </c>
      <c r="D12" s="144" t="n">
        <v>2023</v>
      </c>
      <c r="E12" s="94" t="inlineStr">
        <is>
          <t>BDO Italia</t>
        </is>
      </c>
      <c r="F12" s="94" t="inlineStr">
        <is>
          <t>ISAE 3000 (Revised)</t>
        </is>
      </c>
      <c r="G12" s="94" t="inlineStr">
        <is>
          <t>Tether Holdings Limited</t>
        </is>
      </c>
      <c r="H12" s="145" t="n">
        <v>83178020411</v>
      </c>
      <c r="I12" s="145" t="n">
        <v>86499251218</v>
      </c>
      <c r="J12" s="145" t="n">
        <v>83200775340</v>
      </c>
      <c r="K12" s="145" t="n">
        <v>55809730658</v>
      </c>
      <c r="L12" s="145" t="n">
        <v>8893000000</v>
      </c>
      <c r="M12" s="145" t="n">
        <v>577232281</v>
      </c>
      <c r="N12" s="145" t="n">
        <v>8133865426</v>
      </c>
      <c r="O12" s="145" t="n">
        <v>90811797</v>
      </c>
      <c r="P12" s="145" t="n">
        <v>62937172</v>
      </c>
      <c r="Q12" s="145" t="n">
        <v>0</v>
      </c>
      <c r="R12" s="145" t="n">
        <v>115496758</v>
      </c>
      <c r="S12" s="145" t="n">
        <v>3270216824</v>
      </c>
      <c r="T12" s="145" t="n">
        <v>1676229360</v>
      </c>
      <c r="U12" s="145" t="n">
        <v>5504292639</v>
      </c>
      <c r="V12" s="145" t="n">
        <v>2365438303</v>
      </c>
      <c r="W12" s="145">
        <f>I12-J12</f>
        <v/>
      </c>
      <c r="X12" s="146">
        <f>IFERROR(I12/J12,"")</f>
        <v/>
      </c>
      <c r="Y12" s="94" t="inlineStr">
        <is>
          <t>Tier 3</t>
        </is>
      </c>
      <c r="Z12" s="94" t="inlineStr">
        <is>
          <t>Strong equity buffer $3.3bn. Cash drops to $90m (deconsolidated to MMFs).</t>
        </is>
      </c>
    </row>
    <row r="13" ht="15" customHeight="1" s="95">
      <c r="A13" s="94" t="inlineStr">
        <is>
          <t>2023-Q3</t>
        </is>
      </c>
      <c r="B13" s="94" t="inlineStr">
        <is>
          <t>2023-Q3</t>
        </is>
      </c>
      <c r="C13" s="143" t="n">
        <v>45199</v>
      </c>
      <c r="D13" s="144" t="n">
        <v>2023</v>
      </c>
      <c r="E13" s="94" t="inlineStr">
        <is>
          <t>BDO Italia</t>
        </is>
      </c>
      <c r="F13" s="94" t="inlineStr">
        <is>
          <t>ISAE 3000 (Revised)</t>
        </is>
      </c>
      <c r="G13" s="94" t="inlineStr">
        <is>
          <t>Tether Holdings Limited</t>
        </is>
      </c>
      <c r="H13" s="145" t="n">
        <v>83153363663</v>
      </c>
      <c r="I13" s="145" t="n">
        <v>86384653832</v>
      </c>
      <c r="J13" s="145" t="n">
        <v>83176997409</v>
      </c>
      <c r="K13" s="145" t="n">
        <v>56611569049</v>
      </c>
      <c r="L13" s="145" t="n">
        <v>8203000000</v>
      </c>
      <c r="M13" s="145" t="n">
        <v>652002048</v>
      </c>
      <c r="N13" s="145" t="n">
        <v>8233687005</v>
      </c>
      <c r="O13" s="145" t="n">
        <v>292641978</v>
      </c>
      <c r="P13" s="145" t="n">
        <v>65248902</v>
      </c>
      <c r="Q13" s="145" t="n">
        <v>0</v>
      </c>
      <c r="R13" s="145" t="n">
        <v>88570555</v>
      </c>
      <c r="S13" s="145" t="n">
        <v>3149722956</v>
      </c>
      <c r="T13" s="145" t="n">
        <v>1661948724</v>
      </c>
      <c r="U13" s="145" t="n">
        <v>5168269890</v>
      </c>
      <c r="V13" s="145" t="n">
        <v>2257992725</v>
      </c>
      <c r="W13" s="145">
        <f>I13-J13</f>
        <v/>
      </c>
      <c r="X13" s="146">
        <f>IFERROR(I13/J13,"")</f>
        <v/>
      </c>
      <c r="Y13" s="94" t="inlineStr">
        <is>
          <t>Tier 3</t>
        </is>
      </c>
      <c r="Z13" s="94" t="inlineStr">
        <is>
          <t>Stable position. Tether Investments Limited spun out for non-reserve investments.</t>
        </is>
      </c>
    </row>
    <row r="14" ht="15" customHeight="1" s="95">
      <c r="A14" s="94" t="inlineStr">
        <is>
          <t>2023-Q4</t>
        </is>
      </c>
      <c r="B14" s="94" t="inlineStr">
        <is>
          <t>2023-Q4</t>
        </is>
      </c>
      <c r="C14" s="143" t="n">
        <v>45291</v>
      </c>
      <c r="D14" s="144" t="n">
        <v>2023</v>
      </c>
      <c r="E14" s="94" t="inlineStr">
        <is>
          <t>BDO Italia</t>
        </is>
      </c>
      <c r="F14" s="94" t="inlineStr">
        <is>
          <t>ISAE 3000 (Revised)</t>
        </is>
      </c>
      <c r="G14" s="94" t="inlineStr">
        <is>
          <t>Tether Holdings Limited</t>
        </is>
      </c>
      <c r="H14" s="145" t="n">
        <v>91572956801</v>
      </c>
      <c r="I14" s="145" t="n">
        <v>97020394556</v>
      </c>
      <c r="J14" s="145" t="n">
        <v>91597732663</v>
      </c>
      <c r="K14" s="145" t="n">
        <v>63086013400</v>
      </c>
      <c r="L14" s="145" t="n">
        <v>9359124175</v>
      </c>
      <c r="M14" s="145" t="n">
        <v>815301051</v>
      </c>
      <c r="N14" s="145" t="n">
        <v>8339339590</v>
      </c>
      <c r="O14" s="145" t="n">
        <v>394746540</v>
      </c>
      <c r="P14" s="145" t="n">
        <v>69259151</v>
      </c>
      <c r="Q14" s="145" t="n">
        <v>0</v>
      </c>
      <c r="R14" s="145" t="n">
        <v>44412069</v>
      </c>
      <c r="S14" s="145" t="n">
        <v>3514935634</v>
      </c>
      <c r="T14" s="145" t="n">
        <v>2820162484</v>
      </c>
      <c r="U14" s="145" t="n">
        <v>4804666695</v>
      </c>
      <c r="V14" s="145" t="n">
        <v>3772433767</v>
      </c>
      <c r="W14" s="145">
        <f>I14-J14</f>
        <v/>
      </c>
      <c r="X14" s="146">
        <f>IFERROR(I14/J14,"")</f>
        <v/>
      </c>
      <c r="Y14" s="94" t="inlineStr">
        <is>
          <t>Tier 3</t>
        </is>
      </c>
      <c r="Z14" s="94" t="inlineStr">
        <is>
          <t>Equity buffer $5.4bn. Bitcoin doubles to $2.8bn. Year-end supply at $91.6bn.</t>
        </is>
      </c>
    </row>
    <row r="15" ht="15" customHeight="1" s="95">
      <c r="A15" s="94" t="inlineStr">
        <is>
          <t>2024-Q1</t>
        </is>
      </c>
      <c r="B15" s="94" t="inlineStr">
        <is>
          <t>2024-Q1</t>
        </is>
      </c>
      <c r="C15" s="143" t="n">
        <v>45382</v>
      </c>
      <c r="D15" s="144" t="n">
        <v>2024</v>
      </c>
      <c r="E15" s="94" t="inlineStr">
        <is>
          <t>BDO Italia</t>
        </is>
      </c>
      <c r="F15" s="94" t="inlineStr">
        <is>
          <t>ISAE 3000 (Revised)</t>
        </is>
      </c>
      <c r="G15" s="94" t="inlineStr">
        <is>
          <t>Tether International Limited (BVI)</t>
        </is>
      </c>
      <c r="H15" s="145" t="n">
        <v>104019279735</v>
      </c>
      <c r="I15" s="145" t="n">
        <v>110289406409</v>
      </c>
      <c r="J15" s="145" t="n">
        <v>104027539692</v>
      </c>
      <c r="K15" s="145" t="n">
        <v>74045290303</v>
      </c>
      <c r="L15" s="145" t="n">
        <v>11311946813</v>
      </c>
      <c r="M15" s="145" t="n">
        <v>838514084</v>
      </c>
      <c r="N15" s="145" t="n">
        <v>6279586483</v>
      </c>
      <c r="O15" s="145" t="n">
        <v>100264024</v>
      </c>
      <c r="P15" s="145" t="n">
        <v>122452086</v>
      </c>
      <c r="Q15" s="145" t="n">
        <v>0</v>
      </c>
      <c r="R15" s="145" t="n">
        <v>25111317</v>
      </c>
      <c r="S15" s="145" t="n">
        <v>3650599989</v>
      </c>
      <c r="T15" s="145" t="n">
        <v>5374726904</v>
      </c>
      <c r="U15" s="145" t="n">
        <v>4735309369</v>
      </c>
      <c r="V15" s="145" t="n">
        <v>3805605037</v>
      </c>
      <c r="W15" s="145">
        <f>I15-J15</f>
        <v/>
      </c>
      <c r="X15" s="146">
        <f>IFERROR(I15/J15,"")</f>
        <v/>
      </c>
      <c r="Y15" s="94" t="inlineStr">
        <is>
          <t>Tier 3</t>
        </is>
      </c>
      <c r="Z15" s="94" t="inlineStr">
        <is>
          <t>Issuance moves to Tether International (BVI). Reserves report format begins.</t>
        </is>
      </c>
    </row>
    <row r="16" ht="15" customHeight="1" s="95">
      <c r="A16" s="94" t="inlineStr">
        <is>
          <t>2024-Q2</t>
        </is>
      </c>
      <c r="B16" s="94" t="inlineStr">
        <is>
          <t>2024-Q2</t>
        </is>
      </c>
      <c r="C16" s="143" t="n">
        <v>45473</v>
      </c>
      <c r="D16" s="144" t="n">
        <v>2024</v>
      </c>
      <c r="E16" s="94" t="inlineStr">
        <is>
          <t>BDO Italia</t>
        </is>
      </c>
      <c r="F16" s="94" t="inlineStr">
        <is>
          <t>ISAE 3000 (Revised)</t>
        </is>
      </c>
      <c r="G16" s="94" t="inlineStr">
        <is>
          <t>Tether International Limited (BVI)</t>
        </is>
      </c>
      <c r="H16" s="145" t="n">
        <v>112395445973</v>
      </c>
      <c r="I16" s="145" t="n">
        <v>118436336293</v>
      </c>
      <c r="J16" s="145" t="n">
        <v>113101998938</v>
      </c>
      <c r="K16" s="145" t="n">
        <v>80948647984</v>
      </c>
      <c r="L16" s="145" t="n">
        <v>11286972273</v>
      </c>
      <c r="M16" s="145" t="n">
        <v>997373133</v>
      </c>
      <c r="N16" s="145" t="n">
        <v>6355402510</v>
      </c>
      <c r="O16" s="145" t="n">
        <v>109867228</v>
      </c>
      <c r="P16" s="145" t="n">
        <v>72412344</v>
      </c>
      <c r="Q16" s="145" t="n">
        <v>0</v>
      </c>
      <c r="R16" s="145" t="n">
        <v>17377107</v>
      </c>
      <c r="S16" s="145" t="n">
        <v>3814334566</v>
      </c>
      <c r="T16" s="145" t="n">
        <v>4734040881</v>
      </c>
      <c r="U16" s="145" t="n">
        <v>6571282257</v>
      </c>
      <c r="V16" s="145" t="n">
        <v>3528626010</v>
      </c>
      <c r="W16" s="145">
        <f>I16-J16</f>
        <v/>
      </c>
      <c r="X16" s="146">
        <f>IFERROR(I16/J16,"")</f>
        <v/>
      </c>
      <c r="Y16" s="94" t="inlineStr">
        <is>
          <t>Tier 3</t>
        </is>
      </c>
      <c r="Z16" s="94" t="inlineStr">
        <is>
          <t>Equity buffer $5.3bn. Zettahash contributed to Tether Investments.</t>
        </is>
      </c>
    </row>
    <row r="17" ht="15" customHeight="1" s="95">
      <c r="A17" s="94" t="inlineStr">
        <is>
          <t>2024-Q3</t>
        </is>
      </c>
      <c r="B17" s="94" t="inlineStr">
        <is>
          <t>2024-Q3</t>
        </is>
      </c>
      <c r="C17" s="143" t="n">
        <v>45565</v>
      </c>
      <c r="D17" s="144" t="n">
        <v>2024</v>
      </c>
      <c r="E17" s="94" t="inlineStr">
        <is>
          <t>BDO Italia</t>
        </is>
      </c>
      <c r="F17" s="94" t="inlineStr">
        <is>
          <t>ISAE 3000 (Revised)</t>
        </is>
      </c>
      <c r="G17" s="94" t="inlineStr">
        <is>
          <t>Tether International Limited (BVI)</t>
        </is>
      </c>
      <c r="H17" s="145" t="n">
        <v>119376234010</v>
      </c>
      <c r="I17" s="145" t="n">
        <v>125472000279</v>
      </c>
      <c r="J17" s="145" t="n">
        <v>119380380143</v>
      </c>
      <c r="K17" s="145" t="n">
        <v>84548020412</v>
      </c>
      <c r="L17" s="145" t="n">
        <v>12542965206</v>
      </c>
      <c r="M17" s="145" t="n">
        <v>1566204143</v>
      </c>
      <c r="N17" s="145" t="n">
        <v>6436961021</v>
      </c>
      <c r="O17" s="145" t="n">
        <v>78413266</v>
      </c>
      <c r="P17" s="145" t="n">
        <v>91310586</v>
      </c>
      <c r="Q17" s="145" t="n">
        <v>0</v>
      </c>
      <c r="R17" s="145" t="n">
        <v>17547614</v>
      </c>
      <c r="S17" s="145" t="n">
        <v>4962116508</v>
      </c>
      <c r="T17" s="145" t="n">
        <v>4782917086</v>
      </c>
      <c r="U17" s="145" t="n">
        <v>6721817210</v>
      </c>
      <c r="V17" s="145" t="n">
        <v>3723727227</v>
      </c>
      <c r="W17" s="145">
        <f>I17-J17</f>
        <v/>
      </c>
      <c r="X17" s="146">
        <f>IFERROR(I17/J17,"")</f>
        <v/>
      </c>
      <c r="Y17" s="94" t="inlineStr">
        <is>
          <t>Tier 3</t>
        </is>
      </c>
      <c r="Z17" s="94" t="inlineStr">
        <is>
          <t>Excess reserves $6.1bn (group buffer).</t>
        </is>
      </c>
    </row>
    <row r="18" ht="15" customHeight="1" s="95">
      <c r="A18" s="94" t="inlineStr">
        <is>
          <t>2024-Q4</t>
        </is>
      </c>
      <c r="B18" s="94" t="inlineStr">
        <is>
          <t>2024-Q4</t>
        </is>
      </c>
      <c r="C18" s="143" t="n">
        <v>45657</v>
      </c>
      <c r="D18" s="144" t="n">
        <v>2024</v>
      </c>
      <c r="E18" s="94" t="inlineStr">
        <is>
          <t>BDO Italia</t>
        </is>
      </c>
      <c r="F18" s="94" t="inlineStr">
        <is>
          <t>ISAE 3000 (Revised)</t>
        </is>
      </c>
      <c r="G18" s="94" t="inlineStr">
        <is>
          <t>Tether International Limited (BVI)</t>
        </is>
      </c>
      <c r="H18" s="145" t="n">
        <v>136613782874</v>
      </c>
      <c r="I18" s="145" t="n">
        <v>143704755547</v>
      </c>
      <c r="J18" s="145" t="n">
        <v>136617485006</v>
      </c>
      <c r="K18" s="145" t="n">
        <v>94471651607</v>
      </c>
      <c r="L18" s="145" t="n">
        <v>14101623321</v>
      </c>
      <c r="M18" s="145" t="n">
        <v>3077452467</v>
      </c>
      <c r="N18" s="145" t="n">
        <v>6506444067</v>
      </c>
      <c r="O18" s="145" t="n">
        <v>108844601</v>
      </c>
      <c r="P18" s="145" t="n">
        <v>69263354</v>
      </c>
      <c r="Q18" s="145" t="n">
        <v>0</v>
      </c>
      <c r="R18" s="145" t="n">
        <v>14270773</v>
      </c>
      <c r="S18" s="145" t="n">
        <v>5318875241</v>
      </c>
      <c r="T18" s="145" t="n">
        <v>7857529277</v>
      </c>
      <c r="U18" s="145" t="n">
        <v>8194007406</v>
      </c>
      <c r="V18" s="145" t="n">
        <v>3984793433</v>
      </c>
      <c r="W18" s="145">
        <f>I18-J18</f>
        <v/>
      </c>
      <c r="X18" s="146">
        <f>IFERROR(I18/J18,"")</f>
        <v/>
      </c>
      <c r="Y18" s="94" t="inlineStr">
        <is>
          <t>Tier 3</t>
        </is>
      </c>
      <c r="Z18" s="94" t="inlineStr">
        <is>
          <t>Year-end. Equity buffer $7.1bn. Bitcoin up to $7.9bn (BTC rally).</t>
        </is>
      </c>
    </row>
    <row r="19" ht="15" customHeight="1" s="95">
      <c r="A19" s="94" t="inlineStr">
        <is>
          <t>2025-Q1</t>
        </is>
      </c>
      <c r="B19" s="94" t="inlineStr">
        <is>
          <t>2025-Q1</t>
        </is>
      </c>
      <c r="C19" s="143" t="n">
        <v>45747</v>
      </c>
      <c r="D19" s="144" t="n">
        <v>2025</v>
      </c>
      <c r="E19" s="94" t="inlineStr">
        <is>
          <t>BDO Italia</t>
        </is>
      </c>
      <c r="F19" s="94" t="inlineStr">
        <is>
          <t>ISAE 3000 (Revised)</t>
        </is>
      </c>
      <c r="G19" s="94" t="inlineStr">
        <is>
          <t>Tether International, S.A. de C.V. (El Salvador)</t>
        </is>
      </c>
      <c r="H19" s="145" t="n">
        <v>143678070759</v>
      </c>
      <c r="I19" s="145" t="n">
        <v>149274515988</v>
      </c>
      <c r="J19" s="145" t="n">
        <v>143682673588</v>
      </c>
      <c r="K19" s="145" t="n">
        <v>98523657338</v>
      </c>
      <c r="L19" s="145" t="n">
        <v>15093981718</v>
      </c>
      <c r="M19" s="145" t="n">
        <v>1613610695</v>
      </c>
      <c r="N19" s="145" t="n">
        <v>6285638008</v>
      </c>
      <c r="O19" s="145" t="n">
        <v>64302555</v>
      </c>
      <c r="P19" s="145" t="n">
        <v>65886184</v>
      </c>
      <c r="Q19" s="145" t="n">
        <v>0</v>
      </c>
      <c r="R19" s="145" t="n">
        <v>14354777</v>
      </c>
      <c r="S19" s="145" t="n">
        <v>6663205657</v>
      </c>
      <c r="T19" s="145" t="n">
        <v>7662210442</v>
      </c>
      <c r="U19" s="145" t="n">
        <v>8825524405</v>
      </c>
      <c r="V19" s="145" t="n">
        <v>4462144209</v>
      </c>
      <c r="W19" s="145">
        <f>I19-J19</f>
        <v/>
      </c>
      <c r="X19" s="146">
        <f>IFERROR(I19/J19,"")</f>
        <v/>
      </c>
      <c r="Y19" s="94" t="inlineStr">
        <is>
          <t>Tier 3</t>
        </is>
      </c>
      <c r="Z19" s="94" t="inlineStr">
        <is>
          <t>Legal entity moves to El Salvador. Equity buffer $5.6bn.</t>
        </is>
      </c>
    </row>
    <row r="20" ht="15" customHeight="1" s="95">
      <c r="A20" s="94" t="inlineStr">
        <is>
          <t>2025-Q2</t>
        </is>
      </c>
      <c r="B20" s="94" t="inlineStr">
        <is>
          <t>2025-Q2</t>
        </is>
      </c>
      <c r="C20" s="143" t="n">
        <v>45838</v>
      </c>
      <c r="D20" s="144" t="n">
        <v>2025</v>
      </c>
      <c r="E20" s="94" t="inlineStr">
        <is>
          <t>BDO Italia</t>
        </is>
      </c>
      <c r="F20" s="94" t="inlineStr">
        <is>
          <t>ISAE 3000 (Revised)</t>
        </is>
      </c>
      <c r="G20" s="94" t="inlineStr">
        <is>
          <t>Tether International, S.A. de C.V. (El Salvador)</t>
        </is>
      </c>
      <c r="H20" s="145" t="n">
        <v>157100255857</v>
      </c>
      <c r="I20" s="145" t="n">
        <v>162574933798</v>
      </c>
      <c r="J20" s="145" t="n">
        <v>157108000474</v>
      </c>
      <c r="K20" s="145" t="n">
        <v>105518993610</v>
      </c>
      <c r="L20" s="145" t="n">
        <v>16341965339</v>
      </c>
      <c r="M20" s="145" t="n">
        <v>1666870344</v>
      </c>
      <c r="N20" s="145" t="n">
        <v>6345999587</v>
      </c>
      <c r="O20" s="145" t="n">
        <v>32430726</v>
      </c>
      <c r="P20" s="145" t="n">
        <v>48169774</v>
      </c>
      <c r="Q20" s="145" t="n">
        <v>0</v>
      </c>
      <c r="R20" s="145" t="n">
        <v>14605090</v>
      </c>
      <c r="S20" s="145" t="n">
        <v>8725417224</v>
      </c>
      <c r="T20" s="145" t="n">
        <v>8928174931</v>
      </c>
      <c r="U20" s="145" t="n">
        <v>10137145089</v>
      </c>
      <c r="V20" s="145" t="n">
        <v>4815162084</v>
      </c>
      <c r="W20" s="145">
        <f>I20-J20</f>
        <v/>
      </c>
      <c r="X20" s="146">
        <f>IFERROR(I20/J20,"")</f>
        <v/>
      </c>
      <c r="Y20" s="94" t="inlineStr">
        <is>
          <t>Tier 3</t>
        </is>
      </c>
      <c r="Z20" s="94" t="inlineStr">
        <is>
          <t>Equity buffer $5.5bn. Secured loans grew to $10.1bn.</t>
        </is>
      </c>
    </row>
    <row r="21" ht="15" customHeight="1" s="95">
      <c r="A21" s="94" t="inlineStr">
        <is>
          <t>2025-Q3</t>
        </is>
      </c>
      <c r="B21" s="94" t="inlineStr">
        <is>
          <t>2025-Q3</t>
        </is>
      </c>
      <c r="C21" s="143" t="n">
        <v>45930</v>
      </c>
      <c r="D21" s="144" t="n">
        <v>2025</v>
      </c>
      <c r="E21" s="94" t="inlineStr">
        <is>
          <t>BDO Italia</t>
        </is>
      </c>
      <c r="F21" s="94" t="inlineStr">
        <is>
          <t>ISAE 3000 (Revised)</t>
        </is>
      </c>
      <c r="G21" s="94" t="inlineStr">
        <is>
          <t>Tether International, S.A. de C.V. (El Salvador)</t>
        </is>
      </c>
      <c r="H21" s="145" t="n">
        <v>174356634812</v>
      </c>
      <c r="I21" s="145" t="n">
        <v>181223149214</v>
      </c>
      <c r="J21" s="145" t="n">
        <v>174445364503</v>
      </c>
      <c r="K21" s="145" t="n">
        <v>112417034272</v>
      </c>
      <c r="L21" s="145" t="n">
        <v>17991468781</v>
      </c>
      <c r="M21" s="145" t="n">
        <v>3056191686</v>
      </c>
      <c r="N21" s="145" t="n">
        <v>6409774689</v>
      </c>
      <c r="O21" s="145" t="n">
        <v>30100334</v>
      </c>
      <c r="P21" s="145" t="n">
        <v>47901280</v>
      </c>
      <c r="Q21" s="145" t="n">
        <v>0</v>
      </c>
      <c r="R21" s="145" t="n">
        <v>14672361</v>
      </c>
      <c r="S21" s="145" t="n">
        <v>12921449635</v>
      </c>
      <c r="T21" s="145" t="n">
        <v>9856011011</v>
      </c>
      <c r="U21" s="145" t="n">
        <v>14604086904</v>
      </c>
      <c r="V21" s="145" t="n">
        <v>3874458261</v>
      </c>
      <c r="W21" s="145">
        <f>I21-J21</f>
        <v/>
      </c>
      <c r="X21" s="146">
        <f>IFERROR(I21/J21,"")</f>
        <v/>
      </c>
      <c r="Y21" s="94" t="inlineStr">
        <is>
          <t>Tier 3</t>
        </is>
      </c>
      <c r="Z21" s="94" t="inlineStr">
        <is>
          <t>Equity buffer $6.8bn. Precious Metals doubled to $12.9bn (gold rally). Secured loans $14.6bn.</t>
        </is>
      </c>
    </row>
    <row r="22" ht="15" customHeight="1" s="95">
      <c r="A22" s="94" t="inlineStr">
        <is>
          <t>2025-Q4</t>
        </is>
      </c>
      <c r="B22" s="94" t="inlineStr">
        <is>
          <t>2025-Q4</t>
        </is>
      </c>
      <c r="C22" s="143" t="n">
        <v>46022</v>
      </c>
      <c r="D22" s="144" t="n">
        <v>2025</v>
      </c>
      <c r="E22" s="94" t="inlineStr">
        <is>
          <t>BDO Italia</t>
        </is>
      </c>
      <c r="F22" s="94" t="inlineStr">
        <is>
          <t>ISAE 3000 (Revised)</t>
        </is>
      </c>
      <c r="G22" s="94" t="inlineStr">
        <is>
          <t>Tether International, S.A. de C.V. (El Salvador)</t>
        </is>
      </c>
      <c r="H22" s="145" t="n">
        <v>186450610920</v>
      </c>
      <c r="I22" s="145" t="n">
        <v>192877729144</v>
      </c>
      <c r="J22" s="145" t="n">
        <v>186539895593</v>
      </c>
      <c r="K22" s="145" t="n">
        <v>122325714946</v>
      </c>
      <c r="L22" s="145" t="n">
        <v>19279408559</v>
      </c>
      <c r="M22" s="145" t="n">
        <v>5548439332</v>
      </c>
      <c r="N22" s="145" t="n">
        <v>0</v>
      </c>
      <c r="O22" s="145" t="n">
        <v>33952735</v>
      </c>
      <c r="P22" s="145" t="n">
        <v>0</v>
      </c>
      <c r="Q22" s="145" t="n">
        <v>0</v>
      </c>
      <c r="R22" s="145" t="n">
        <v>3031239</v>
      </c>
      <c r="S22" s="145" t="n">
        <v>17450435088</v>
      </c>
      <c r="T22" s="145" t="n">
        <v>8430374292</v>
      </c>
      <c r="U22" s="145" t="n">
        <v>17043516665</v>
      </c>
      <c r="V22" s="145" t="n">
        <v>2762856288</v>
      </c>
      <c r="W22" s="145">
        <f>I22-J22</f>
        <v/>
      </c>
      <c r="X22" s="146">
        <f>IFERROR(I22/J22,"")</f>
        <v/>
      </c>
      <c r="Y22" s="94" t="inlineStr">
        <is>
          <t>Tier 3</t>
        </is>
      </c>
      <c r="Z22" s="94" t="inlineStr">
        <is>
          <t>Year-end. Equity buffer $6.3bn. MMFs and Non-US Tbills ZERO (consolidated into UST direct holdings). Precious Metals $17.5bn.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94" min="1" max="1"/>
    <col width="12" customWidth="1" style="94" min="2" max="3"/>
    <col width="11" customWidth="1" style="94" min="4" max="4"/>
    <col width="7" customWidth="1" style="94" min="5" max="5"/>
    <col width="9" customWidth="1" style="94" min="6" max="6"/>
    <col width="30" customWidth="1" style="94" min="7" max="7"/>
    <col width="32" customWidth="1" style="94" min="8" max="8"/>
    <col width="18" customWidth="1" style="94" min="9" max="11"/>
    <col width="14" customWidth="1" style="94" min="12" max="12"/>
    <col width="16" customWidth="1" style="94" min="13" max="13"/>
    <col width="14" customWidth="1" style="94" min="14" max="15"/>
    <col width="16" customWidth="1" style="94" min="16" max="16"/>
    <col width="9" customWidth="1" style="94" min="17" max="17"/>
    <col width="8" customWidth="1" style="94" min="18" max="18"/>
    <col width="10" customWidth="1" style="94" min="19" max="19"/>
    <col width="55" customWidth="1" style="94" min="20" max="20"/>
  </cols>
  <sheetData>
    <row r="1" ht="51.75" customHeight="1" s="95">
      <c r="A1" s="147" t="inlineStr">
        <is>
          <t>Row_ID</t>
        </is>
      </c>
      <c r="B1" s="147" t="inlineStr">
        <is>
          <t>Month</t>
        </is>
      </c>
      <c r="C1" s="147" t="inlineStr">
        <is>
          <t>Report_Date</t>
        </is>
      </c>
      <c r="D1" s="147" t="inlineStr">
        <is>
          <t>Date_Type</t>
        </is>
      </c>
      <c r="E1" s="147" t="inlineStr">
        <is>
          <t>Year</t>
        </is>
      </c>
      <c r="F1" s="147" t="inlineStr">
        <is>
          <t>Auditor</t>
        </is>
      </c>
      <c r="G1" s="147" t="inlineStr">
        <is>
          <t>Assurance_Type</t>
        </is>
      </c>
      <c r="H1" s="147" t="inlineStr">
        <is>
          <t>Legal_Entity</t>
        </is>
      </c>
      <c r="I1" s="147" t="inlineStr">
        <is>
          <t>USDP_Circulation</t>
        </is>
      </c>
      <c r="J1" s="147" t="inlineStr">
        <is>
          <t>Total_Assets</t>
        </is>
      </c>
      <c r="K1" s="147" t="inlineStr">
        <is>
          <t>Total_Liabilities</t>
        </is>
      </c>
      <c r="L1" s="147" t="inlineStr">
        <is>
          <t>MMF_NAV</t>
        </is>
      </c>
      <c r="M1" s="147" t="inlineStr">
        <is>
          <t>US_Tbills_Direct</t>
        </is>
      </c>
      <c r="N1" s="147" t="inlineStr">
        <is>
          <t>Reverse_Repos</t>
        </is>
      </c>
      <c r="O1" s="147" t="inlineStr">
        <is>
          <t>Cash_Deposits</t>
        </is>
      </c>
      <c r="P1" s="147" t="inlineStr">
        <is>
          <t>Equity_Implied</t>
        </is>
      </c>
      <c r="Q1" s="147" t="inlineStr">
        <is>
          <t>ALR</t>
        </is>
      </c>
      <c r="R1" s="147" t="inlineStr">
        <is>
          <t>Disclosure_Quality_Tier</t>
        </is>
      </c>
      <c r="S1" s="147" t="inlineStr">
        <is>
          <t>Counterparty_Risk_Score</t>
        </is>
      </c>
      <c r="T1" s="147" t="inlineStr">
        <is>
          <t>Notes</t>
        </is>
      </c>
    </row>
    <row r="2" ht="15" customHeight="1" s="95">
      <c r="A2" s="148" t="inlineStr">
        <is>
          <t>USDP-001</t>
        </is>
      </c>
      <c r="B2" s="148" t="inlineStr">
        <is>
          <t>February</t>
        </is>
      </c>
      <c r="C2" s="149" t="n">
        <v>43889</v>
      </c>
      <c r="D2" s="148" t="inlineStr">
        <is>
          <t>Month-End</t>
        </is>
      </c>
      <c r="E2" s="148" t="n">
        <v>2020</v>
      </c>
      <c r="F2" s="148" t="inlineStr">
        <is>
          <t>Withum</t>
        </is>
      </c>
      <c r="G2" s="148" t="inlineStr">
        <is>
          <t>AICPA Examination (ISAE 3000-equivalent)</t>
        </is>
      </c>
      <c r="H2" s="148" t="inlineStr">
        <is>
          <t>Paxos Trust Company, LLC</t>
        </is>
      </c>
      <c r="I2" s="150" t="n">
        <v>199687495.74</v>
      </c>
      <c r="J2" s="151" t="n">
        <v>199687495.74</v>
      </c>
      <c r="K2" s="150">
        <f>I2</f>
        <v/>
      </c>
      <c r="L2" s="152" t="n">
        <v>0</v>
      </c>
      <c r="M2" s="148" t="n"/>
      <c r="N2" s="148" t="n"/>
      <c r="O2" s="148" t="n"/>
      <c r="P2" s="153">
        <f>IFERROR(J2-K2,"")</f>
        <v/>
      </c>
      <c r="Q2" s="154">
        <f>IFERROR(J2/K2,"")</f>
        <v/>
      </c>
      <c r="R2" s="148" t="n">
        <v>1</v>
      </c>
      <c r="S2" s="148" t="n">
        <v>0</v>
      </c>
      <c r="T2" s="148" t="n"/>
    </row>
    <row r="3" ht="15" customHeight="1" s="95">
      <c r="A3" s="148" t="inlineStr">
        <is>
          <t>USDP-002</t>
        </is>
      </c>
      <c r="B3" s="148" t="inlineStr">
        <is>
          <t>March</t>
        </is>
      </c>
      <c r="C3" s="149" t="n">
        <v>43921</v>
      </c>
      <c r="D3" s="148" t="inlineStr">
        <is>
          <t>Month-End</t>
        </is>
      </c>
      <c r="E3" s="148" t="n">
        <v>2020</v>
      </c>
      <c r="F3" s="148" t="inlineStr">
        <is>
          <t>Withum</t>
        </is>
      </c>
      <c r="G3" s="148" t="inlineStr">
        <is>
          <t>AICPA Examination (ISAE 3000-equivalent)</t>
        </is>
      </c>
      <c r="H3" s="148" t="inlineStr">
        <is>
          <t>Paxos Trust Company, LLC</t>
        </is>
      </c>
      <c r="I3" s="150" t="n">
        <v>248237336.1</v>
      </c>
      <c r="J3" s="151" t="n">
        <v>248237336.1</v>
      </c>
      <c r="K3" s="150">
        <f>I3</f>
        <v/>
      </c>
      <c r="L3" s="152" t="n">
        <v>0</v>
      </c>
      <c r="M3" s="148" t="n"/>
      <c r="N3" s="148" t="n"/>
      <c r="O3" s="148" t="n"/>
      <c r="P3" s="153">
        <f>IFERROR(J3-K3,"")</f>
        <v/>
      </c>
      <c r="Q3" s="154">
        <f>IFERROR(J3/K3,"")</f>
        <v/>
      </c>
      <c r="R3" s="148" t="n">
        <v>1</v>
      </c>
      <c r="S3" s="148" t="n">
        <v>0</v>
      </c>
      <c r="T3" s="148" t="n"/>
    </row>
    <row r="4" ht="15" customHeight="1" s="95">
      <c r="A4" s="148" t="inlineStr">
        <is>
          <t>USDP-003</t>
        </is>
      </c>
      <c r="B4" s="148" t="inlineStr">
        <is>
          <t>April</t>
        </is>
      </c>
      <c r="C4" s="149" t="n">
        <v>43951</v>
      </c>
      <c r="D4" s="148" t="inlineStr">
        <is>
          <t>Month-End</t>
        </is>
      </c>
      <c r="E4" s="148" t="n">
        <v>2020</v>
      </c>
      <c r="F4" s="148" t="inlineStr">
        <is>
          <t>Withum</t>
        </is>
      </c>
      <c r="G4" s="148" t="inlineStr">
        <is>
          <t>AICPA Examination (ISAE 3000-equivalent)</t>
        </is>
      </c>
      <c r="H4" s="148" t="inlineStr">
        <is>
          <t>Paxos Trust Company, LLC</t>
        </is>
      </c>
      <c r="I4" s="150" t="n">
        <v>254895948.61</v>
      </c>
      <c r="J4" s="151" t="n">
        <v>254895948.61</v>
      </c>
      <c r="K4" s="150">
        <f>I4</f>
        <v/>
      </c>
      <c r="L4" s="152" t="n">
        <v>0</v>
      </c>
      <c r="M4" s="148" t="n"/>
      <c r="N4" s="148" t="n"/>
      <c r="O4" s="148" t="n"/>
      <c r="P4" s="153">
        <f>IFERROR(J4-K4,"")</f>
        <v/>
      </c>
      <c r="Q4" s="154">
        <f>IFERROR(J4/K4,"")</f>
        <v/>
      </c>
      <c r="R4" s="148" t="n">
        <v>1</v>
      </c>
      <c r="S4" s="148" t="n">
        <v>0</v>
      </c>
      <c r="T4" s="148" t="n"/>
    </row>
    <row r="5" ht="15" customHeight="1" s="95">
      <c r="A5" s="148" t="inlineStr">
        <is>
          <t>USDP-004</t>
        </is>
      </c>
      <c r="B5" s="148" t="inlineStr">
        <is>
          <t>May</t>
        </is>
      </c>
      <c r="C5" s="149" t="n">
        <v>43980</v>
      </c>
      <c r="D5" s="148" t="inlineStr">
        <is>
          <t>Month-End</t>
        </is>
      </c>
      <c r="E5" s="148" t="n">
        <v>2020</v>
      </c>
      <c r="F5" s="148" t="inlineStr">
        <is>
          <t>Withum</t>
        </is>
      </c>
      <c r="G5" s="148" t="inlineStr">
        <is>
          <t>AICPA Examination (ISAE 3000-equivalent)</t>
        </is>
      </c>
      <c r="H5" s="148" t="inlineStr">
        <is>
          <t>Paxos Trust Company, LLC</t>
        </is>
      </c>
      <c r="I5" s="150" t="n">
        <v>246242928.21</v>
      </c>
      <c r="J5" s="151" t="n">
        <v>246242928.21</v>
      </c>
      <c r="K5" s="150">
        <f>I5</f>
        <v/>
      </c>
      <c r="L5" s="152" t="n">
        <v>0</v>
      </c>
      <c r="M5" s="148" t="n"/>
      <c r="N5" s="148" t="n"/>
      <c r="O5" s="148" t="n"/>
      <c r="P5" s="153">
        <f>IFERROR(J5-K5,"")</f>
        <v/>
      </c>
      <c r="Q5" s="154">
        <f>IFERROR(J5/K5,"")</f>
        <v/>
      </c>
      <c r="R5" s="148" t="n">
        <v>1</v>
      </c>
      <c r="S5" s="148" t="n">
        <v>0</v>
      </c>
      <c r="T5" s="148" t="n"/>
    </row>
    <row r="6" ht="15" customHeight="1" s="95">
      <c r="A6" s="148" t="inlineStr">
        <is>
          <t>USDP-005</t>
        </is>
      </c>
      <c r="B6" s="148" t="inlineStr">
        <is>
          <t>June</t>
        </is>
      </c>
      <c r="C6" s="149" t="n">
        <v>44012</v>
      </c>
      <c r="D6" s="148" t="inlineStr">
        <is>
          <t>Month-End</t>
        </is>
      </c>
      <c r="E6" s="148" t="n">
        <v>2020</v>
      </c>
      <c r="F6" s="148" t="inlineStr">
        <is>
          <t>Withum</t>
        </is>
      </c>
      <c r="G6" s="148" t="inlineStr">
        <is>
          <t>AICPA Examination (ISAE 3000-equivalent)</t>
        </is>
      </c>
      <c r="H6" s="148" t="inlineStr">
        <is>
          <t>Paxos Trust Company, LLC</t>
        </is>
      </c>
      <c r="I6" s="150" t="n">
        <v>239494530.17</v>
      </c>
      <c r="J6" s="151" t="n">
        <v>239494530.17</v>
      </c>
      <c r="K6" s="150">
        <f>I6</f>
        <v/>
      </c>
      <c r="L6" s="152" t="n">
        <v>0</v>
      </c>
      <c r="M6" s="148" t="n"/>
      <c r="N6" s="148" t="n"/>
      <c r="O6" s="148" t="n"/>
      <c r="P6" s="153">
        <f>IFERROR(J6-K6,"")</f>
        <v/>
      </c>
      <c r="Q6" s="154">
        <f>IFERROR(J6/K6,"")</f>
        <v/>
      </c>
      <c r="R6" s="148" t="n">
        <v>1</v>
      </c>
      <c r="S6" s="148" t="n">
        <v>0</v>
      </c>
      <c r="T6" s="148" t="n"/>
    </row>
    <row r="7" ht="15" customHeight="1" s="95">
      <c r="A7" s="148" t="inlineStr">
        <is>
          <t>USDP-006</t>
        </is>
      </c>
      <c r="B7" s="148" t="inlineStr">
        <is>
          <t>July</t>
        </is>
      </c>
      <c r="C7" s="149" t="n">
        <v>44043</v>
      </c>
      <c r="D7" s="148" t="inlineStr">
        <is>
          <t>Month-End</t>
        </is>
      </c>
      <c r="E7" s="148" t="n">
        <v>2020</v>
      </c>
      <c r="F7" s="148" t="inlineStr">
        <is>
          <t>Withum</t>
        </is>
      </c>
      <c r="G7" s="148" t="inlineStr">
        <is>
          <t>AICPA Examination (ISAE 3000-equivalent)</t>
        </is>
      </c>
      <c r="H7" s="148" t="inlineStr">
        <is>
          <t>Paxos Trust Company, LLC</t>
        </is>
      </c>
      <c r="I7" s="150" t="n">
        <v>253716532.77</v>
      </c>
      <c r="J7" s="151" t="n">
        <v>253716532.77</v>
      </c>
      <c r="K7" s="150">
        <f>I7</f>
        <v/>
      </c>
      <c r="L7" s="152" t="n">
        <v>0</v>
      </c>
      <c r="M7" s="148" t="n"/>
      <c r="N7" s="148" t="n"/>
      <c r="O7" s="148" t="n"/>
      <c r="P7" s="153">
        <f>IFERROR(J7-K7,"")</f>
        <v/>
      </c>
      <c r="Q7" s="154">
        <f>IFERROR(J7/K7,"")</f>
        <v/>
      </c>
      <c r="R7" s="148" t="n">
        <v>1</v>
      </c>
      <c r="S7" s="148" t="n">
        <v>0</v>
      </c>
      <c r="T7" s="148" t="n"/>
    </row>
    <row r="8" ht="15" customHeight="1" s="95">
      <c r="A8" s="148" t="inlineStr">
        <is>
          <t>USDP-007</t>
        </is>
      </c>
      <c r="B8" s="148" t="inlineStr">
        <is>
          <t>August</t>
        </is>
      </c>
      <c r="C8" s="149" t="n">
        <v>44074</v>
      </c>
      <c r="D8" s="148" t="inlineStr">
        <is>
          <t>Month-End</t>
        </is>
      </c>
      <c r="E8" s="148" t="n">
        <v>2020</v>
      </c>
      <c r="F8" s="148" t="inlineStr">
        <is>
          <t>Withum</t>
        </is>
      </c>
      <c r="G8" s="148" t="inlineStr">
        <is>
          <t>AICPA Examination (ISAE 3000-equivalent)</t>
        </is>
      </c>
      <c r="H8" s="148" t="inlineStr">
        <is>
          <t>Paxos Trust Company, LLC</t>
        </is>
      </c>
      <c r="I8" s="150" t="n">
        <v>268458041.74</v>
      </c>
      <c r="J8" s="151" t="n">
        <v>268458041.74</v>
      </c>
      <c r="K8" s="150">
        <f>I8</f>
        <v/>
      </c>
      <c r="L8" s="152" t="n">
        <v>0</v>
      </c>
      <c r="M8" s="148" t="n"/>
      <c r="N8" s="148" t="n"/>
      <c r="O8" s="148" t="n"/>
      <c r="P8" s="153">
        <f>IFERROR(J8-K8,"")</f>
        <v/>
      </c>
      <c r="Q8" s="154">
        <f>IFERROR(J8/K8,"")</f>
        <v/>
      </c>
      <c r="R8" s="148" t="n">
        <v>1</v>
      </c>
      <c r="S8" s="148" t="n">
        <v>0</v>
      </c>
      <c r="T8" s="148" t="n"/>
    </row>
    <row r="9" ht="15" customHeight="1" s="95">
      <c r="A9" s="148" t="inlineStr">
        <is>
          <t>USDP-008</t>
        </is>
      </c>
      <c r="B9" s="148" t="inlineStr">
        <is>
          <t>September</t>
        </is>
      </c>
      <c r="C9" s="149" t="n">
        <v>44104</v>
      </c>
      <c r="D9" s="148" t="inlineStr">
        <is>
          <t>Month-End</t>
        </is>
      </c>
      <c r="E9" s="148" t="n">
        <v>2020</v>
      </c>
      <c r="F9" s="148" t="inlineStr">
        <is>
          <t>Withum</t>
        </is>
      </c>
      <c r="G9" s="148" t="inlineStr">
        <is>
          <t>AICPA Examination (ISAE 3000-equivalent)</t>
        </is>
      </c>
      <c r="H9" s="148" t="inlineStr">
        <is>
          <t>Paxos Trust Company, LLC</t>
        </is>
      </c>
      <c r="I9" s="150" t="n">
        <v>293973832.6</v>
      </c>
      <c r="J9" s="151" t="n">
        <v>293973832.6</v>
      </c>
      <c r="K9" s="150">
        <f>I9</f>
        <v/>
      </c>
      <c r="L9" s="152" t="n">
        <v>0</v>
      </c>
      <c r="M9" s="148" t="n"/>
      <c r="N9" s="148" t="n"/>
      <c r="O9" s="148" t="n"/>
      <c r="P9" s="153">
        <f>IFERROR(J9-K9,"")</f>
        <v/>
      </c>
      <c r="Q9" s="154">
        <f>IFERROR(J9/K9,"")</f>
        <v/>
      </c>
      <c r="R9" s="148" t="n">
        <v>1</v>
      </c>
      <c r="S9" s="148" t="n">
        <v>0</v>
      </c>
      <c r="T9" s="148" t="n"/>
    </row>
    <row r="10" ht="15" customHeight="1" s="95">
      <c r="A10" s="148" t="inlineStr">
        <is>
          <t>USDP-009</t>
        </is>
      </c>
      <c r="B10" s="148" t="inlineStr">
        <is>
          <t>October</t>
        </is>
      </c>
      <c r="C10" s="149" t="n">
        <v>44134</v>
      </c>
      <c r="D10" s="148" t="inlineStr">
        <is>
          <t>Month-End</t>
        </is>
      </c>
      <c r="E10" s="148" t="n">
        <v>2020</v>
      </c>
      <c r="F10" s="148" t="inlineStr">
        <is>
          <t>Withum</t>
        </is>
      </c>
      <c r="G10" s="148" t="inlineStr">
        <is>
          <t>AICPA Examination (ISAE 3000-equivalent)</t>
        </is>
      </c>
      <c r="H10" s="148" t="inlineStr">
        <is>
          <t>Paxos Trust Company, LLC</t>
        </is>
      </c>
      <c r="I10" s="150" t="n">
        <v>430492715.57</v>
      </c>
      <c r="J10" s="151" t="n">
        <v>430492715.57</v>
      </c>
      <c r="K10" s="150">
        <f>I10</f>
        <v/>
      </c>
      <c r="L10" s="152" t="n">
        <v>0</v>
      </c>
      <c r="M10" s="148" t="n"/>
      <c r="N10" s="148" t="n"/>
      <c r="O10" s="148" t="n"/>
      <c r="P10" s="153">
        <f>IFERROR(J10-K10,"")</f>
        <v/>
      </c>
      <c r="Q10" s="154">
        <f>IFERROR(J10/K10,"")</f>
        <v/>
      </c>
      <c r="R10" s="148" t="n">
        <v>1</v>
      </c>
      <c r="S10" s="148" t="n">
        <v>0</v>
      </c>
      <c r="T10" s="148" t="n"/>
    </row>
    <row r="11" ht="15" customHeight="1" s="95">
      <c r="A11" s="148" t="inlineStr">
        <is>
          <t>USDP-010</t>
        </is>
      </c>
      <c r="B11" s="148" t="inlineStr">
        <is>
          <t>November</t>
        </is>
      </c>
      <c r="C11" s="149" t="n">
        <v>44165</v>
      </c>
      <c r="D11" s="148" t="inlineStr">
        <is>
          <t>Month-End</t>
        </is>
      </c>
      <c r="E11" s="148" t="n">
        <v>2020</v>
      </c>
      <c r="F11" s="148" t="inlineStr">
        <is>
          <t>Withum</t>
        </is>
      </c>
      <c r="G11" s="148" t="inlineStr">
        <is>
          <t>AICPA Examination (ISAE 3000-equivalent)</t>
        </is>
      </c>
      <c r="H11" s="148" t="inlineStr">
        <is>
          <t>Paxos Trust Company, LLC</t>
        </is>
      </c>
      <c r="I11" s="150" t="n">
        <v>404707843.4</v>
      </c>
      <c r="J11" s="151" t="n">
        <v>404707843.4</v>
      </c>
      <c r="K11" s="150">
        <f>I11</f>
        <v/>
      </c>
      <c r="L11" s="152" t="n">
        <v>0</v>
      </c>
      <c r="M11" s="148" t="n"/>
      <c r="N11" s="148" t="n"/>
      <c r="O11" s="148" t="n"/>
      <c r="P11" s="153">
        <f>IFERROR(J11-K11,"")</f>
        <v/>
      </c>
      <c r="Q11" s="154">
        <f>IFERROR(J11/K11,"")</f>
        <v/>
      </c>
      <c r="R11" s="148" t="n">
        <v>1</v>
      </c>
      <c r="S11" s="148" t="n">
        <v>0</v>
      </c>
      <c r="T11" s="148" t="n"/>
    </row>
    <row r="12" ht="15" customHeight="1" s="95">
      <c r="A12" s="148" t="inlineStr">
        <is>
          <t>USDP-011</t>
        </is>
      </c>
      <c r="B12" s="148" t="inlineStr">
        <is>
          <t>December</t>
        </is>
      </c>
      <c r="C12" s="149" t="n">
        <v>44196</v>
      </c>
      <c r="D12" s="148" t="inlineStr">
        <is>
          <t>Month-End</t>
        </is>
      </c>
      <c r="E12" s="148" t="n">
        <v>2020</v>
      </c>
      <c r="F12" s="148" t="inlineStr">
        <is>
          <t>Withum</t>
        </is>
      </c>
      <c r="G12" s="148" t="inlineStr">
        <is>
          <t>AICPA Examination (ISAE 3000-equivalent)</t>
        </is>
      </c>
      <c r="H12" s="148" t="inlineStr">
        <is>
          <t>Paxos Trust Company, LLC</t>
        </is>
      </c>
      <c r="I12" s="150" t="n">
        <v>335773305.38</v>
      </c>
      <c r="J12" s="151" t="n">
        <v>335773305.38</v>
      </c>
      <c r="K12" s="150">
        <f>I12</f>
        <v/>
      </c>
      <c r="L12" s="152" t="n">
        <v>0</v>
      </c>
      <c r="M12" s="148" t="n"/>
      <c r="N12" s="148" t="n"/>
      <c r="O12" s="148" t="n"/>
      <c r="P12" s="153">
        <f>IFERROR(J12-K12,"")</f>
        <v/>
      </c>
      <c r="Q12" s="154">
        <f>IFERROR(J12/K12,"")</f>
        <v/>
      </c>
      <c r="R12" s="148" t="n">
        <v>1</v>
      </c>
      <c r="S12" s="148" t="n">
        <v>0</v>
      </c>
      <c r="T12" s="148" t="n"/>
    </row>
    <row r="13" ht="15" customHeight="1" s="95">
      <c r="A13" s="148" t="inlineStr">
        <is>
          <t>USDP-012</t>
        </is>
      </c>
      <c r="B13" s="148" t="inlineStr">
        <is>
          <t>January</t>
        </is>
      </c>
      <c r="C13" s="149" t="n">
        <v>44225</v>
      </c>
      <c r="D13" s="148" t="inlineStr">
        <is>
          <t>Month-End</t>
        </is>
      </c>
      <c r="E13" s="148" t="n">
        <v>2021</v>
      </c>
      <c r="F13" s="148" t="inlineStr">
        <is>
          <t>Withum</t>
        </is>
      </c>
      <c r="G13" s="148" t="inlineStr">
        <is>
          <t>AICPA Examination (ISAE 3000-equivalent)</t>
        </is>
      </c>
      <c r="H13" s="148" t="inlineStr">
        <is>
          <t>Paxos Trust Company, LLC</t>
        </is>
      </c>
      <c r="I13" s="150" t="n">
        <v>650835529.6</v>
      </c>
      <c r="J13" s="151" t="n">
        <v>650835529.6</v>
      </c>
      <c r="K13" s="150">
        <f>I13</f>
        <v/>
      </c>
      <c r="L13" s="152" t="n">
        <v>0</v>
      </c>
      <c r="M13" s="148" t="n"/>
      <c r="N13" s="148" t="n"/>
      <c r="O13" s="148" t="n"/>
      <c r="P13" s="153">
        <f>IFERROR(J13-K13,"")</f>
        <v/>
      </c>
      <c r="Q13" s="154">
        <f>IFERROR(J13/K13,"")</f>
        <v/>
      </c>
      <c r="R13" s="148" t="n">
        <v>1</v>
      </c>
      <c r="S13" s="148" t="n">
        <v>0</v>
      </c>
      <c r="T13" s="148" t="n"/>
    </row>
    <row r="14" ht="15" customHeight="1" s="95">
      <c r="A14" s="148" t="inlineStr">
        <is>
          <t>USDP-013</t>
        </is>
      </c>
      <c r="B14" s="148" t="inlineStr">
        <is>
          <t>February</t>
        </is>
      </c>
      <c r="C14" s="149" t="n">
        <v>44253</v>
      </c>
      <c r="D14" s="148" t="inlineStr">
        <is>
          <t>Month-End</t>
        </is>
      </c>
      <c r="E14" s="148" t="n">
        <v>2021</v>
      </c>
      <c r="F14" s="148" t="inlineStr">
        <is>
          <t>Withum</t>
        </is>
      </c>
      <c r="G14" s="148" t="inlineStr">
        <is>
          <t>AICPA Examination (ISAE 3000-equivalent)</t>
        </is>
      </c>
      <c r="H14" s="148" t="inlineStr">
        <is>
          <t>Paxos Trust Company, LLC</t>
        </is>
      </c>
      <c r="I14" s="150" t="n">
        <v>885684771.28</v>
      </c>
      <c r="J14" s="151" t="n">
        <v>885684771.28</v>
      </c>
      <c r="K14" s="150">
        <f>I14</f>
        <v/>
      </c>
      <c r="L14" s="152" t="n">
        <v>0</v>
      </c>
      <c r="M14" s="148" t="n"/>
      <c r="N14" s="148" t="n"/>
      <c r="O14" s="148" t="n"/>
      <c r="P14" s="153">
        <f>IFERROR(J14-K14,"")</f>
        <v/>
      </c>
      <c r="Q14" s="154">
        <f>IFERROR(J14/K14,"")</f>
        <v/>
      </c>
      <c r="R14" s="148" t="n">
        <v>1</v>
      </c>
      <c r="S14" s="148" t="n">
        <v>0</v>
      </c>
      <c r="T14" s="148" t="n"/>
    </row>
    <row r="15" ht="15" customHeight="1" s="95">
      <c r="A15" s="148" t="inlineStr">
        <is>
          <t>USDP-014</t>
        </is>
      </c>
      <c r="B15" s="148" t="inlineStr">
        <is>
          <t>March</t>
        </is>
      </c>
      <c r="C15" s="149" t="n">
        <v>44286</v>
      </c>
      <c r="D15" s="148" t="inlineStr">
        <is>
          <t>Month-End</t>
        </is>
      </c>
      <c r="E15" s="148" t="n">
        <v>2021</v>
      </c>
      <c r="F15" s="148" t="inlineStr">
        <is>
          <t>Withum</t>
        </is>
      </c>
      <c r="G15" s="148" t="inlineStr">
        <is>
          <t>AICPA Examination (ISAE 3000-equivalent)</t>
        </is>
      </c>
      <c r="H15" s="148" t="inlineStr">
        <is>
          <t>Paxos Trust Company, LLC</t>
        </is>
      </c>
      <c r="I15" s="150" t="n">
        <v>959809407.76</v>
      </c>
      <c r="J15" s="151" t="n">
        <v>959809407.76</v>
      </c>
      <c r="K15" s="150">
        <f>I15</f>
        <v/>
      </c>
      <c r="L15" s="152" t="n">
        <v>0</v>
      </c>
      <c r="M15" s="148" t="n"/>
      <c r="N15" s="148" t="n"/>
      <c r="O15" s="148" t="n"/>
      <c r="P15" s="153">
        <f>IFERROR(J15-K15,"")</f>
        <v/>
      </c>
      <c r="Q15" s="154">
        <f>IFERROR(J15/K15,"")</f>
        <v/>
      </c>
      <c r="R15" s="148" t="n">
        <v>1</v>
      </c>
      <c r="S15" s="148" t="n">
        <v>0</v>
      </c>
      <c r="T15" s="148" t="n"/>
    </row>
    <row r="16" ht="15" customHeight="1" s="95">
      <c r="A16" s="148" t="inlineStr">
        <is>
          <t>USDP-015</t>
        </is>
      </c>
      <c r="B16" s="148" t="inlineStr">
        <is>
          <t>April</t>
        </is>
      </c>
      <c r="C16" s="149" t="n">
        <v>44316</v>
      </c>
      <c r="D16" s="148" t="inlineStr">
        <is>
          <t>Month-End</t>
        </is>
      </c>
      <c r="E16" s="148" t="n">
        <v>2021</v>
      </c>
      <c r="F16" s="148" t="inlineStr">
        <is>
          <t>Withum</t>
        </is>
      </c>
      <c r="G16" s="148" t="inlineStr">
        <is>
          <t>AICPA Examination (ISAE 3000-equivalent)</t>
        </is>
      </c>
      <c r="H16" s="148" t="inlineStr">
        <is>
          <t>Paxos Trust Company, LLC</t>
        </is>
      </c>
      <c r="I16" s="150" t="n">
        <v>1181774345.21</v>
      </c>
      <c r="J16" s="151" t="n">
        <v>1181774345.21</v>
      </c>
      <c r="K16" s="150">
        <f>I16</f>
        <v/>
      </c>
      <c r="L16" s="152" t="n">
        <v>0</v>
      </c>
      <c r="M16" s="148" t="n"/>
      <c r="N16" s="148" t="n"/>
      <c r="O16" s="148" t="n"/>
      <c r="P16" s="153">
        <f>IFERROR(J16-K16,"")</f>
        <v/>
      </c>
      <c r="Q16" s="154">
        <f>IFERROR(J16/K16,"")</f>
        <v/>
      </c>
      <c r="R16" s="148" t="n">
        <v>1</v>
      </c>
      <c r="S16" s="148" t="n">
        <v>0</v>
      </c>
      <c r="T16" s="148" t="n"/>
    </row>
    <row r="17" ht="15" customHeight="1" s="95">
      <c r="A17" s="148" t="inlineStr">
        <is>
          <t>USDP-016</t>
        </is>
      </c>
      <c r="B17" s="148" t="inlineStr">
        <is>
          <t>May</t>
        </is>
      </c>
      <c r="C17" s="149" t="n">
        <v>44344</v>
      </c>
      <c r="D17" s="148" t="inlineStr">
        <is>
          <t>Month-End</t>
        </is>
      </c>
      <c r="E17" s="148" t="n">
        <v>2021</v>
      </c>
      <c r="F17" s="148" t="inlineStr">
        <is>
          <t>Withum</t>
        </is>
      </c>
      <c r="G17" s="148" t="inlineStr">
        <is>
          <t>AICPA Examination (ISAE 3000-equivalent)</t>
        </is>
      </c>
      <c r="H17" s="148" t="inlineStr">
        <is>
          <t>Paxos Trust Company, LLC</t>
        </is>
      </c>
      <c r="I17" s="150" t="n">
        <v>1263836870.86</v>
      </c>
      <c r="J17" s="151" t="n">
        <v>1263836870.86</v>
      </c>
      <c r="K17" s="150">
        <f>I17</f>
        <v/>
      </c>
      <c r="L17" s="152" t="n">
        <v>0</v>
      </c>
      <c r="M17" s="148" t="n"/>
      <c r="N17" s="148" t="n"/>
      <c r="O17" s="148" t="n"/>
      <c r="P17" s="153">
        <f>IFERROR(J17-K17,"")</f>
        <v/>
      </c>
      <c r="Q17" s="154">
        <f>IFERROR(J17/K17,"")</f>
        <v/>
      </c>
      <c r="R17" s="148" t="n">
        <v>1</v>
      </c>
      <c r="S17" s="148" t="n">
        <v>0</v>
      </c>
      <c r="T17" s="148" t="n"/>
    </row>
    <row r="18" ht="15" customHeight="1" s="95">
      <c r="A18" s="148" t="inlineStr">
        <is>
          <t>USDP-017</t>
        </is>
      </c>
      <c r="B18" s="148" t="inlineStr">
        <is>
          <t>June</t>
        </is>
      </c>
      <c r="C18" s="149" t="n">
        <v>44377</v>
      </c>
      <c r="D18" s="148" t="inlineStr">
        <is>
          <t>Month-End</t>
        </is>
      </c>
      <c r="E18" s="148" t="n">
        <v>2021</v>
      </c>
      <c r="F18" s="148" t="inlineStr">
        <is>
          <t>Withum</t>
        </is>
      </c>
      <c r="G18" s="148" t="inlineStr">
        <is>
          <t>AICPA Examination (ISAE 3000-equivalent)</t>
        </is>
      </c>
      <c r="H18" s="148" t="inlineStr">
        <is>
          <t>Paxos Trust Company, LLC</t>
        </is>
      </c>
      <c r="I18" s="150" t="n">
        <v>840297105.24</v>
      </c>
      <c r="J18" s="151" t="n">
        <v>840297105.24</v>
      </c>
      <c r="K18" s="150">
        <f>I18</f>
        <v/>
      </c>
      <c r="L18" s="152" t="n">
        <v>0</v>
      </c>
      <c r="M18" s="148" t="n"/>
      <c r="N18" s="148" t="n"/>
      <c r="O18" s="148" t="n"/>
      <c r="P18" s="153">
        <f>IFERROR(J18-K18,"")</f>
        <v/>
      </c>
      <c r="Q18" s="154">
        <f>IFERROR(J18/K18,"")</f>
        <v/>
      </c>
      <c r="R18" s="148" t="n">
        <v>1</v>
      </c>
      <c r="S18" s="148" t="n">
        <v>0</v>
      </c>
      <c r="T18" s="148" t="n"/>
    </row>
    <row r="19" ht="15" customHeight="1" s="95">
      <c r="A19" s="148" t="inlineStr">
        <is>
          <t>USDP-018</t>
        </is>
      </c>
      <c r="B19" s="148" t="inlineStr">
        <is>
          <t>July</t>
        </is>
      </c>
      <c r="C19" s="149" t="n">
        <v>44407</v>
      </c>
      <c r="D19" s="148" t="inlineStr">
        <is>
          <t>Month-End</t>
        </is>
      </c>
      <c r="E19" s="148" t="n">
        <v>2021</v>
      </c>
      <c r="F19" s="148" t="inlineStr">
        <is>
          <t>Withum</t>
        </is>
      </c>
      <c r="G19" s="148" t="inlineStr">
        <is>
          <t>AICPA Examination (ISAE 3000-equivalent)</t>
        </is>
      </c>
      <c r="H19" s="148" t="inlineStr">
        <is>
          <t>Paxos Trust Company, LLC</t>
        </is>
      </c>
      <c r="I19" s="150" t="n">
        <v>924132480.15</v>
      </c>
      <c r="J19" s="151" t="n">
        <v>924132480.15</v>
      </c>
      <c r="K19" s="150">
        <f>I19</f>
        <v/>
      </c>
      <c r="L19" s="152" t="n">
        <v>0</v>
      </c>
      <c r="M19" s="148" t="n"/>
      <c r="N19" s="148" t="n"/>
      <c r="O19" s="148" t="n"/>
      <c r="P19" s="153">
        <f>IFERROR(J19-K19,"")</f>
        <v/>
      </c>
      <c r="Q19" s="154">
        <f>IFERROR(J19/K19,"")</f>
        <v/>
      </c>
      <c r="R19" s="148" t="n">
        <v>1</v>
      </c>
      <c r="S19" s="148" t="n">
        <v>0</v>
      </c>
      <c r="T19" s="148" t="n"/>
    </row>
    <row r="20" ht="15" customHeight="1" s="95">
      <c r="A20" s="148" t="inlineStr">
        <is>
          <t>USDP-019</t>
        </is>
      </c>
      <c r="B20" s="148" t="inlineStr">
        <is>
          <t>August</t>
        </is>
      </c>
      <c r="C20" s="149" t="n">
        <v>44439</v>
      </c>
      <c r="D20" s="148" t="inlineStr">
        <is>
          <t>Month-End</t>
        </is>
      </c>
      <c r="E20" s="148" t="n">
        <v>2021</v>
      </c>
      <c r="F20" s="148" t="inlineStr">
        <is>
          <t>Withum</t>
        </is>
      </c>
      <c r="G20" s="148" t="inlineStr">
        <is>
          <t>AICPA Examination (ISAE 3000-equivalent)</t>
        </is>
      </c>
      <c r="H20" s="148" t="inlineStr">
        <is>
          <t>Paxos Trust Company, LLC</t>
        </is>
      </c>
      <c r="I20" s="150" t="n">
        <v>979702187.3</v>
      </c>
      <c r="J20" s="151" t="n">
        <v>979702187.3</v>
      </c>
      <c r="K20" s="150">
        <f>I20</f>
        <v/>
      </c>
      <c r="L20" s="152" t="n">
        <v>0</v>
      </c>
      <c r="M20" s="148" t="n"/>
      <c r="N20" s="148" t="n"/>
      <c r="O20" s="148" t="n"/>
      <c r="P20" s="153">
        <f>IFERROR(J20-K20,"")</f>
        <v/>
      </c>
      <c r="Q20" s="154">
        <f>IFERROR(J20/K20,"")</f>
        <v/>
      </c>
      <c r="R20" s="148" t="n">
        <v>1</v>
      </c>
      <c r="S20" s="148" t="n">
        <v>0</v>
      </c>
      <c r="T20" s="148" t="n"/>
    </row>
    <row r="21" ht="15" customHeight="1" s="95">
      <c r="A21" s="148" t="inlineStr">
        <is>
          <t>USDP-020</t>
        </is>
      </c>
      <c r="B21" s="148" t="inlineStr">
        <is>
          <t>September</t>
        </is>
      </c>
      <c r="C21" s="149" t="n">
        <v>44469</v>
      </c>
      <c r="D21" s="148" t="inlineStr">
        <is>
          <t>Month-End</t>
        </is>
      </c>
      <c r="E21" s="148" t="n">
        <v>2021</v>
      </c>
      <c r="F21" s="148" t="inlineStr">
        <is>
          <t>Withum</t>
        </is>
      </c>
      <c r="G21" s="148" t="inlineStr">
        <is>
          <t>AICPA Examination (ISAE 3000-equivalent)</t>
        </is>
      </c>
      <c r="H21" s="148" t="inlineStr">
        <is>
          <t>Paxos Trust Company, LLC</t>
        </is>
      </c>
      <c r="I21" s="150" t="n">
        <v>922265979.98</v>
      </c>
      <c r="J21" s="151" t="n">
        <v>922265979.98</v>
      </c>
      <c r="K21" s="150">
        <f>I21</f>
        <v/>
      </c>
      <c r="L21" s="152" t="n">
        <v>0</v>
      </c>
      <c r="M21" s="148" t="n"/>
      <c r="N21" s="148" t="n"/>
      <c r="O21" s="148" t="n"/>
      <c r="P21" s="153">
        <f>IFERROR(J21-K21,"")</f>
        <v/>
      </c>
      <c r="Q21" s="154">
        <f>IFERROR(J21/K21,"")</f>
        <v/>
      </c>
      <c r="R21" s="148" t="n">
        <v>1</v>
      </c>
      <c r="S21" s="148" t="n">
        <v>0</v>
      </c>
      <c r="T21" s="148" t="n"/>
    </row>
    <row r="22" ht="15" customHeight="1" s="95">
      <c r="A22" s="148" t="inlineStr">
        <is>
          <t>USDP-021</t>
        </is>
      </c>
      <c r="B22" s="148" t="inlineStr">
        <is>
          <t>October</t>
        </is>
      </c>
      <c r="C22" s="149" t="n">
        <v>44498</v>
      </c>
      <c r="D22" s="148" t="inlineStr">
        <is>
          <t>Month-End</t>
        </is>
      </c>
      <c r="E22" s="148" t="n">
        <v>2021</v>
      </c>
      <c r="F22" s="148" t="inlineStr">
        <is>
          <t>Withum</t>
        </is>
      </c>
      <c r="G22" s="148" t="inlineStr">
        <is>
          <t>AICPA Examination (ISAE 3000-equivalent)</t>
        </is>
      </c>
      <c r="H22" s="148" t="inlineStr">
        <is>
          <t>Paxos Trust Company, LLC</t>
        </is>
      </c>
      <c r="I22" s="150" t="n">
        <v>981753175.8099999</v>
      </c>
      <c r="J22" s="151" t="n">
        <v>981753175.8099999</v>
      </c>
      <c r="K22" s="150">
        <f>I22</f>
        <v/>
      </c>
      <c r="L22" s="152" t="n">
        <v>0</v>
      </c>
      <c r="M22" s="148" t="n"/>
      <c r="N22" s="148" t="n"/>
      <c r="O22" s="148" t="n"/>
      <c r="P22" s="153">
        <f>IFERROR(J22-K22,"")</f>
        <v/>
      </c>
      <c r="Q22" s="154">
        <f>IFERROR(J22/K22,"")</f>
        <v/>
      </c>
      <c r="R22" s="148" t="n">
        <v>1</v>
      </c>
      <c r="S22" s="148" t="n">
        <v>0</v>
      </c>
      <c r="T22" s="148" t="n"/>
    </row>
    <row r="23" ht="15" customHeight="1" s="95">
      <c r="A23" s="148" t="inlineStr">
        <is>
          <t>USDP-022</t>
        </is>
      </c>
      <c r="B23" s="148" t="inlineStr">
        <is>
          <t>November</t>
        </is>
      </c>
      <c r="C23" s="149" t="n">
        <v>44530</v>
      </c>
      <c r="D23" s="148" t="inlineStr">
        <is>
          <t>Month-End</t>
        </is>
      </c>
      <c r="E23" s="148" t="n">
        <v>2021</v>
      </c>
      <c r="F23" s="148" t="inlineStr">
        <is>
          <t>Withum</t>
        </is>
      </c>
      <c r="G23" s="148" t="inlineStr">
        <is>
          <t>AICPA Examination (ISAE 3000-equivalent)</t>
        </is>
      </c>
      <c r="H23" s="148" t="inlineStr">
        <is>
          <t>Paxos Trust Company, LLC</t>
        </is>
      </c>
      <c r="I23" s="150" t="n">
        <v>1167361062.2</v>
      </c>
      <c r="J23" s="151" t="n">
        <v>1167361062.2</v>
      </c>
      <c r="K23" s="150">
        <f>I23</f>
        <v/>
      </c>
      <c r="L23" s="152" t="n">
        <v>0</v>
      </c>
      <c r="M23" s="148" t="n"/>
      <c r="N23" s="148" t="n"/>
      <c r="O23" s="148" t="n"/>
      <c r="P23" s="153">
        <f>IFERROR(J23-K23,"")</f>
        <v/>
      </c>
      <c r="Q23" s="154">
        <f>IFERROR(J23/K23,"")</f>
        <v/>
      </c>
      <c r="R23" s="148" t="n">
        <v>1</v>
      </c>
      <c r="S23" s="148" t="n">
        <v>0</v>
      </c>
      <c r="T23" s="148" t="n"/>
    </row>
    <row r="24" ht="15" customHeight="1" s="95">
      <c r="A24" s="148" t="inlineStr">
        <is>
          <t>USDP-023</t>
        </is>
      </c>
      <c r="B24" s="148" t="inlineStr">
        <is>
          <t>December</t>
        </is>
      </c>
      <c r="C24" s="149" t="n">
        <v>44561</v>
      </c>
      <c r="D24" s="148" t="inlineStr">
        <is>
          <t>Month-End</t>
        </is>
      </c>
      <c r="E24" s="148" t="n">
        <v>2021</v>
      </c>
      <c r="F24" s="148" t="inlineStr">
        <is>
          <t>Withum</t>
        </is>
      </c>
      <c r="G24" s="148" t="inlineStr">
        <is>
          <t>AICPA Examination (ISAE 3000-equivalent)</t>
        </is>
      </c>
      <c r="H24" s="148" t="inlineStr">
        <is>
          <t>Paxos Trust Company, LLC</t>
        </is>
      </c>
      <c r="I24" s="150" t="n">
        <v>1034611244.96</v>
      </c>
      <c r="J24" s="151" t="n">
        <v>1034611244.96</v>
      </c>
      <c r="K24" s="150">
        <f>I24</f>
        <v/>
      </c>
      <c r="L24" s="152" t="n">
        <v>0</v>
      </c>
      <c r="M24" s="148" t="n"/>
      <c r="N24" s="148" t="n"/>
      <c r="O24" s="148" t="n"/>
      <c r="P24" s="153">
        <f>IFERROR(J24-K24,"")</f>
        <v/>
      </c>
      <c r="Q24" s="154">
        <f>IFERROR(J24/K24,"")</f>
        <v/>
      </c>
      <c r="R24" s="148" t="n">
        <v>1</v>
      </c>
      <c r="S24" s="148" t="n">
        <v>0</v>
      </c>
      <c r="T24" s="148" t="n"/>
    </row>
    <row r="25" ht="15" customHeight="1" s="95">
      <c r="A25" s="148" t="inlineStr">
        <is>
          <t>USDP-024</t>
        </is>
      </c>
      <c r="B25" s="148" t="inlineStr">
        <is>
          <t>January</t>
        </is>
      </c>
      <c r="C25" s="149" t="n">
        <v>44592</v>
      </c>
      <c r="D25" s="148" t="inlineStr">
        <is>
          <t>Month-End</t>
        </is>
      </c>
      <c r="E25" s="148" t="n">
        <v>2022</v>
      </c>
      <c r="F25" s="148" t="inlineStr">
        <is>
          <t>Withum</t>
        </is>
      </c>
      <c r="G25" s="148" t="inlineStr">
        <is>
          <t>AICPA Examination (ISAE 3000-equivalent)</t>
        </is>
      </c>
      <c r="H25" s="148" t="inlineStr">
        <is>
          <t>Paxos Trust Company, LLC</t>
        </is>
      </c>
      <c r="I25" s="150" t="n">
        <v>1044751271.4</v>
      </c>
      <c r="J25" s="151" t="n">
        <v>1044751271.4</v>
      </c>
      <c r="K25" s="150">
        <f>I25</f>
        <v/>
      </c>
      <c r="L25" s="152" t="n">
        <v>0</v>
      </c>
      <c r="M25" s="148" t="n"/>
      <c r="N25" s="148" t="n"/>
      <c r="O25" s="148" t="n"/>
      <c r="P25" s="153">
        <f>IFERROR(J25-K25,"")</f>
        <v/>
      </c>
      <c r="Q25" s="154">
        <f>IFERROR(J25/K25,"")</f>
        <v/>
      </c>
      <c r="R25" s="148" t="n">
        <v>1</v>
      </c>
      <c r="S25" s="148" t="n">
        <v>0</v>
      </c>
      <c r="T25" s="148" t="n"/>
    </row>
    <row r="26" ht="15" customHeight="1" s="95">
      <c r="A26" s="148" t="inlineStr">
        <is>
          <t>USDP-025</t>
        </is>
      </c>
      <c r="B26" s="148" t="inlineStr">
        <is>
          <t>February</t>
        </is>
      </c>
      <c r="C26" s="149" t="n">
        <v>44620</v>
      </c>
      <c r="D26" s="148" t="inlineStr">
        <is>
          <t>Month-End</t>
        </is>
      </c>
      <c r="E26" s="148" t="n">
        <v>2022</v>
      </c>
      <c r="F26" s="148" t="inlineStr">
        <is>
          <t>Withum</t>
        </is>
      </c>
      <c r="G26" s="148" t="inlineStr">
        <is>
          <t>AICPA Examination (ISAE 3000-equivalent)</t>
        </is>
      </c>
      <c r="H26" s="148" t="inlineStr">
        <is>
          <t>Paxos Trust Company, LLC</t>
        </is>
      </c>
      <c r="I26" s="150" t="n">
        <v>1021495612.38</v>
      </c>
      <c r="J26" s="151" t="n">
        <v>1021495612.38</v>
      </c>
      <c r="K26" s="150">
        <f>I26</f>
        <v/>
      </c>
      <c r="L26" s="152" t="n">
        <v>0</v>
      </c>
      <c r="M26" s="148" t="n"/>
      <c r="N26" s="148" t="n"/>
      <c r="O26" s="148" t="n"/>
      <c r="P26" s="153">
        <f>IFERROR(J26-K26,"")</f>
        <v/>
      </c>
      <c r="Q26" s="154">
        <f>IFERROR(J26/K26,"")</f>
        <v/>
      </c>
      <c r="R26" s="148" t="n">
        <v>1</v>
      </c>
      <c r="S26" s="148" t="n">
        <v>0</v>
      </c>
      <c r="T26" s="148" t="n"/>
    </row>
    <row r="27" ht="15" customHeight="1" s="95">
      <c r="A27" s="148" t="inlineStr">
        <is>
          <t>USDP-026</t>
        </is>
      </c>
      <c r="B27" s="148" t="inlineStr">
        <is>
          <t>March</t>
        </is>
      </c>
      <c r="C27" s="149" t="n">
        <v>44651</v>
      </c>
      <c r="D27" s="148" t="inlineStr">
        <is>
          <t>Month-End</t>
        </is>
      </c>
      <c r="E27" s="148" t="n">
        <v>2022</v>
      </c>
      <c r="F27" s="148" t="inlineStr">
        <is>
          <t>Withum</t>
        </is>
      </c>
      <c r="G27" s="148" t="inlineStr">
        <is>
          <t>AICPA Examination (ISAE 3000-equivalent)</t>
        </is>
      </c>
      <c r="H27" s="148" t="inlineStr">
        <is>
          <t>Paxos Trust Company, LLC</t>
        </is>
      </c>
      <c r="I27" s="150" t="n">
        <v>965987169.73</v>
      </c>
      <c r="J27" s="151" t="n">
        <v>965987169.73</v>
      </c>
      <c r="K27" s="150">
        <f>I27</f>
        <v/>
      </c>
      <c r="L27" s="152" t="n">
        <v>0</v>
      </c>
      <c r="M27" s="148" t="n"/>
      <c r="N27" s="148" t="n"/>
      <c r="O27" s="148" t="n"/>
      <c r="P27" s="153">
        <f>IFERROR(J27-K27,"")</f>
        <v/>
      </c>
      <c r="Q27" s="154">
        <f>IFERROR(J27/K27,"")</f>
        <v/>
      </c>
      <c r="R27" s="148" t="n">
        <v>1</v>
      </c>
      <c r="S27" s="148" t="n">
        <v>0</v>
      </c>
      <c r="T27" s="148" t="n"/>
    </row>
    <row r="28" ht="15" customHeight="1" s="95">
      <c r="A28" s="148" t="inlineStr">
        <is>
          <t>USDP-027</t>
        </is>
      </c>
      <c r="B28" s="148" t="inlineStr">
        <is>
          <t>April</t>
        </is>
      </c>
      <c r="C28" s="149" t="n">
        <v>44680</v>
      </c>
      <c r="D28" s="148" t="inlineStr">
        <is>
          <t>Month-End</t>
        </is>
      </c>
      <c r="E28" s="148" t="n">
        <v>2022</v>
      </c>
      <c r="F28" s="148" t="inlineStr">
        <is>
          <t>Withum</t>
        </is>
      </c>
      <c r="G28" s="148" t="inlineStr">
        <is>
          <t>AICPA Examination (ISAE 3000-equivalent)</t>
        </is>
      </c>
      <c r="H28" s="148" t="inlineStr">
        <is>
          <t>Paxos Trust Company, LLC</t>
        </is>
      </c>
      <c r="I28" s="150" t="n">
        <v>1012606434.2</v>
      </c>
      <c r="J28" s="151" t="n">
        <v>1012606434.2</v>
      </c>
      <c r="K28" s="150">
        <f>I28</f>
        <v/>
      </c>
      <c r="L28" s="152" t="n">
        <v>0</v>
      </c>
      <c r="M28" s="148" t="n"/>
      <c r="N28" s="148" t="n"/>
      <c r="O28" s="148" t="n"/>
      <c r="P28" s="153">
        <f>IFERROR(J28-K28,"")</f>
        <v/>
      </c>
      <c r="Q28" s="154">
        <f>IFERROR(J28/K28,"")</f>
        <v/>
      </c>
      <c r="R28" s="148" t="n">
        <v>1</v>
      </c>
      <c r="S28" s="148" t="n">
        <v>0</v>
      </c>
      <c r="T28" s="148" t="n"/>
    </row>
    <row r="29" ht="15" customHeight="1" s="95">
      <c r="A29" s="148" t="inlineStr">
        <is>
          <t>USDP-028</t>
        </is>
      </c>
      <c r="B29" s="148" t="inlineStr">
        <is>
          <t>May</t>
        </is>
      </c>
      <c r="C29" s="149" t="n">
        <v>44712</v>
      </c>
      <c r="D29" s="148" t="inlineStr">
        <is>
          <t>Month-End</t>
        </is>
      </c>
      <c r="E29" s="148" t="n">
        <v>2022</v>
      </c>
      <c r="F29" s="148" t="inlineStr">
        <is>
          <t>Withum</t>
        </is>
      </c>
      <c r="G29" s="148" t="inlineStr">
        <is>
          <t>AICPA Examination (ISAE 3000-equivalent)</t>
        </is>
      </c>
      <c r="H29" s="148" t="inlineStr">
        <is>
          <t>Paxos Trust Company, LLC</t>
        </is>
      </c>
      <c r="I29" s="150" t="n">
        <v>955591967.8099999</v>
      </c>
      <c r="J29" s="151" t="n">
        <v>955591967.8099999</v>
      </c>
      <c r="K29" s="150">
        <f>I29</f>
        <v/>
      </c>
      <c r="L29" s="152" t="n">
        <v>0</v>
      </c>
      <c r="M29" s="148" t="n"/>
      <c r="N29" s="148" t="n"/>
      <c r="O29" s="148" t="n"/>
      <c r="P29" s="153">
        <f>IFERROR(J29-K29,"")</f>
        <v/>
      </c>
      <c r="Q29" s="154">
        <f>IFERROR(J29/K29,"")</f>
        <v/>
      </c>
      <c r="R29" s="148" t="n">
        <v>1</v>
      </c>
      <c r="S29" s="148" t="n">
        <v>0</v>
      </c>
      <c r="T29" s="148" t="n"/>
    </row>
    <row r="30" ht="15" customHeight="1" s="95">
      <c r="A30" s="148" t="inlineStr">
        <is>
          <t>USDP-029</t>
        </is>
      </c>
      <c r="B30" s="148" t="inlineStr">
        <is>
          <t>June</t>
        </is>
      </c>
      <c r="C30" s="149" t="n">
        <v>44742</v>
      </c>
      <c r="D30" s="148" t="inlineStr">
        <is>
          <t>Month-End</t>
        </is>
      </c>
      <c r="E30" s="148" t="n">
        <v>2022</v>
      </c>
      <c r="F30" s="148" t="inlineStr">
        <is>
          <t>Withum</t>
        </is>
      </c>
      <c r="G30" s="148" t="inlineStr">
        <is>
          <t>AICPA Examination (ISAE 3000-equivalent)</t>
        </is>
      </c>
      <c r="H30" s="148" t="inlineStr">
        <is>
          <t>Paxos Trust Company, LLC</t>
        </is>
      </c>
      <c r="I30" s="150" t="n">
        <v>855098266.74</v>
      </c>
      <c r="J30" s="151" t="n">
        <v>855098266.74</v>
      </c>
      <c r="K30" s="150">
        <f>I30</f>
        <v/>
      </c>
      <c r="L30" s="152" t="n">
        <v>0</v>
      </c>
      <c r="M30" s="148" t="n"/>
      <c r="N30" s="148" t="n"/>
      <c r="O30" s="148" t="n"/>
      <c r="P30" s="153">
        <f>IFERROR(J30-K30,"")</f>
        <v/>
      </c>
      <c r="Q30" s="154">
        <f>IFERROR(J30/K30,"")</f>
        <v/>
      </c>
      <c r="R30" s="148" t="n">
        <v>1</v>
      </c>
      <c r="S30" s="148" t="n">
        <v>0</v>
      </c>
      <c r="T30" s="148" t="n"/>
    </row>
    <row r="31" ht="15" customHeight="1" s="95">
      <c r="A31" s="148" t="inlineStr">
        <is>
          <t>USDP-030</t>
        </is>
      </c>
      <c r="B31" s="148" t="inlineStr">
        <is>
          <t>July</t>
        </is>
      </c>
      <c r="C31" s="149" t="n">
        <v>44771</v>
      </c>
      <c r="D31" s="148" t="inlineStr">
        <is>
          <t>Month-End</t>
        </is>
      </c>
      <c r="E31" s="148" t="n">
        <v>2022</v>
      </c>
      <c r="F31" s="148" t="inlineStr">
        <is>
          <t>Withum</t>
        </is>
      </c>
      <c r="G31" s="148" t="inlineStr">
        <is>
          <t>AICPA Examination (ISAE 3000-equivalent)</t>
        </is>
      </c>
      <c r="H31" s="148" t="inlineStr">
        <is>
          <t>Paxos Trust Company, LLC</t>
        </is>
      </c>
      <c r="I31" s="150" t="n">
        <v>868718810.25</v>
      </c>
      <c r="J31" s="151" t="n">
        <v>868718810.25</v>
      </c>
      <c r="K31" s="150">
        <f>I31</f>
        <v/>
      </c>
      <c r="L31" s="152" t="n">
        <v>0</v>
      </c>
      <c r="M31" s="148" t="n"/>
      <c r="N31" s="148" t="n"/>
      <c r="O31" s="148" t="n"/>
      <c r="P31" s="153">
        <f>IFERROR(J31-K31,"")</f>
        <v/>
      </c>
      <c r="Q31" s="154">
        <f>IFERROR(J31/K31,"")</f>
        <v/>
      </c>
      <c r="R31" s="148" t="n">
        <v>1</v>
      </c>
      <c r="S31" s="148" t="n">
        <v>0</v>
      </c>
      <c r="T31" s="148" t="n"/>
    </row>
    <row r="32" ht="15" customHeight="1" s="95">
      <c r="A32" s="148" t="inlineStr">
        <is>
          <t>USDP-031</t>
        </is>
      </c>
      <c r="B32" s="148" t="inlineStr">
        <is>
          <t>August</t>
        </is>
      </c>
      <c r="C32" s="149" t="n">
        <v>44796</v>
      </c>
      <c r="D32" s="148" t="inlineStr">
        <is>
          <t>Mid-Month</t>
        </is>
      </c>
      <c r="E32" s="148" t="n">
        <v>2022</v>
      </c>
      <c r="F32" s="148" t="inlineStr">
        <is>
          <t>Withum</t>
        </is>
      </c>
      <c r="G32" s="148" t="inlineStr">
        <is>
          <t>AICPA Examination (ISAE 3000-equivalent)</t>
        </is>
      </c>
      <c r="H32" s="148" t="inlineStr">
        <is>
          <t>Paxos Trust Company, LLC</t>
        </is>
      </c>
      <c r="I32" s="150" t="n">
        <v>876425972</v>
      </c>
      <c r="J32" s="151" t="n">
        <v>876425972</v>
      </c>
      <c r="K32" s="150">
        <f>I32</f>
        <v/>
      </c>
      <c r="L32" s="152" t="n">
        <v>0</v>
      </c>
      <c r="M32" s="148" t="n"/>
      <c r="N32" s="148" t="n"/>
      <c r="O32" s="148" t="n"/>
      <c r="P32" s="153">
        <f>IFERROR(J32-K32,"")</f>
        <v/>
      </c>
      <c r="Q32" s="154">
        <f>IFERROR(J32/K32,"")</f>
        <v/>
      </c>
      <c r="R32" s="148" t="n">
        <v>1</v>
      </c>
      <c r="S32" s="148" t="n">
        <v>0</v>
      </c>
      <c r="T32" s="148" t="n"/>
    </row>
    <row r="33" ht="15" customHeight="1" s="95">
      <c r="A33" s="148" t="inlineStr">
        <is>
          <t>USDP-032</t>
        </is>
      </c>
      <c r="B33" s="148" t="inlineStr">
        <is>
          <t>August</t>
        </is>
      </c>
      <c r="C33" s="149" t="n">
        <v>44804</v>
      </c>
      <c r="D33" s="148" t="inlineStr">
        <is>
          <t>Month-End</t>
        </is>
      </c>
      <c r="E33" s="148" t="n">
        <v>2022</v>
      </c>
      <c r="F33" s="148" t="inlineStr">
        <is>
          <t>Withum</t>
        </is>
      </c>
      <c r="G33" s="148" t="inlineStr">
        <is>
          <t>AICPA Examination (ISAE 3000-equivalent)</t>
        </is>
      </c>
      <c r="H33" s="148" t="inlineStr">
        <is>
          <t>Paxos Trust Company, LLC</t>
        </is>
      </c>
      <c r="I33" s="150" t="n">
        <v>965328744.5599999</v>
      </c>
      <c r="J33" s="151" t="n">
        <v>965328744.5599999</v>
      </c>
      <c r="K33" s="150">
        <f>I33</f>
        <v/>
      </c>
      <c r="L33" s="152" t="n">
        <v>0</v>
      </c>
      <c r="M33" s="148" t="n"/>
      <c r="N33" s="148" t="n"/>
      <c r="O33" s="148" t="n"/>
      <c r="P33" s="153">
        <f>IFERROR(J33-K33,"")</f>
        <v/>
      </c>
      <c r="Q33" s="154">
        <f>IFERROR(J33/K33,"")</f>
        <v/>
      </c>
      <c r="R33" s="148" t="n">
        <v>1</v>
      </c>
      <c r="S33" s="148" t="n">
        <v>0</v>
      </c>
      <c r="T33" s="148" t="n"/>
    </row>
    <row r="34" ht="15" customHeight="1" s="95">
      <c r="A34" s="148" t="inlineStr">
        <is>
          <t>USDP-033</t>
        </is>
      </c>
      <c r="B34" s="148" t="inlineStr">
        <is>
          <t>September</t>
        </is>
      </c>
      <c r="C34" s="149" t="n">
        <v>44820</v>
      </c>
      <c r="D34" s="148" t="inlineStr">
        <is>
          <t>Mid-Month</t>
        </is>
      </c>
      <c r="E34" s="148" t="n">
        <v>2022</v>
      </c>
      <c r="F34" s="148" t="inlineStr">
        <is>
          <t>Withum</t>
        </is>
      </c>
      <c r="G34" s="148" t="inlineStr">
        <is>
          <t>AICPA Examination (ISAE 3000-equivalent)</t>
        </is>
      </c>
      <c r="H34" s="148" t="inlineStr">
        <is>
          <t>Paxos Trust Company, LLC</t>
        </is>
      </c>
      <c r="I34" s="150" t="n">
        <v>966416313.12</v>
      </c>
      <c r="J34" s="151" t="n">
        <v>975699786</v>
      </c>
      <c r="K34" s="150">
        <f>I34</f>
        <v/>
      </c>
      <c r="L34" s="152" t="n">
        <v>0</v>
      </c>
      <c r="M34" s="152" t="n">
        <v>448872000</v>
      </c>
      <c r="N34" s="152" t="n">
        <v>290700049</v>
      </c>
      <c r="O34" s="152" t="n">
        <v>236127737</v>
      </c>
      <c r="P34" s="153">
        <f>IFERROR(J34-K34,"")</f>
        <v/>
      </c>
      <c r="Q34" s="154">
        <f>IFERROR(J34/K34,"")</f>
        <v/>
      </c>
      <c r="R34" s="148" t="n">
        <v>3</v>
      </c>
      <c r="S34" s="148" t="n">
        <v>0</v>
      </c>
      <c r="T34" s="148" t="inlineStr">
        <is>
          <t>Re-labeled from Month-End to Mid-Month (values match Sept 16 PDF, Withum)</t>
        </is>
      </c>
    </row>
    <row r="35" ht="15" customHeight="1" s="95">
      <c r="A35" s="148" t="inlineStr">
        <is>
          <t>USDP-034</t>
        </is>
      </c>
      <c r="B35" s="148" t="inlineStr">
        <is>
          <t>October</t>
        </is>
      </c>
      <c r="C35" s="149" t="n">
        <v>44853</v>
      </c>
      <c r="D35" s="148" t="inlineStr">
        <is>
          <t>Mid-Month</t>
        </is>
      </c>
      <c r="E35" s="148" t="n">
        <v>2022</v>
      </c>
      <c r="F35" s="148" t="inlineStr">
        <is>
          <t>Withum</t>
        </is>
      </c>
      <c r="G35" s="148" t="inlineStr">
        <is>
          <t>AICPA Examination (ISAE 3000-equivalent)</t>
        </is>
      </c>
      <c r="H35" s="148" t="inlineStr">
        <is>
          <t>Paxos Trust Company, LLC</t>
        </is>
      </c>
      <c r="I35" s="150" t="n">
        <v>898501259.5599999</v>
      </c>
      <c r="J35" s="151" t="n">
        <v>904601866</v>
      </c>
      <c r="K35" s="150">
        <f>I35</f>
        <v/>
      </c>
      <c r="L35" s="152" t="n">
        <v>0</v>
      </c>
      <c r="M35" s="152" t="n">
        <v>499342500</v>
      </c>
      <c r="N35" s="152" t="n">
        <v>204000004</v>
      </c>
      <c r="O35" s="152" t="n">
        <v>201259362</v>
      </c>
      <c r="P35" s="153">
        <f>IFERROR(J35-K35,"")</f>
        <v/>
      </c>
      <c r="Q35" s="154">
        <f>IFERROR(J35/K35,"")</f>
        <v/>
      </c>
      <c r="R35" s="148" t="n">
        <v>1</v>
      </c>
      <c r="S35" s="148" t="n">
        <v>0</v>
      </c>
      <c r="T35" s="148" t="n"/>
    </row>
    <row r="36" ht="15" customHeight="1" s="95">
      <c r="A36" s="148" t="inlineStr">
        <is>
          <t>USDP-035</t>
        </is>
      </c>
      <c r="B36" s="148" t="inlineStr">
        <is>
          <t>October</t>
        </is>
      </c>
      <c r="C36" s="149" t="n">
        <v>44865</v>
      </c>
      <c r="D36" s="148" t="inlineStr">
        <is>
          <t>Month-End</t>
        </is>
      </c>
      <c r="E36" s="148" t="n">
        <v>2022</v>
      </c>
      <c r="F36" s="148" t="inlineStr">
        <is>
          <t>Withum</t>
        </is>
      </c>
      <c r="G36" s="148" t="inlineStr">
        <is>
          <t>AICPA Examination (ISAE 3000-equivalent)</t>
        </is>
      </c>
      <c r="H36" s="148" t="inlineStr">
        <is>
          <t>Paxos Trust Company, LLC</t>
        </is>
      </c>
      <c r="I36" s="150" t="n">
        <v>898543285.1799999</v>
      </c>
      <c r="J36" s="151" t="n">
        <v>904421118</v>
      </c>
      <c r="K36" s="150">
        <f>I36</f>
        <v/>
      </c>
      <c r="L36" s="152" t="n">
        <v>0</v>
      </c>
      <c r="M36" s="152" t="n">
        <v>548913000</v>
      </c>
      <c r="N36" s="152" t="n">
        <v>153000045</v>
      </c>
      <c r="O36" s="152" t="n">
        <v>202508073</v>
      </c>
      <c r="P36" s="153">
        <f>IFERROR(J36-K36,"")</f>
        <v/>
      </c>
      <c r="Q36" s="154">
        <f>IFERROR(J36/K36,"")</f>
        <v/>
      </c>
      <c r="R36" s="148" t="n">
        <v>1</v>
      </c>
      <c r="S36" s="148" t="n">
        <v>0</v>
      </c>
      <c r="T36" s="148" t="n"/>
    </row>
    <row r="37" ht="15" customHeight="1" s="95">
      <c r="A37" s="155" t="inlineStr">
        <is>
          <t>USDP-036</t>
        </is>
      </c>
      <c r="B37" s="155" t="inlineStr">
        <is>
          <t>November</t>
        </is>
      </c>
      <c r="C37" s="156" t="n">
        <v>44879</v>
      </c>
      <c r="D37" s="155" t="inlineStr">
        <is>
          <t>Mid-Month</t>
        </is>
      </c>
      <c r="E37" s="155" t="n">
        <v>2022</v>
      </c>
      <c r="F37" s="155" t="inlineStr">
        <is>
          <t>Withum</t>
        </is>
      </c>
      <c r="G37" s="155" t="inlineStr">
        <is>
          <t>AICPA Examination (ISAE 3000-equivalent)</t>
        </is>
      </c>
      <c r="H37" s="155" t="inlineStr">
        <is>
          <t>Paxos Trust Company, LLC</t>
        </is>
      </c>
      <c r="I37" s="157" t="n">
        <v>851194039.8099999</v>
      </c>
      <c r="J37" s="158" t="n">
        <v>861109815</v>
      </c>
      <c r="K37" s="157">
        <f>I37</f>
        <v/>
      </c>
      <c r="L37" s="159" t="n">
        <v>0</v>
      </c>
      <c r="M37" s="159" t="n">
        <v>348656000</v>
      </c>
      <c r="N37" s="159" t="n">
        <v>311100088</v>
      </c>
      <c r="O37" s="159" t="n">
        <v>201353727</v>
      </c>
      <c r="P37" s="160">
        <f>IFERROR(J37-K37,"")</f>
        <v/>
      </c>
      <c r="Q37" s="161">
        <f>IFERROR(J37/K37,"")</f>
        <v/>
      </c>
      <c r="R37" s="155" t="n">
        <v>3</v>
      </c>
      <c r="S37" s="155" t="n">
        <v>0</v>
      </c>
      <c r="T37" s="155" t="inlineStr">
        <is>
          <t>First Tier-3 breakdown disclosure (Withum format change)</t>
        </is>
      </c>
    </row>
    <row r="38" ht="15" customHeight="1" s="95">
      <c r="A38" s="155" t="inlineStr">
        <is>
          <t>USDP-037</t>
        </is>
      </c>
      <c r="B38" s="155" t="inlineStr">
        <is>
          <t>November</t>
        </is>
      </c>
      <c r="C38" s="156" t="n">
        <v>44895</v>
      </c>
      <c r="D38" s="155" t="inlineStr">
        <is>
          <t>Month-End</t>
        </is>
      </c>
      <c r="E38" s="155" t="n">
        <v>2022</v>
      </c>
      <c r="F38" s="155" t="inlineStr">
        <is>
          <t>Withum</t>
        </is>
      </c>
      <c r="G38" s="155" t="inlineStr">
        <is>
          <t>AICPA Examination (ISAE 3000-equivalent)</t>
        </is>
      </c>
      <c r="H38" s="155" t="inlineStr">
        <is>
          <t>Paxos Trust Company, LLC</t>
        </is>
      </c>
      <c r="I38" s="157" t="n">
        <v>767404706.95</v>
      </c>
      <c r="J38" s="158" t="n">
        <v>775092054</v>
      </c>
      <c r="K38" s="157">
        <f>I38</f>
        <v/>
      </c>
      <c r="L38" s="159" t="n">
        <v>0</v>
      </c>
      <c r="M38" s="159" t="n">
        <v>348614500</v>
      </c>
      <c r="N38" s="159" t="n">
        <v>204000036</v>
      </c>
      <c r="O38" s="159" t="n">
        <v>222477518</v>
      </c>
      <c r="P38" s="160">
        <f>IFERROR(J38-K38,"")</f>
        <v/>
      </c>
      <c r="Q38" s="161">
        <f>IFERROR(J38/K38,"")</f>
        <v/>
      </c>
      <c r="R38" s="155" t="n">
        <v>3</v>
      </c>
      <c r="S38" s="155" t="n">
        <v>0</v>
      </c>
      <c r="T38" s="155" t="inlineStr">
        <is>
          <t>First Tier-3 breakdown disclosure (Withum format change)</t>
        </is>
      </c>
    </row>
    <row r="39" ht="15" customHeight="1" s="95">
      <c r="A39" s="155" t="inlineStr">
        <is>
          <t>USDP-038</t>
        </is>
      </c>
      <c r="B39" s="155" t="inlineStr">
        <is>
          <t>December</t>
        </is>
      </c>
      <c r="C39" s="156" t="n">
        <v>44903</v>
      </c>
      <c r="D39" s="155" t="inlineStr">
        <is>
          <t>Mid-Month</t>
        </is>
      </c>
      <c r="E39" s="155" t="n">
        <v>2022</v>
      </c>
      <c r="F39" s="155" t="inlineStr">
        <is>
          <t>Withum</t>
        </is>
      </c>
      <c r="G39" s="155" t="inlineStr">
        <is>
          <t>AICPA Examination (ISAE 3000-equivalent)</t>
        </is>
      </c>
      <c r="H39" s="155" t="inlineStr">
        <is>
          <t>Paxos Trust Company, LLC</t>
        </is>
      </c>
      <c r="I39" s="157" t="n">
        <v>767404706.9400001</v>
      </c>
      <c r="J39" s="158" t="n">
        <v>776062308</v>
      </c>
      <c r="K39" s="157">
        <f>I39</f>
        <v/>
      </c>
      <c r="L39" s="159" t="n">
        <v>0</v>
      </c>
      <c r="M39" s="159" t="n">
        <v>349004000</v>
      </c>
      <c r="N39" s="159" t="n">
        <v>224400024</v>
      </c>
      <c r="O39" s="159" t="n">
        <v>202658284</v>
      </c>
      <c r="P39" s="160">
        <f>IFERROR(J39-K39,"")</f>
        <v/>
      </c>
      <c r="Q39" s="161">
        <f>IFERROR(J39/K39,"")</f>
        <v/>
      </c>
      <c r="R39" s="155" t="n">
        <v>3</v>
      </c>
      <c r="S39" s="155" t="n">
        <v>0</v>
      </c>
      <c r="T39" s="155" t="n"/>
    </row>
    <row r="40" ht="15" customHeight="1" s="95">
      <c r="A40" s="155" t="inlineStr">
        <is>
          <t>USDP-039</t>
        </is>
      </c>
      <c r="B40" s="155" t="inlineStr">
        <is>
          <t>December</t>
        </is>
      </c>
      <c r="C40" s="156" t="n">
        <v>44925</v>
      </c>
      <c r="D40" s="155" t="inlineStr">
        <is>
          <t>Month-End</t>
        </is>
      </c>
      <c r="E40" s="155" t="n">
        <v>2022</v>
      </c>
      <c r="F40" s="155" t="inlineStr">
        <is>
          <t>Withum</t>
        </is>
      </c>
      <c r="G40" s="155" t="inlineStr">
        <is>
          <t>AICPA Examination (ISAE 3000-equivalent)</t>
        </is>
      </c>
      <c r="H40" s="155" t="inlineStr">
        <is>
          <t>Paxos Trust Company, LLC</t>
        </is>
      </c>
      <c r="I40" s="157" t="n">
        <v>888084065.8099999</v>
      </c>
      <c r="J40" s="158" t="n">
        <v>900537280</v>
      </c>
      <c r="K40" s="157">
        <f>I40</f>
        <v/>
      </c>
      <c r="L40" s="159" t="n">
        <v>0</v>
      </c>
      <c r="M40" s="159" t="n">
        <v>199768000</v>
      </c>
      <c r="N40" s="159" t="n">
        <v>443700043</v>
      </c>
      <c r="O40" s="159" t="n">
        <v>257069237</v>
      </c>
      <c r="P40" s="160">
        <f>IFERROR(J40-K40,"")</f>
        <v/>
      </c>
      <c r="Q40" s="161">
        <f>IFERROR(J40/K40,"")</f>
        <v/>
      </c>
      <c r="R40" s="155" t="n">
        <v>3</v>
      </c>
      <c r="S40" s="155" t="n">
        <v>0</v>
      </c>
      <c r="T40" s="155" t="n"/>
    </row>
    <row r="41" ht="15" customHeight="1" s="95">
      <c r="A41" s="148" t="inlineStr">
        <is>
          <t>USDP-040</t>
        </is>
      </c>
      <c r="B41" s="148" t="inlineStr">
        <is>
          <t>January</t>
        </is>
      </c>
      <c r="C41" s="149" t="n">
        <v>44950</v>
      </c>
      <c r="D41" s="148" t="inlineStr">
        <is>
          <t>Mid-Month</t>
        </is>
      </c>
      <c r="E41" s="148" t="n">
        <v>2023</v>
      </c>
      <c r="F41" s="148" t="inlineStr">
        <is>
          <t>Withum</t>
        </is>
      </c>
      <c r="G41" s="148" t="inlineStr">
        <is>
          <t>AICPA Examination (ISAE 3000-equivalent)</t>
        </is>
      </c>
      <c r="H41" s="148" t="inlineStr">
        <is>
          <t>Paxos Trust Company, LLC</t>
        </is>
      </c>
      <c r="I41" s="150" t="n">
        <v>914620384.48</v>
      </c>
      <c r="J41" s="151" t="n">
        <v>914620384.48</v>
      </c>
      <c r="K41" s="150">
        <f>I41</f>
        <v/>
      </c>
      <c r="L41" s="152" t="n">
        <v>0</v>
      </c>
      <c r="M41" s="148" t="n"/>
      <c r="N41" s="148" t="n"/>
      <c r="O41" s="148" t="n"/>
      <c r="P41" s="153">
        <f>IFERROR(J41-K41,"")</f>
        <v/>
      </c>
      <c r="Q41" s="154">
        <f>IFERROR(J41/K41,"")</f>
        <v/>
      </c>
      <c r="R41" s="148" t="n">
        <v>1</v>
      </c>
      <c r="S41" s="148" t="n">
        <v>0</v>
      </c>
      <c r="T41" s="148" t="n"/>
    </row>
    <row r="42" ht="15" customHeight="1" s="95">
      <c r="A42" s="148" t="inlineStr">
        <is>
          <t>USDP-041</t>
        </is>
      </c>
      <c r="B42" s="148" t="inlineStr">
        <is>
          <t>January</t>
        </is>
      </c>
      <c r="C42" s="149" t="n">
        <v>44957</v>
      </c>
      <c r="D42" s="148" t="inlineStr">
        <is>
          <t>Month-End</t>
        </is>
      </c>
      <c r="E42" s="148" t="n">
        <v>2023</v>
      </c>
      <c r="F42" s="148" t="inlineStr">
        <is>
          <t>Withum</t>
        </is>
      </c>
      <c r="G42" s="148" t="inlineStr">
        <is>
          <t>AICPA Examination (ISAE 3000-equivalent)</t>
        </is>
      </c>
      <c r="H42" s="148" t="inlineStr">
        <is>
          <t>Paxos Trust Company, LLC</t>
        </is>
      </c>
      <c r="I42" s="150" t="n">
        <v>969514796.67</v>
      </c>
      <c r="J42" s="151" t="n">
        <v>969514796.67</v>
      </c>
      <c r="K42" s="150">
        <f>I42</f>
        <v/>
      </c>
      <c r="L42" s="152" t="n">
        <v>0</v>
      </c>
      <c r="M42" s="148" t="n"/>
      <c r="N42" s="148" t="n"/>
      <c r="O42" s="148" t="n"/>
      <c r="P42" s="153">
        <f>IFERROR(J42-K42,"")</f>
        <v/>
      </c>
      <c r="Q42" s="154">
        <f>IFERROR(J42/K42,"")</f>
        <v/>
      </c>
      <c r="R42" s="148" t="n">
        <v>1</v>
      </c>
      <c r="S42" s="148" t="n">
        <v>0</v>
      </c>
      <c r="T42" s="148" t="n"/>
    </row>
    <row r="43" ht="15" customHeight="1" s="95">
      <c r="A43" s="155" t="inlineStr">
        <is>
          <t>USDP-042</t>
        </is>
      </c>
      <c r="B43" s="155" t="inlineStr">
        <is>
          <t>February</t>
        </is>
      </c>
      <c r="C43" s="156" t="n">
        <v>44970</v>
      </c>
      <c r="D43" s="155" t="inlineStr">
        <is>
          <t>Mid-Month</t>
        </is>
      </c>
      <c r="E43" s="155" t="n">
        <v>2023</v>
      </c>
      <c r="F43" s="155" t="inlineStr">
        <is>
          <t>Withum</t>
        </is>
      </c>
      <c r="G43" s="155" t="inlineStr">
        <is>
          <t>AICPA Examination (ISAE 3000-equivalent)</t>
        </is>
      </c>
      <c r="H43" s="155" t="inlineStr">
        <is>
          <t>Paxos Trust Company, LLC</t>
        </is>
      </c>
      <c r="I43" s="157" t="n">
        <v>870376910.83</v>
      </c>
      <c r="J43" s="158" t="n">
        <v>878851948</v>
      </c>
      <c r="K43" s="157">
        <f>I43</f>
        <v/>
      </c>
      <c r="L43" s="159" t="n">
        <v>0</v>
      </c>
      <c r="M43" s="159" t="n">
        <v>249578000</v>
      </c>
      <c r="N43" s="159" t="n">
        <v>346800068</v>
      </c>
      <c r="O43" s="159" t="n">
        <v>282473880</v>
      </c>
      <c r="P43" s="160">
        <f>IFERROR(J43-K43,"")</f>
        <v/>
      </c>
      <c r="Q43" s="161">
        <f>IFERROR(J43/K43,"")</f>
        <v/>
      </c>
      <c r="R43" s="155" t="n">
        <v>3</v>
      </c>
      <c r="S43" s="155" t="n">
        <v>0</v>
      </c>
      <c r="T43" s="155" t="n"/>
    </row>
    <row r="44" ht="15" customHeight="1" s="95">
      <c r="A44" s="155" t="inlineStr">
        <is>
          <t>USDP-043</t>
        </is>
      </c>
      <c r="B44" s="155" t="inlineStr">
        <is>
          <t>February</t>
        </is>
      </c>
      <c r="C44" s="156" t="n">
        <v>44985</v>
      </c>
      <c r="D44" s="155" t="inlineStr">
        <is>
          <t>Month-End</t>
        </is>
      </c>
      <c r="E44" s="155" t="n">
        <v>2023</v>
      </c>
      <c r="F44" s="155" t="inlineStr">
        <is>
          <t>Withum</t>
        </is>
      </c>
      <c r="G44" s="155" t="inlineStr">
        <is>
          <t>AICPA Examination (ISAE 3000-equivalent)</t>
        </is>
      </c>
      <c r="H44" s="155" t="inlineStr">
        <is>
          <t>Paxos Trust Company, LLC</t>
        </is>
      </c>
      <c r="I44" s="157" t="n">
        <v>766369356.99</v>
      </c>
      <c r="J44" s="158" t="n">
        <v>776277036</v>
      </c>
      <c r="K44" s="157">
        <f>I44</f>
        <v/>
      </c>
      <c r="L44" s="159" t="n">
        <v>0</v>
      </c>
      <c r="M44" s="159" t="n">
        <v>149889000</v>
      </c>
      <c r="N44" s="159" t="n">
        <v>357000014</v>
      </c>
      <c r="O44" s="159" t="n">
        <v>269388022</v>
      </c>
      <c r="P44" s="160">
        <f>IFERROR(J44-K44,"")</f>
        <v/>
      </c>
      <c r="Q44" s="161">
        <f>IFERROR(J44/K44,"")</f>
        <v/>
      </c>
      <c r="R44" s="155" t="n">
        <v>3</v>
      </c>
      <c r="S44" s="155" t="n">
        <v>0</v>
      </c>
      <c r="T44" s="155" t="n"/>
    </row>
    <row r="45" ht="15" customHeight="1" s="95">
      <c r="A45" s="155" t="inlineStr">
        <is>
          <t>USDP-044</t>
        </is>
      </c>
      <c r="B45" s="155" t="inlineStr">
        <is>
          <t>March</t>
        </is>
      </c>
      <c r="C45" s="156" t="n">
        <v>45009</v>
      </c>
      <c r="D45" s="155" t="inlineStr">
        <is>
          <t>Mid-Month</t>
        </is>
      </c>
      <c r="E45" s="155" t="n">
        <v>2023</v>
      </c>
      <c r="F45" s="155" t="inlineStr">
        <is>
          <t>Withum</t>
        </is>
      </c>
      <c r="G45" s="155" t="inlineStr">
        <is>
          <t>AICPA Examination (ISAE 3000-equivalent)</t>
        </is>
      </c>
      <c r="H45" s="155" t="inlineStr">
        <is>
          <t>Paxos Trust Company, LLC</t>
        </is>
      </c>
      <c r="I45" s="157" t="n">
        <v>757552716.46</v>
      </c>
      <c r="J45" s="158" t="n">
        <v>781982625</v>
      </c>
      <c r="K45" s="157">
        <f>I45</f>
        <v/>
      </c>
      <c r="L45" s="159" t="n">
        <v>0</v>
      </c>
      <c r="M45" s="159" t="n">
        <v>149942000</v>
      </c>
      <c r="N45" s="159" t="n">
        <v>382500018</v>
      </c>
      <c r="O45" s="159" t="n">
        <v>249540607</v>
      </c>
      <c r="P45" s="160">
        <f>IFERROR(J45-K45,"")</f>
        <v/>
      </c>
      <c r="Q45" s="161">
        <f>IFERROR(J45/K45,"")</f>
        <v/>
      </c>
      <c r="R45" s="155" t="n">
        <v>3</v>
      </c>
      <c r="S45" s="155" t="n">
        <v>0</v>
      </c>
      <c r="T45" s="155" t="n"/>
    </row>
    <row r="46" ht="15" customHeight="1" s="95">
      <c r="A46" s="155" t="inlineStr">
        <is>
          <t>USDP-045</t>
        </is>
      </c>
      <c r="B46" s="155" t="inlineStr">
        <is>
          <t>March</t>
        </is>
      </c>
      <c r="C46" s="156" t="n">
        <v>45016</v>
      </c>
      <c r="D46" s="155" t="inlineStr">
        <is>
          <t>Month-End</t>
        </is>
      </c>
      <c r="E46" s="155" t="n">
        <v>2023</v>
      </c>
      <c r="F46" s="155" t="inlineStr">
        <is>
          <t>Withum</t>
        </is>
      </c>
      <c r="G46" s="155" t="inlineStr">
        <is>
          <t>AICPA Examination (ISAE 3000-equivalent)</t>
        </is>
      </c>
      <c r="H46" s="155" t="inlineStr">
        <is>
          <t>Paxos Trust Company, LLC</t>
        </is>
      </c>
      <c r="I46" s="157" t="n">
        <v>757552716.46</v>
      </c>
      <c r="J46" s="158" t="n">
        <v>768331155</v>
      </c>
      <c r="K46" s="157">
        <f>I46</f>
        <v/>
      </c>
      <c r="L46" s="159" t="n">
        <v>0</v>
      </c>
      <c r="M46" s="159" t="n">
        <v>149878500</v>
      </c>
      <c r="N46" s="159" t="n">
        <v>418200074</v>
      </c>
      <c r="O46" s="159" t="n">
        <v>200252581</v>
      </c>
      <c r="P46" s="160">
        <f>IFERROR(J46-K46,"")</f>
        <v/>
      </c>
      <c r="Q46" s="161">
        <f>IFERROR(J46/K46,"")</f>
        <v/>
      </c>
      <c r="R46" s="155" t="n">
        <v>3</v>
      </c>
      <c r="S46" s="155" t="n">
        <v>0</v>
      </c>
      <c r="T46" s="155" t="n"/>
    </row>
    <row r="47" ht="15" customHeight="1" s="95">
      <c r="A47" s="155" t="inlineStr">
        <is>
          <t>USDP-046</t>
        </is>
      </c>
      <c r="B47" s="155" t="inlineStr">
        <is>
          <t>April</t>
        </is>
      </c>
      <c r="C47" s="156" t="n">
        <v>45027</v>
      </c>
      <c r="D47" s="155" t="inlineStr">
        <is>
          <t>Mid-Month</t>
        </is>
      </c>
      <c r="E47" s="155" t="n">
        <v>2023</v>
      </c>
      <c r="F47" s="155" t="inlineStr">
        <is>
          <t>Withum</t>
        </is>
      </c>
      <c r="G47" s="155" t="inlineStr">
        <is>
          <t>AICPA Examination (ISAE 3000-equivalent)</t>
        </is>
      </c>
      <c r="H47" s="155" t="inlineStr">
        <is>
          <t>Paxos Trust Company, LLC</t>
        </is>
      </c>
      <c r="I47" s="157" t="n">
        <v>885329819.5700001</v>
      </c>
      <c r="J47" s="158" t="n">
        <v>944074224</v>
      </c>
      <c r="K47" s="157">
        <f>I47</f>
        <v/>
      </c>
      <c r="L47" s="159" t="n">
        <v>0</v>
      </c>
      <c r="M47" s="159" t="n">
        <v>149888000</v>
      </c>
      <c r="N47" s="159" t="n">
        <v>555900066</v>
      </c>
      <c r="O47" s="159" t="n">
        <v>238286158</v>
      </c>
      <c r="P47" s="160">
        <f>IFERROR(J47-K47,"")</f>
        <v/>
      </c>
      <c r="Q47" s="161">
        <f>IFERROR(J47/K47,"")</f>
        <v/>
      </c>
      <c r="R47" s="155" t="n">
        <v>3</v>
      </c>
      <c r="S47" s="155" t="n">
        <v>0</v>
      </c>
      <c r="T47" s="155" t="n"/>
    </row>
    <row r="48" ht="15" customHeight="1" s="95">
      <c r="A48" s="155" t="inlineStr">
        <is>
          <t>USDP-047</t>
        </is>
      </c>
      <c r="B48" s="155" t="inlineStr">
        <is>
          <t>April</t>
        </is>
      </c>
      <c r="C48" s="156" t="n">
        <v>45044</v>
      </c>
      <c r="D48" s="155" t="inlineStr">
        <is>
          <t>Month-End</t>
        </is>
      </c>
      <c r="E48" s="155" t="n">
        <v>2023</v>
      </c>
      <c r="F48" s="155" t="inlineStr">
        <is>
          <t>Withum</t>
        </is>
      </c>
      <c r="G48" s="155" t="inlineStr">
        <is>
          <t>AICPA Examination (ISAE 3000-equivalent)</t>
        </is>
      </c>
      <c r="H48" s="155" t="inlineStr">
        <is>
          <t>Paxos Trust Company, LLC</t>
        </is>
      </c>
      <c r="I48" s="157" t="n">
        <v>1041056795.45</v>
      </c>
      <c r="J48" s="158" t="n">
        <v>1060369224</v>
      </c>
      <c r="K48" s="157">
        <f>I48</f>
        <v/>
      </c>
      <c r="L48" s="159" t="n">
        <v>0</v>
      </c>
      <c r="M48" s="159" t="n">
        <v>24997000</v>
      </c>
      <c r="N48" s="159" t="n">
        <v>841500156</v>
      </c>
      <c r="O48" s="159" t="n">
        <v>193872068</v>
      </c>
      <c r="P48" s="160">
        <f>IFERROR(J48-K48,"")</f>
        <v/>
      </c>
      <c r="Q48" s="161">
        <f>IFERROR(J48/K48,"")</f>
        <v/>
      </c>
      <c r="R48" s="155" t="n">
        <v>3</v>
      </c>
      <c r="S48" s="155" t="n">
        <v>0</v>
      </c>
      <c r="T48" s="155" t="n"/>
    </row>
    <row r="49" ht="15" customHeight="1" s="95">
      <c r="A49" s="148" t="inlineStr">
        <is>
          <t>USDP-048</t>
        </is>
      </c>
      <c r="B49" s="148" t="inlineStr">
        <is>
          <t>May</t>
        </is>
      </c>
      <c r="C49" s="149" t="n">
        <v>45065</v>
      </c>
      <c r="D49" s="148" t="inlineStr">
        <is>
          <t>Mid-Month</t>
        </is>
      </c>
      <c r="E49" s="148" t="n">
        <v>2023</v>
      </c>
      <c r="F49" s="148" t="inlineStr">
        <is>
          <t>Withum</t>
        </is>
      </c>
      <c r="G49" s="148" t="inlineStr">
        <is>
          <t>AICPA Examination (ISAE 3000-equivalent)</t>
        </is>
      </c>
      <c r="H49" s="148" t="inlineStr">
        <is>
          <t>Paxos Trust Company, LLC</t>
        </is>
      </c>
      <c r="I49" s="150" t="n">
        <v>1019052716.45</v>
      </c>
      <c r="J49" s="151" t="n">
        <v>1019052716.45</v>
      </c>
      <c r="K49" s="150">
        <f>I49</f>
        <v/>
      </c>
      <c r="L49" s="152" t="n">
        <v>0</v>
      </c>
      <c r="M49" s="148" t="n"/>
      <c r="N49" s="148" t="n"/>
      <c r="O49" s="148" t="n"/>
      <c r="P49" s="153">
        <f>IFERROR(J49-K49,"")</f>
        <v/>
      </c>
      <c r="Q49" s="154">
        <f>IFERROR(J49/K49,"")</f>
        <v/>
      </c>
      <c r="R49" s="148" t="n">
        <v>1</v>
      </c>
      <c r="S49" s="148" t="n">
        <v>0</v>
      </c>
      <c r="T49" s="148" t="n"/>
    </row>
    <row r="50" ht="15" customHeight="1" s="95">
      <c r="A50" s="148" t="inlineStr">
        <is>
          <t>USDP-049</t>
        </is>
      </c>
      <c r="B50" s="148" t="inlineStr">
        <is>
          <t>May</t>
        </is>
      </c>
      <c r="C50" s="149" t="n">
        <v>45077</v>
      </c>
      <c r="D50" s="148" t="inlineStr">
        <is>
          <t>Month-End</t>
        </is>
      </c>
      <c r="E50" s="148" t="n">
        <v>2023</v>
      </c>
      <c r="F50" s="148" t="inlineStr">
        <is>
          <t>Withum</t>
        </is>
      </c>
      <c r="G50" s="148" t="inlineStr">
        <is>
          <t>AICPA Examination (ISAE 3000-equivalent)</t>
        </is>
      </c>
      <c r="H50" s="148" t="inlineStr">
        <is>
          <t>Paxos Trust Company, LLC</t>
        </is>
      </c>
      <c r="I50" s="150" t="n">
        <v>1027011081.22</v>
      </c>
      <c r="J50" s="151" t="n">
        <v>1027011081.22</v>
      </c>
      <c r="K50" s="150">
        <f>I50</f>
        <v/>
      </c>
      <c r="L50" s="152" t="n">
        <v>0</v>
      </c>
      <c r="M50" s="148" t="n"/>
      <c r="N50" s="148" t="n"/>
      <c r="O50" s="148" t="n"/>
      <c r="P50" s="153">
        <f>IFERROR(J50-K50,"")</f>
        <v/>
      </c>
      <c r="Q50" s="154">
        <f>IFERROR(J50/K50,"")</f>
        <v/>
      </c>
      <c r="R50" s="148" t="n">
        <v>1</v>
      </c>
      <c r="S50" s="148" t="n">
        <v>0</v>
      </c>
      <c r="T50" s="148" t="n"/>
    </row>
    <row r="51" ht="15" customHeight="1" s="95">
      <c r="A51" s="155" t="inlineStr">
        <is>
          <t>USDP-050</t>
        </is>
      </c>
      <c r="B51" s="155" t="inlineStr">
        <is>
          <t>June</t>
        </is>
      </c>
      <c r="C51" s="156" t="n">
        <v>45086</v>
      </c>
      <c r="D51" s="155" t="inlineStr">
        <is>
          <t>Mid-Month</t>
        </is>
      </c>
      <c r="E51" s="155" t="n">
        <v>2023</v>
      </c>
      <c r="F51" s="155" t="inlineStr">
        <is>
          <t>Withum</t>
        </is>
      </c>
      <c r="G51" s="155" t="inlineStr">
        <is>
          <t>AICPA Examination (ISAE 3000-equivalent)</t>
        </is>
      </c>
      <c r="H51" s="155" t="inlineStr">
        <is>
          <t>Paxos Trust Company, LLC</t>
        </is>
      </c>
      <c r="I51" s="157" t="n">
        <v>1006573587.66</v>
      </c>
      <c r="J51" s="158" t="n">
        <v>1022621804</v>
      </c>
      <c r="K51" s="157">
        <f>I51</f>
        <v/>
      </c>
      <c r="L51" s="159" t="n">
        <v>0</v>
      </c>
      <c r="M51" s="159" t="n">
        <v>99972000</v>
      </c>
      <c r="N51" s="159" t="n">
        <v>734400007</v>
      </c>
      <c r="O51" s="159" t="n">
        <v>188249797</v>
      </c>
      <c r="P51" s="160">
        <f>IFERROR(J51-K51,"")</f>
        <v/>
      </c>
      <c r="Q51" s="161">
        <f>IFERROR(J51/K51,"")</f>
        <v/>
      </c>
      <c r="R51" s="155" t="n">
        <v>3</v>
      </c>
      <c r="S51" s="155" t="n">
        <v>0</v>
      </c>
      <c r="T51" s="155" t="n"/>
    </row>
    <row r="52" ht="15" customHeight="1" s="95">
      <c r="A52" s="155" t="inlineStr">
        <is>
          <t>USDP-051</t>
        </is>
      </c>
      <c r="B52" s="155" t="inlineStr">
        <is>
          <t>June</t>
        </is>
      </c>
      <c r="C52" s="156" t="n">
        <v>45107</v>
      </c>
      <c r="D52" s="155" t="inlineStr">
        <is>
          <t>Month-End</t>
        </is>
      </c>
      <c r="E52" s="155" t="n">
        <v>2023</v>
      </c>
      <c r="F52" s="155" t="inlineStr">
        <is>
          <t>Withum</t>
        </is>
      </c>
      <c r="G52" s="155" t="inlineStr">
        <is>
          <t>AICPA Examination (ISAE 3000-equivalent)</t>
        </is>
      </c>
      <c r="H52" s="155" t="inlineStr">
        <is>
          <t>Paxos Trust Company, LLC</t>
        </is>
      </c>
      <c r="I52" s="157" t="n">
        <v>986890935.85</v>
      </c>
      <c r="J52" s="158" t="n">
        <v>1006580250</v>
      </c>
      <c r="K52" s="157">
        <f>I52</f>
        <v/>
      </c>
      <c r="L52" s="159" t="n">
        <v>0</v>
      </c>
      <c r="M52" s="159" t="n">
        <v>24923750</v>
      </c>
      <c r="N52" s="159" t="n">
        <v>785400154</v>
      </c>
      <c r="O52" s="159" t="n">
        <v>196256346</v>
      </c>
      <c r="P52" s="160">
        <f>IFERROR(J52-K52,"")</f>
        <v/>
      </c>
      <c r="Q52" s="161">
        <f>IFERROR(J52/K52,"")</f>
        <v/>
      </c>
      <c r="R52" s="155" t="n">
        <v>3</v>
      </c>
      <c r="S52" s="155" t="n">
        <v>0</v>
      </c>
      <c r="T52" s="155" t="n"/>
    </row>
    <row r="53" ht="15" customHeight="1" s="95">
      <c r="A53" s="155" t="inlineStr">
        <is>
          <t>USDP-052</t>
        </is>
      </c>
      <c r="B53" s="155" t="inlineStr">
        <is>
          <t>July</t>
        </is>
      </c>
      <c r="C53" s="156" t="n">
        <v>45118</v>
      </c>
      <c r="D53" s="155" t="inlineStr">
        <is>
          <t>Mid-Month</t>
        </is>
      </c>
      <c r="E53" s="155" t="n">
        <v>2023</v>
      </c>
      <c r="F53" s="155" t="inlineStr">
        <is>
          <t>Withum</t>
        </is>
      </c>
      <c r="G53" s="155" t="inlineStr">
        <is>
          <t>AICPA Examination (ISAE 3000-equivalent)</t>
        </is>
      </c>
      <c r="H53" s="155" t="inlineStr">
        <is>
          <t>Paxos Trust Company, LLC</t>
        </is>
      </c>
      <c r="I53" s="157" t="n">
        <v>661654230.45</v>
      </c>
      <c r="J53" s="158" t="n">
        <v>671873427</v>
      </c>
      <c r="K53" s="157">
        <f>I53</f>
        <v/>
      </c>
      <c r="L53" s="159" t="n">
        <v>0</v>
      </c>
      <c r="M53" s="159" t="n">
        <v>49857750</v>
      </c>
      <c r="N53" s="159" t="n">
        <v>434928062</v>
      </c>
      <c r="O53" s="159" t="n">
        <v>187087615</v>
      </c>
      <c r="P53" s="160">
        <f>IFERROR(J53-K53,"")</f>
        <v/>
      </c>
      <c r="Q53" s="161">
        <f>IFERROR(J53/K53,"")</f>
        <v/>
      </c>
      <c r="R53" s="155" t="n">
        <v>3</v>
      </c>
      <c r="S53" s="155" t="n">
        <v>0</v>
      </c>
      <c r="T53" s="155" t="n"/>
    </row>
    <row r="54" ht="15" customHeight="1" s="95">
      <c r="A54" s="155" t="inlineStr">
        <is>
          <t>USDP-053</t>
        </is>
      </c>
      <c r="B54" s="155" t="inlineStr">
        <is>
          <t>July</t>
        </is>
      </c>
      <c r="C54" s="156" t="n">
        <v>45138</v>
      </c>
      <c r="D54" s="155" t="inlineStr">
        <is>
          <t>Month-End</t>
        </is>
      </c>
      <c r="E54" s="155" t="n">
        <v>2023</v>
      </c>
      <c r="F54" s="155" t="inlineStr">
        <is>
          <t>Withum</t>
        </is>
      </c>
      <c r="G54" s="155" t="inlineStr">
        <is>
          <t>AICPA Examination (ISAE 3000-equivalent)</t>
        </is>
      </c>
      <c r="H54" s="155" t="inlineStr">
        <is>
          <t>Paxos Trust Company, LLC</t>
        </is>
      </c>
      <c r="I54" s="157" t="n">
        <v>549583263.47</v>
      </c>
      <c r="J54" s="158" t="n">
        <v>558881467</v>
      </c>
      <c r="K54" s="157">
        <f>I54</f>
        <v/>
      </c>
      <c r="L54" s="159" t="n">
        <v>0</v>
      </c>
      <c r="M54" s="159" t="n">
        <v>24974500</v>
      </c>
      <c r="N54" s="159" t="n">
        <v>341700084</v>
      </c>
      <c r="O54" s="159" t="n">
        <v>192206883</v>
      </c>
      <c r="P54" s="160">
        <f>IFERROR(J54-K54,"")</f>
        <v/>
      </c>
      <c r="Q54" s="161">
        <f>IFERROR(J54/K54,"")</f>
        <v/>
      </c>
      <c r="R54" s="155" t="n">
        <v>3</v>
      </c>
      <c r="S54" s="155" t="n">
        <v>0</v>
      </c>
      <c r="T54" s="155" t="n"/>
    </row>
    <row r="55" ht="15" customHeight="1" s="95">
      <c r="A55" s="155" t="inlineStr">
        <is>
          <t>USDP-054</t>
        </is>
      </c>
      <c r="B55" s="155" t="inlineStr">
        <is>
          <t>August</t>
        </is>
      </c>
      <c r="C55" s="156" t="n">
        <v>45146</v>
      </c>
      <c r="D55" s="155" t="inlineStr">
        <is>
          <t>Mid-Month</t>
        </is>
      </c>
      <c r="E55" s="155" t="n">
        <v>2023</v>
      </c>
      <c r="F55" s="155" t="inlineStr">
        <is>
          <t>Withum</t>
        </is>
      </c>
      <c r="G55" s="155" t="inlineStr">
        <is>
          <t>AICPA Examination (ISAE 3000-equivalent)</t>
        </is>
      </c>
      <c r="H55" s="155" t="inlineStr">
        <is>
          <t>Paxos Trust Company, LLC</t>
        </is>
      </c>
      <c r="I55" s="157" t="n">
        <v>511100005.2</v>
      </c>
      <c r="J55" s="158" t="n">
        <v>517088786</v>
      </c>
      <c r="K55" s="157">
        <f>I55</f>
        <v/>
      </c>
      <c r="L55" s="159" t="n">
        <v>0</v>
      </c>
      <c r="M55" s="159" t="n">
        <v>49854500</v>
      </c>
      <c r="N55" s="159" t="n">
        <v>275400112</v>
      </c>
      <c r="O55" s="159" t="n">
        <v>191834174</v>
      </c>
      <c r="P55" s="160">
        <f>IFERROR(J55-K55,"")</f>
        <v/>
      </c>
      <c r="Q55" s="161">
        <f>IFERROR(J55/K55,"")</f>
        <v/>
      </c>
      <c r="R55" s="155" t="n">
        <v>3</v>
      </c>
      <c r="S55" s="155" t="n">
        <v>0</v>
      </c>
      <c r="T55" s="155" t="n"/>
    </row>
    <row r="56" ht="15" customHeight="1" s="95">
      <c r="A56" s="155" t="inlineStr">
        <is>
          <t>USDP-055</t>
        </is>
      </c>
      <c r="B56" s="155" t="inlineStr">
        <is>
          <t>August</t>
        </is>
      </c>
      <c r="C56" s="156" t="n">
        <v>45169</v>
      </c>
      <c r="D56" s="155" t="inlineStr">
        <is>
          <t>Month-End</t>
        </is>
      </c>
      <c r="E56" s="155" t="n">
        <v>2023</v>
      </c>
      <c r="F56" s="155" t="inlineStr">
        <is>
          <t>Withum</t>
        </is>
      </c>
      <c r="G56" s="155" t="inlineStr">
        <is>
          <t>AICPA Examination (ISAE 3000-equivalent)</t>
        </is>
      </c>
      <c r="H56" s="155" t="inlineStr">
        <is>
          <t>Paxos Trust Company, LLC</t>
        </is>
      </c>
      <c r="I56" s="157" t="n">
        <v>505170765.45</v>
      </c>
      <c r="J56" s="158" t="n">
        <v>512589593</v>
      </c>
      <c r="K56" s="157">
        <f>I56</f>
        <v/>
      </c>
      <c r="L56" s="159" t="n">
        <v>0</v>
      </c>
      <c r="M56" s="159" t="n">
        <v>49816500</v>
      </c>
      <c r="N56" s="159" t="n">
        <v>275400075</v>
      </c>
      <c r="O56" s="159" t="n">
        <v>187373018</v>
      </c>
      <c r="P56" s="160">
        <f>IFERROR(J56-K56,"")</f>
        <v/>
      </c>
      <c r="Q56" s="161">
        <f>IFERROR(J56/K56,"")</f>
        <v/>
      </c>
      <c r="R56" s="155" t="n">
        <v>3</v>
      </c>
      <c r="S56" s="155" t="n">
        <v>0</v>
      </c>
      <c r="T56" s="155" t="n"/>
    </row>
    <row r="57" ht="15" customHeight="1" s="95">
      <c r="A57" s="155" t="inlineStr">
        <is>
          <t>USDP-056</t>
        </is>
      </c>
      <c r="B57" s="155" t="inlineStr">
        <is>
          <t>September</t>
        </is>
      </c>
      <c r="C57" s="156" t="n">
        <v>45198</v>
      </c>
      <c r="D57" s="155" t="inlineStr">
        <is>
          <t>Month-End</t>
        </is>
      </c>
      <c r="E57" s="155" t="n">
        <v>2023</v>
      </c>
      <c r="F57" s="155" t="inlineStr">
        <is>
          <t>Withum</t>
        </is>
      </c>
      <c r="G57" s="155" t="inlineStr">
        <is>
          <t>AICPA Examination (ISAE 3000-equivalent)</t>
        </is>
      </c>
      <c r="H57" s="155" t="inlineStr">
        <is>
          <t>Paxos Trust Company, LLC</t>
        </is>
      </c>
      <c r="I57" s="157" t="n">
        <v>491052716.45</v>
      </c>
      <c r="J57" s="158" t="n">
        <v>496077346</v>
      </c>
      <c r="K57" s="157">
        <f>I57</f>
        <v/>
      </c>
      <c r="L57" s="159" t="n">
        <v>0</v>
      </c>
      <c r="M57" s="159" t="n">
        <v>99625500</v>
      </c>
      <c r="N57" s="159" t="n">
        <v>198900149</v>
      </c>
      <c r="O57" s="159" t="n">
        <v>197551697</v>
      </c>
      <c r="P57" s="160">
        <f>IFERROR(J57-K57,"")</f>
        <v/>
      </c>
      <c r="Q57" s="161">
        <f>IFERROR(J57/K57,"")</f>
        <v/>
      </c>
      <c r="R57" s="155" t="n">
        <v>3</v>
      </c>
      <c r="S57" s="155" t="n">
        <v>0</v>
      </c>
      <c r="T57" s="155" t="n"/>
    </row>
    <row r="58" ht="15" customHeight="1" s="95">
      <c r="A58" s="148" t="inlineStr">
        <is>
          <t>USDP-057</t>
        </is>
      </c>
      <c r="B58" s="148" t="inlineStr">
        <is>
          <t>October</t>
        </is>
      </c>
      <c r="C58" s="149" t="n">
        <v>45218</v>
      </c>
      <c r="D58" s="148" t="inlineStr">
        <is>
          <t>Mid-Month</t>
        </is>
      </c>
      <c r="E58" s="148" t="n">
        <v>2023</v>
      </c>
      <c r="F58" s="148" t="inlineStr">
        <is>
          <t>Withum</t>
        </is>
      </c>
      <c r="G58" s="148" t="inlineStr">
        <is>
          <t>AICPA Examination (ISAE 3000-equivalent)</t>
        </is>
      </c>
      <c r="H58" s="148" t="inlineStr">
        <is>
          <t>Paxos Trust Company, LLC</t>
        </is>
      </c>
      <c r="I58" s="150" t="n">
        <v>486062948.65</v>
      </c>
      <c r="J58" s="151" t="n">
        <v>486062948.65</v>
      </c>
      <c r="K58" s="150">
        <f>I58</f>
        <v/>
      </c>
      <c r="L58" s="152" t="n">
        <v>0</v>
      </c>
      <c r="M58" s="148" t="n"/>
      <c r="N58" s="148" t="n"/>
      <c r="O58" s="148" t="n"/>
      <c r="P58" s="153">
        <f>IFERROR(J58-K58,"")</f>
        <v/>
      </c>
      <c r="Q58" s="154">
        <f>IFERROR(J58/K58,"")</f>
        <v/>
      </c>
      <c r="R58" s="148" t="n">
        <v>1</v>
      </c>
      <c r="S58" s="148" t="n">
        <v>0</v>
      </c>
      <c r="T58" s="148" t="n"/>
    </row>
    <row r="59" ht="15" customHeight="1" s="95">
      <c r="A59" s="148" t="inlineStr">
        <is>
          <t>USDP-058</t>
        </is>
      </c>
      <c r="B59" s="148" t="inlineStr">
        <is>
          <t>October</t>
        </is>
      </c>
      <c r="C59" s="149" t="n">
        <v>45230</v>
      </c>
      <c r="D59" s="148" t="inlineStr">
        <is>
          <t>Month-End</t>
        </is>
      </c>
      <c r="E59" s="148" t="n">
        <v>2023</v>
      </c>
      <c r="F59" s="148" t="inlineStr">
        <is>
          <t>Withum</t>
        </is>
      </c>
      <c r="G59" s="148" t="inlineStr">
        <is>
          <t>AICPA Examination (ISAE 3000-equivalent)</t>
        </is>
      </c>
      <c r="H59" s="148" t="inlineStr">
        <is>
          <t>Paxos Trust Company, LLC</t>
        </is>
      </c>
      <c r="I59" s="150" t="n">
        <v>438824450.65</v>
      </c>
      <c r="J59" s="151" t="n">
        <v>438824450.65</v>
      </c>
      <c r="K59" s="150">
        <f>I59</f>
        <v/>
      </c>
      <c r="L59" s="152" t="n">
        <v>0</v>
      </c>
      <c r="M59" s="148" t="n"/>
      <c r="N59" s="148" t="n"/>
      <c r="O59" s="148" t="n"/>
      <c r="P59" s="153">
        <f>IFERROR(J59-K59,"")</f>
        <v/>
      </c>
      <c r="Q59" s="154">
        <f>IFERROR(J59/K59,"")</f>
        <v/>
      </c>
      <c r="R59" s="148" t="n">
        <v>1</v>
      </c>
      <c r="S59" s="148" t="n">
        <v>0</v>
      </c>
      <c r="T59" s="148" t="n"/>
    </row>
    <row r="60" ht="15" customHeight="1" s="95">
      <c r="A60" s="155" t="inlineStr">
        <is>
          <t>USDP-059</t>
        </is>
      </c>
      <c r="B60" s="155" t="inlineStr">
        <is>
          <t>November</t>
        </is>
      </c>
      <c r="C60" s="156" t="n">
        <v>45250</v>
      </c>
      <c r="D60" s="155" t="inlineStr">
        <is>
          <t>Mid-Month</t>
        </is>
      </c>
      <c r="E60" s="155" t="n">
        <v>2023</v>
      </c>
      <c r="F60" s="155" t="inlineStr">
        <is>
          <t>Withum</t>
        </is>
      </c>
      <c r="G60" s="155" t="inlineStr">
        <is>
          <t>AICPA Examination (ISAE 3000-equivalent)</t>
        </is>
      </c>
      <c r="H60" s="155" t="inlineStr">
        <is>
          <t>Paxos Trust Company, LLC</t>
        </is>
      </c>
      <c r="I60" s="157" t="n">
        <v>451921526.63</v>
      </c>
      <c r="J60" s="158" t="n">
        <v>456189645</v>
      </c>
      <c r="K60" s="157">
        <f>I60</f>
        <v/>
      </c>
      <c r="L60" s="159" t="n">
        <v>0</v>
      </c>
      <c r="M60" s="159" t="n">
        <v>124682750</v>
      </c>
      <c r="N60" s="159" t="n">
        <v>143015448</v>
      </c>
      <c r="O60" s="159" t="n">
        <v>188491446</v>
      </c>
      <c r="P60" s="160">
        <f>IFERROR(J60-K60,"")</f>
        <v/>
      </c>
      <c r="Q60" s="161">
        <f>IFERROR(J60/K60,"")</f>
        <v/>
      </c>
      <c r="R60" s="155" t="n">
        <v>3</v>
      </c>
      <c r="S60" s="155" t="n">
        <v>0</v>
      </c>
      <c r="T60" s="155" t="n"/>
    </row>
    <row r="61" ht="15" customHeight="1" s="95">
      <c r="A61" s="155" t="inlineStr">
        <is>
          <t>USDP-060</t>
        </is>
      </c>
      <c r="B61" s="155" t="inlineStr">
        <is>
          <t>November</t>
        </is>
      </c>
      <c r="C61" s="156" t="n">
        <v>45260</v>
      </c>
      <c r="D61" s="155" t="inlineStr">
        <is>
          <t>Month-End</t>
        </is>
      </c>
      <c r="E61" s="155" t="n">
        <v>2023</v>
      </c>
      <c r="F61" s="155" t="inlineStr">
        <is>
          <t>Withum</t>
        </is>
      </c>
      <c r="G61" s="155" t="inlineStr">
        <is>
          <t>AICPA Examination (ISAE 3000-equivalent)</t>
        </is>
      </c>
      <c r="H61" s="155" t="inlineStr">
        <is>
          <t>Paxos Trust Company, LLC</t>
        </is>
      </c>
      <c r="I61" s="157" t="n">
        <v>446640156.51</v>
      </c>
      <c r="J61" s="158" t="n">
        <v>451291387</v>
      </c>
      <c r="K61" s="157">
        <f>I61</f>
        <v/>
      </c>
      <c r="L61" s="159" t="n">
        <v>0</v>
      </c>
      <c r="M61" s="159" t="n">
        <v>148837500</v>
      </c>
      <c r="N61" s="159" t="n">
        <v>112611267</v>
      </c>
      <c r="O61" s="159" t="n">
        <v>189842620</v>
      </c>
      <c r="P61" s="160">
        <f>IFERROR(J61-K61,"")</f>
        <v/>
      </c>
      <c r="Q61" s="161">
        <f>IFERROR(J61/K61,"")</f>
        <v/>
      </c>
      <c r="R61" s="155" t="n">
        <v>3</v>
      </c>
      <c r="S61" s="155" t="n">
        <v>0</v>
      </c>
      <c r="T61" s="155" t="n"/>
    </row>
    <row r="62" ht="15" customHeight="1" s="95">
      <c r="A62" s="155" t="inlineStr">
        <is>
          <t>USDP-061</t>
        </is>
      </c>
      <c r="B62" s="155" t="inlineStr">
        <is>
          <t>December</t>
        </is>
      </c>
      <c r="C62" s="156" t="n">
        <v>45287</v>
      </c>
      <c r="D62" s="155" t="inlineStr">
        <is>
          <t>Mid-Month</t>
        </is>
      </c>
      <c r="E62" s="155" t="n">
        <v>2023</v>
      </c>
      <c r="F62" s="155" t="inlineStr">
        <is>
          <t>Withum</t>
        </is>
      </c>
      <c r="G62" s="155" t="inlineStr">
        <is>
          <t>AICPA Examination (ISAE 3000-equivalent)</t>
        </is>
      </c>
      <c r="H62" s="155" t="inlineStr">
        <is>
          <t>Paxos Trust Company, LLC</t>
        </is>
      </c>
      <c r="I62" s="157" t="n">
        <v>371353920.86</v>
      </c>
      <c r="J62" s="158" t="n">
        <v>372933044</v>
      </c>
      <c r="K62" s="157">
        <f>I62</f>
        <v/>
      </c>
      <c r="L62" s="159" t="n">
        <v>0</v>
      </c>
      <c r="M62" s="159" t="n">
        <v>149430000</v>
      </c>
      <c r="N62" s="159" t="n">
        <v>33825308</v>
      </c>
      <c r="O62" s="159" t="n">
        <v>189677737</v>
      </c>
      <c r="P62" s="160">
        <f>IFERROR(J62-K62,"")</f>
        <v/>
      </c>
      <c r="Q62" s="161">
        <f>IFERROR(J62/K62,"")</f>
        <v/>
      </c>
      <c r="R62" s="155" t="n">
        <v>3</v>
      </c>
      <c r="S62" s="155" t="n">
        <v>0</v>
      </c>
      <c r="T62" s="155" t="n"/>
    </row>
    <row r="63" ht="15" customHeight="1" s="95">
      <c r="A63" s="155" t="inlineStr">
        <is>
          <t>USDP-062</t>
        </is>
      </c>
      <c r="B63" s="155" t="inlineStr">
        <is>
          <t>December</t>
        </is>
      </c>
      <c r="C63" s="156" t="n">
        <v>45289</v>
      </c>
      <c r="D63" s="155" t="inlineStr">
        <is>
          <t>Month-End</t>
        </is>
      </c>
      <c r="E63" s="155" t="n">
        <v>2023</v>
      </c>
      <c r="F63" s="155" t="inlineStr">
        <is>
          <t>Withum</t>
        </is>
      </c>
      <c r="G63" s="155" t="inlineStr">
        <is>
          <t>AICPA Examination (ISAE 3000-equivalent)</t>
        </is>
      </c>
      <c r="H63" s="155" t="inlineStr">
        <is>
          <t>Paxos Trust Company, LLC</t>
        </is>
      </c>
      <c r="I63" s="157" t="n">
        <v>372639175.35</v>
      </c>
      <c r="J63" s="158" t="n">
        <v>377969477</v>
      </c>
      <c r="K63" s="157">
        <f>I63</f>
        <v/>
      </c>
      <c r="L63" s="159" t="n">
        <v>0</v>
      </c>
      <c r="M63" s="155" t="n"/>
      <c r="N63" s="159" t="n">
        <v>181169390</v>
      </c>
      <c r="O63" s="159" t="n">
        <v>196800087</v>
      </c>
      <c r="P63" s="160">
        <f>IFERROR(J63-K63,"")</f>
        <v/>
      </c>
      <c r="Q63" s="161">
        <f>IFERROR(J63/K63,"")</f>
        <v/>
      </c>
      <c r="R63" s="155" t="n">
        <v>3</v>
      </c>
      <c r="S63" s="155" t="n">
        <v>0</v>
      </c>
      <c r="T63" s="155" t="n"/>
    </row>
    <row r="64" ht="15" customHeight="1" s="95">
      <c r="A64" s="155" t="inlineStr">
        <is>
          <t>USDP-063</t>
        </is>
      </c>
      <c r="B64" s="155" t="inlineStr">
        <is>
          <t>January</t>
        </is>
      </c>
      <c r="C64" s="156" t="n">
        <v>45303</v>
      </c>
      <c r="D64" s="155" t="inlineStr">
        <is>
          <t>Mid-Month</t>
        </is>
      </c>
      <c r="E64" s="155" t="n">
        <v>2024</v>
      </c>
      <c r="F64" s="155" t="inlineStr">
        <is>
          <t>Withum</t>
        </is>
      </c>
      <c r="G64" s="155" t="inlineStr">
        <is>
          <t>AICPA Examination (ISAE 3000-equivalent)</t>
        </is>
      </c>
      <c r="H64" s="155" t="inlineStr">
        <is>
          <t>Paxos Trust Company, LLC</t>
        </is>
      </c>
      <c r="I64" s="157" t="n">
        <v>367057426</v>
      </c>
      <c r="J64" s="158" t="n">
        <v>368594399</v>
      </c>
      <c r="K64" s="157">
        <f>I64</f>
        <v/>
      </c>
      <c r="L64" s="159" t="n">
        <v>0</v>
      </c>
      <c r="M64" s="159" t="n">
        <v>124233750</v>
      </c>
      <c r="N64" s="159" t="n">
        <v>55633927</v>
      </c>
      <c r="O64" s="159" t="n">
        <v>188726722</v>
      </c>
      <c r="P64" s="160">
        <f>IFERROR(J64-K64,"")</f>
        <v/>
      </c>
      <c r="Q64" s="161">
        <f>IFERROR(J64/K64,"")</f>
        <v/>
      </c>
      <c r="R64" s="155" t="n">
        <v>3</v>
      </c>
      <c r="S64" s="155" t="n">
        <v>0</v>
      </c>
      <c r="T64" s="155" t="n"/>
    </row>
    <row r="65" ht="15" customHeight="1" s="95">
      <c r="A65" s="155" t="inlineStr">
        <is>
          <t>USDP-064</t>
        </is>
      </c>
      <c r="B65" s="155" t="inlineStr">
        <is>
          <t>January</t>
        </is>
      </c>
      <c r="C65" s="156" t="n">
        <v>45322</v>
      </c>
      <c r="D65" s="155" t="inlineStr">
        <is>
          <t>Month-End</t>
        </is>
      </c>
      <c r="E65" s="155" t="n">
        <v>2024</v>
      </c>
      <c r="F65" s="155" t="inlineStr">
        <is>
          <t>Withum</t>
        </is>
      </c>
      <c r="G65" s="155" t="inlineStr">
        <is>
          <t>AICPA Examination (ISAE 3000-equivalent)</t>
        </is>
      </c>
      <c r="H65" s="155" t="inlineStr">
        <is>
          <t>Paxos Trust Company, LLC</t>
        </is>
      </c>
      <c r="I65" s="157" t="n">
        <v>353101046</v>
      </c>
      <c r="J65" s="158" t="n">
        <v>355500160</v>
      </c>
      <c r="K65" s="157">
        <f>I65</f>
        <v/>
      </c>
      <c r="L65" s="159" t="n">
        <v>0</v>
      </c>
      <c r="M65" s="159" t="n">
        <v>124525000</v>
      </c>
      <c r="N65" s="159" t="n">
        <v>35371671</v>
      </c>
      <c r="O65" s="159" t="n">
        <v>195603489</v>
      </c>
      <c r="P65" s="160">
        <f>IFERROR(J65-K65,"")</f>
        <v/>
      </c>
      <c r="Q65" s="161">
        <f>IFERROR(J65/K65,"")</f>
        <v/>
      </c>
      <c r="R65" s="155" t="n">
        <v>3</v>
      </c>
      <c r="S65" s="155" t="n">
        <v>0</v>
      </c>
      <c r="T65" s="155" t="n"/>
    </row>
    <row r="66" ht="15" customHeight="1" s="95">
      <c r="A66" s="155" t="inlineStr">
        <is>
          <t>USDP-065</t>
        </is>
      </c>
      <c r="B66" s="155" t="inlineStr">
        <is>
          <t>February</t>
        </is>
      </c>
      <c r="C66" s="156" t="n">
        <v>45327</v>
      </c>
      <c r="D66" s="155" t="inlineStr">
        <is>
          <t>Mid-Month</t>
        </is>
      </c>
      <c r="E66" s="155" t="n">
        <v>2024</v>
      </c>
      <c r="F66" s="155" t="inlineStr">
        <is>
          <t>Withum</t>
        </is>
      </c>
      <c r="G66" s="155" t="inlineStr">
        <is>
          <t>AICPA Examination (ISAE 3000-equivalent)</t>
        </is>
      </c>
      <c r="H66" s="155" t="inlineStr">
        <is>
          <t>Paxos Trust Company, LLC</t>
        </is>
      </c>
      <c r="I66" s="157" t="n">
        <v>353101046</v>
      </c>
      <c r="J66" s="158" t="n">
        <v>356737455</v>
      </c>
      <c r="K66" s="157">
        <f>I66</f>
        <v/>
      </c>
      <c r="L66" s="159" t="n">
        <v>0</v>
      </c>
      <c r="M66" s="159" t="n">
        <v>74769750</v>
      </c>
      <c r="N66" s="159" t="n">
        <v>92740599</v>
      </c>
      <c r="O66" s="159" t="n">
        <v>189227106</v>
      </c>
      <c r="P66" s="160">
        <f>IFERROR(J66-K66,"")</f>
        <v/>
      </c>
      <c r="Q66" s="161">
        <f>IFERROR(J66/K66,"")</f>
        <v/>
      </c>
      <c r="R66" s="155" t="n">
        <v>3</v>
      </c>
      <c r="S66" s="155" t="n">
        <v>0</v>
      </c>
      <c r="T66" s="155" t="n"/>
    </row>
    <row r="67" ht="15" customHeight="1" s="95">
      <c r="A67" s="155" t="inlineStr">
        <is>
          <t>USDP-066</t>
        </is>
      </c>
      <c r="B67" s="155" t="inlineStr">
        <is>
          <t>February</t>
        </is>
      </c>
      <c r="C67" s="156" t="n">
        <v>45351</v>
      </c>
      <c r="D67" s="155" t="inlineStr">
        <is>
          <t>Month-End</t>
        </is>
      </c>
      <c r="E67" s="155" t="n">
        <v>2024</v>
      </c>
      <c r="F67" s="155" t="inlineStr">
        <is>
          <t>Withum</t>
        </is>
      </c>
      <c r="G67" s="155" t="inlineStr">
        <is>
          <t>AICPA Examination (ISAE 3000-equivalent)</t>
        </is>
      </c>
      <c r="H67" s="155" t="inlineStr">
        <is>
          <t>Paxos Trust Company, LLC</t>
        </is>
      </c>
      <c r="I67" s="157" t="n">
        <v>203051111</v>
      </c>
      <c r="J67" s="158" t="n">
        <v>205455608</v>
      </c>
      <c r="K67" s="157">
        <f>I67</f>
        <v/>
      </c>
      <c r="L67" s="159" t="n">
        <v>0</v>
      </c>
      <c r="M67" s="159" t="n">
        <v>4934700</v>
      </c>
      <c r="N67" s="159" t="n">
        <v>36445732</v>
      </c>
      <c r="O67" s="159" t="n">
        <v>164075177</v>
      </c>
      <c r="P67" s="160">
        <f>IFERROR(J67-K67,"")</f>
        <v/>
      </c>
      <c r="Q67" s="161">
        <f>IFERROR(J67/K67,"")</f>
        <v/>
      </c>
      <c r="R67" s="155" t="n">
        <v>3</v>
      </c>
      <c r="S67" s="155" t="n">
        <v>0</v>
      </c>
      <c r="T67" s="155" t="n"/>
    </row>
    <row r="68" ht="15" customHeight="1" s="95">
      <c r="A68" s="155" t="inlineStr">
        <is>
          <t>USDP-067</t>
        </is>
      </c>
      <c r="B68" s="155" t="inlineStr">
        <is>
          <t>March</t>
        </is>
      </c>
      <c r="C68" s="156" t="n">
        <v>45363</v>
      </c>
      <c r="D68" s="155" t="inlineStr">
        <is>
          <t>Mid-Month</t>
        </is>
      </c>
      <c r="E68" s="155" t="n">
        <v>2024</v>
      </c>
      <c r="F68" s="155" t="inlineStr">
        <is>
          <t>Withum</t>
        </is>
      </c>
      <c r="G68" s="155" t="inlineStr">
        <is>
          <t>AICPA Examination (ISAE 3000-equivalent)</t>
        </is>
      </c>
      <c r="H68" s="155" t="inlineStr">
        <is>
          <t>Paxos Trust Company, LLC</t>
        </is>
      </c>
      <c r="I68" s="157" t="n">
        <v>189082335</v>
      </c>
      <c r="J68" s="158" t="n">
        <v>189583826</v>
      </c>
      <c r="K68" s="157">
        <f>I68</f>
        <v/>
      </c>
      <c r="L68" s="159" t="n">
        <v>0</v>
      </c>
      <c r="M68" s="159" t="n">
        <v>4943400</v>
      </c>
      <c r="N68" s="159" t="n">
        <v>21993266</v>
      </c>
      <c r="O68" s="159" t="n">
        <v>162647160</v>
      </c>
      <c r="P68" s="160">
        <f>IFERROR(J68-K68,"")</f>
        <v/>
      </c>
      <c r="Q68" s="161">
        <f>IFERROR(J68/K68,"")</f>
        <v/>
      </c>
      <c r="R68" s="155" t="n">
        <v>3</v>
      </c>
      <c r="S68" s="155" t="n">
        <v>0</v>
      </c>
      <c r="T68" s="155" t="n"/>
    </row>
    <row r="69" ht="15" customHeight="1" s="95">
      <c r="A69" s="155" t="inlineStr">
        <is>
          <t>USDP-068</t>
        </is>
      </c>
      <c r="B69" s="155" t="inlineStr">
        <is>
          <t>March</t>
        </is>
      </c>
      <c r="C69" s="156" t="n">
        <v>45380</v>
      </c>
      <c r="D69" s="155" t="inlineStr">
        <is>
          <t>Month-End</t>
        </is>
      </c>
      <c r="E69" s="155" t="n">
        <v>2024</v>
      </c>
      <c r="F69" s="155" t="inlineStr">
        <is>
          <t>Withum</t>
        </is>
      </c>
      <c r="G69" s="155" t="inlineStr">
        <is>
          <t>AICPA Examination (ISAE 3000-equivalent)</t>
        </is>
      </c>
      <c r="H69" s="155" t="inlineStr">
        <is>
          <t>Paxos Trust Company, LLC</t>
        </is>
      </c>
      <c r="I69" s="157" t="n">
        <v>147984690</v>
      </c>
      <c r="J69" s="158" t="n">
        <v>149191905</v>
      </c>
      <c r="K69" s="157">
        <f>I69</f>
        <v/>
      </c>
      <c r="L69" s="159" t="n">
        <v>0</v>
      </c>
      <c r="M69" s="155" t="n"/>
      <c r="N69" s="159" t="n">
        <v>20449082</v>
      </c>
      <c r="O69" s="159" t="n">
        <v>128742823</v>
      </c>
      <c r="P69" s="160">
        <f>IFERROR(J69-K69,"")</f>
        <v/>
      </c>
      <c r="Q69" s="161">
        <f>IFERROR(J69/K69,"")</f>
        <v/>
      </c>
      <c r="R69" s="155" t="n">
        <v>3</v>
      </c>
      <c r="S69" s="155" t="n">
        <v>0</v>
      </c>
      <c r="T69" s="155" t="n"/>
    </row>
    <row r="70" ht="15" customHeight="1" s="95">
      <c r="A70" s="155" t="inlineStr">
        <is>
          <t>USDP-069</t>
        </is>
      </c>
      <c r="B70" s="155" t="inlineStr">
        <is>
          <t>April</t>
        </is>
      </c>
      <c r="C70" s="156" t="n">
        <v>45404</v>
      </c>
      <c r="D70" s="155" t="inlineStr">
        <is>
          <t>Mid-Month</t>
        </is>
      </c>
      <c r="E70" s="155" t="n">
        <v>2024</v>
      </c>
      <c r="F70" s="155" t="inlineStr">
        <is>
          <t>Withum</t>
        </is>
      </c>
      <c r="G70" s="155" t="inlineStr">
        <is>
          <t>AICPA Examination (ISAE 3000-equivalent)</t>
        </is>
      </c>
      <c r="H70" s="155" t="inlineStr">
        <is>
          <t>Paxos Trust Company, LLC</t>
        </is>
      </c>
      <c r="I70" s="157" t="n">
        <v>139027789</v>
      </c>
      <c r="J70" s="158" t="n">
        <v>139613997</v>
      </c>
      <c r="K70" s="157">
        <f>I70</f>
        <v/>
      </c>
      <c r="L70" s="159" t="n">
        <v>0</v>
      </c>
      <c r="M70" s="155" t="n"/>
      <c r="N70" s="159" t="n">
        <v>26532240</v>
      </c>
      <c r="O70" s="159" t="n">
        <v>113081757</v>
      </c>
      <c r="P70" s="160">
        <f>IFERROR(J70-K70,"")</f>
        <v/>
      </c>
      <c r="Q70" s="161">
        <f>IFERROR(J70/K70,"")</f>
        <v/>
      </c>
      <c r="R70" s="155" t="n">
        <v>3</v>
      </c>
      <c r="S70" s="155" t="n">
        <v>0</v>
      </c>
      <c r="T70" s="155" t="n"/>
    </row>
    <row r="71" ht="15" customHeight="1" s="95">
      <c r="A71" s="155" t="inlineStr">
        <is>
          <t>USDP-070</t>
        </is>
      </c>
      <c r="B71" s="155" t="inlineStr">
        <is>
          <t>April</t>
        </is>
      </c>
      <c r="C71" s="156" t="n">
        <v>45412</v>
      </c>
      <c r="D71" s="155" t="inlineStr">
        <is>
          <t>Month-End</t>
        </is>
      </c>
      <c r="E71" s="155" t="n">
        <v>2024</v>
      </c>
      <c r="F71" s="155" t="inlineStr">
        <is>
          <t>Withum</t>
        </is>
      </c>
      <c r="G71" s="155" t="inlineStr">
        <is>
          <t>AICPA Examination (ISAE 3000-equivalent)</t>
        </is>
      </c>
      <c r="H71" s="155" t="inlineStr">
        <is>
          <t>Paxos Trust Company, LLC</t>
        </is>
      </c>
      <c r="I71" s="157" t="n">
        <v>148503536</v>
      </c>
      <c r="J71" s="158" t="n">
        <v>149776167</v>
      </c>
      <c r="K71" s="157">
        <f>I71</f>
        <v/>
      </c>
      <c r="L71" s="159" t="n">
        <v>0</v>
      </c>
      <c r="M71" s="155" t="n"/>
      <c r="N71" s="159" t="n">
        <v>34223040</v>
      </c>
      <c r="O71" s="159" t="n">
        <v>115553127</v>
      </c>
      <c r="P71" s="160">
        <f>IFERROR(J71-K71,"")</f>
        <v/>
      </c>
      <c r="Q71" s="161">
        <f>IFERROR(J71/K71,"")</f>
        <v/>
      </c>
      <c r="R71" s="155" t="n">
        <v>3</v>
      </c>
      <c r="S71" s="155" t="n">
        <v>0</v>
      </c>
      <c r="T71" s="155" t="n"/>
    </row>
    <row r="72" ht="15" customHeight="1" s="95">
      <c r="A72" s="155" t="inlineStr">
        <is>
          <t>USDP-071</t>
        </is>
      </c>
      <c r="B72" s="155" t="inlineStr">
        <is>
          <t>May</t>
        </is>
      </c>
      <c r="C72" s="156" t="n">
        <v>45428</v>
      </c>
      <c r="D72" s="155" t="inlineStr">
        <is>
          <t>Mid-Month</t>
        </is>
      </c>
      <c r="E72" s="155" t="n">
        <v>2024</v>
      </c>
      <c r="F72" s="155" t="inlineStr">
        <is>
          <t>Withum</t>
        </is>
      </c>
      <c r="G72" s="155" t="inlineStr">
        <is>
          <t>AICPA Examination (ISAE 3000-equivalent)</t>
        </is>
      </c>
      <c r="H72" s="155" t="inlineStr">
        <is>
          <t>Paxos Trust Company, LLC</t>
        </is>
      </c>
      <c r="I72" s="157" t="n">
        <v>145982333</v>
      </c>
      <c r="J72" s="158" t="n">
        <v>146710536</v>
      </c>
      <c r="K72" s="157">
        <f>I72</f>
        <v/>
      </c>
      <c r="L72" s="159" t="n">
        <v>0</v>
      </c>
      <c r="M72" s="155" t="n"/>
      <c r="N72" s="159" t="n">
        <v>33661020</v>
      </c>
      <c r="O72" s="159" t="n">
        <v>113049516</v>
      </c>
      <c r="P72" s="160">
        <f>IFERROR(J72-K72,"")</f>
        <v/>
      </c>
      <c r="Q72" s="161">
        <f>IFERROR(J72/K72,"")</f>
        <v/>
      </c>
      <c r="R72" s="155" t="n">
        <v>3</v>
      </c>
      <c r="S72" s="155" t="n">
        <v>0</v>
      </c>
      <c r="T72" s="155" t="n"/>
    </row>
    <row r="73" ht="15" customHeight="1" s="95">
      <c r="A73" s="155" t="inlineStr">
        <is>
          <t>USDP-072</t>
        </is>
      </c>
      <c r="B73" s="155" t="inlineStr">
        <is>
          <t>May</t>
        </is>
      </c>
      <c r="C73" s="156" t="n">
        <v>45443</v>
      </c>
      <c r="D73" s="155" t="inlineStr">
        <is>
          <t>Month-End</t>
        </is>
      </c>
      <c r="E73" s="155" t="n">
        <v>2024</v>
      </c>
      <c r="F73" s="155" t="inlineStr">
        <is>
          <t>Withum</t>
        </is>
      </c>
      <c r="G73" s="155" t="inlineStr">
        <is>
          <t>AICPA Examination (ISAE 3000-equivalent)</t>
        </is>
      </c>
      <c r="H73" s="155" t="inlineStr">
        <is>
          <t>Paxos Trust Company, LLC</t>
        </is>
      </c>
      <c r="I73" s="157" t="n">
        <v>145982340</v>
      </c>
      <c r="J73" s="158" t="n">
        <v>147279620</v>
      </c>
      <c r="K73" s="157">
        <f>I73</f>
        <v/>
      </c>
      <c r="L73" s="159" t="n">
        <v>0</v>
      </c>
      <c r="M73" s="155" t="n"/>
      <c r="N73" s="159" t="n">
        <v>33734460</v>
      </c>
      <c r="O73" s="159" t="n">
        <v>113544160</v>
      </c>
      <c r="P73" s="160">
        <f>IFERROR(J73-K73,"")</f>
        <v/>
      </c>
      <c r="Q73" s="161">
        <f>IFERROR(J73/K73,"")</f>
        <v/>
      </c>
      <c r="R73" s="155" t="n">
        <v>3</v>
      </c>
      <c r="S73" s="155" t="n">
        <v>0</v>
      </c>
      <c r="T73" s="155" t="n"/>
    </row>
    <row r="74" ht="15" customHeight="1" s="95">
      <c r="A74" s="155" t="inlineStr">
        <is>
          <t>USDP-073</t>
        </is>
      </c>
      <c r="B74" s="155" t="inlineStr">
        <is>
          <t>June</t>
        </is>
      </c>
      <c r="C74" s="156" t="n">
        <v>45447</v>
      </c>
      <c r="D74" s="155" t="inlineStr">
        <is>
          <t>Mid-Month</t>
        </is>
      </c>
      <c r="E74" s="155" t="n">
        <v>2024</v>
      </c>
      <c r="F74" s="155" t="inlineStr">
        <is>
          <t>Withum</t>
        </is>
      </c>
      <c r="G74" s="155" t="inlineStr">
        <is>
          <t>AICPA Examination (ISAE 3000-equivalent)</t>
        </is>
      </c>
      <c r="H74" s="155" t="inlineStr">
        <is>
          <t>Paxos Trust Company, LLC</t>
        </is>
      </c>
      <c r="I74" s="157" t="n">
        <v>145982340</v>
      </c>
      <c r="J74" s="158" t="n">
        <v>147299499</v>
      </c>
      <c r="K74" s="157">
        <f>I74</f>
        <v/>
      </c>
      <c r="L74" s="159" t="n">
        <v>0</v>
      </c>
      <c r="M74" s="155" t="n"/>
      <c r="N74" s="159" t="n">
        <v>33754860</v>
      </c>
      <c r="O74" s="159" t="n">
        <v>113544639</v>
      </c>
      <c r="P74" s="160">
        <f>IFERROR(J74-K74,"")</f>
        <v/>
      </c>
      <c r="Q74" s="161">
        <f>IFERROR(J74/K74,"")</f>
        <v/>
      </c>
      <c r="R74" s="155" t="n">
        <v>3</v>
      </c>
      <c r="S74" s="155" t="n">
        <v>0</v>
      </c>
      <c r="T74" s="155" t="n"/>
    </row>
    <row r="75" ht="15" customHeight="1" s="95">
      <c r="A75" s="155" t="inlineStr">
        <is>
          <t>USDP-074</t>
        </is>
      </c>
      <c r="B75" s="155" t="inlineStr">
        <is>
          <t>June</t>
        </is>
      </c>
      <c r="C75" s="156" t="n">
        <v>45471</v>
      </c>
      <c r="D75" s="155" t="inlineStr">
        <is>
          <t>Month-End</t>
        </is>
      </c>
      <c r="E75" s="155" t="n">
        <v>2024</v>
      </c>
      <c r="F75" s="155" t="inlineStr">
        <is>
          <t>Withum</t>
        </is>
      </c>
      <c r="G75" s="155" t="inlineStr">
        <is>
          <t>AICPA Examination (ISAE 3000-equivalent)</t>
        </is>
      </c>
      <c r="H75" s="155" t="inlineStr">
        <is>
          <t>Paxos Trust Company, LLC</t>
        </is>
      </c>
      <c r="I75" s="157" t="n">
        <v>121706620</v>
      </c>
      <c r="J75" s="158" t="n">
        <v>122462052</v>
      </c>
      <c r="K75" s="157">
        <f>I75</f>
        <v/>
      </c>
      <c r="L75" s="159" t="n">
        <v>0</v>
      </c>
      <c r="M75" s="155" t="n"/>
      <c r="N75" s="159" t="n">
        <v>8877060</v>
      </c>
      <c r="O75" s="159" t="n">
        <v>113584992</v>
      </c>
      <c r="P75" s="160">
        <f>IFERROR(J75-K75,"")</f>
        <v/>
      </c>
      <c r="Q75" s="161">
        <f>IFERROR(J75/K75,"")</f>
        <v/>
      </c>
      <c r="R75" s="155" t="n">
        <v>3</v>
      </c>
      <c r="S75" s="155" t="n">
        <v>0</v>
      </c>
      <c r="T75" s="155" t="n"/>
    </row>
    <row r="76" ht="15" customHeight="1" s="95">
      <c r="A76" s="155" t="inlineStr">
        <is>
          <t>USDP-075</t>
        </is>
      </c>
      <c r="B76" s="155" t="inlineStr">
        <is>
          <t>July</t>
        </is>
      </c>
      <c r="C76" s="156" t="n">
        <v>45499</v>
      </c>
      <c r="D76" s="155" t="inlineStr">
        <is>
          <t>Mid-Month</t>
        </is>
      </c>
      <c r="E76" s="155" t="n">
        <v>2024</v>
      </c>
      <c r="F76" s="155" t="inlineStr">
        <is>
          <t>Withum</t>
        </is>
      </c>
      <c r="G76" s="155" t="inlineStr">
        <is>
          <t>AICPA Examination (ISAE 3000-equivalent)</t>
        </is>
      </c>
      <c r="H76" s="155" t="inlineStr">
        <is>
          <t>Paxos Trust Company, LLC</t>
        </is>
      </c>
      <c r="I76" s="157" t="n">
        <v>114706089</v>
      </c>
      <c r="J76" s="158" t="n">
        <v>114964575</v>
      </c>
      <c r="K76" s="157">
        <f>I76</f>
        <v/>
      </c>
      <c r="L76" s="159" t="n">
        <v>0</v>
      </c>
      <c r="M76" s="155" t="n"/>
      <c r="N76" s="159" t="n">
        <v>10914000</v>
      </c>
      <c r="O76" s="159" t="n">
        <v>104050575</v>
      </c>
      <c r="P76" s="160">
        <f>IFERROR(J76-K76,"")</f>
        <v/>
      </c>
      <c r="Q76" s="161">
        <f>IFERROR(J76/K76,"")</f>
        <v/>
      </c>
      <c r="R76" s="155" t="n">
        <v>3</v>
      </c>
      <c r="S76" s="155" t="n">
        <v>0</v>
      </c>
      <c r="T76" s="155" t="n"/>
    </row>
    <row r="77" ht="15" customHeight="1" s="95">
      <c r="A77" s="155" t="inlineStr">
        <is>
          <t>USDP-076</t>
        </is>
      </c>
      <c r="B77" s="155" t="inlineStr">
        <is>
          <t>July</t>
        </is>
      </c>
      <c r="C77" s="156" t="n">
        <v>45504</v>
      </c>
      <c r="D77" s="155" t="inlineStr">
        <is>
          <t>Month-End</t>
        </is>
      </c>
      <c r="E77" s="155" t="n">
        <v>2024</v>
      </c>
      <c r="F77" s="155" t="inlineStr">
        <is>
          <t>Withum</t>
        </is>
      </c>
      <c r="G77" s="155" t="inlineStr">
        <is>
          <t>AICPA Examination (ISAE 3000-equivalent)</t>
        </is>
      </c>
      <c r="H77" s="155" t="inlineStr">
        <is>
          <t>Paxos Trust Company, LLC</t>
        </is>
      </c>
      <c r="I77" s="157" t="n">
        <v>114706089</v>
      </c>
      <c r="J77" s="158" t="n">
        <v>115438715</v>
      </c>
      <c r="K77" s="157">
        <f>I77</f>
        <v/>
      </c>
      <c r="L77" s="159" t="n">
        <v>0</v>
      </c>
      <c r="M77" s="155" t="n"/>
      <c r="N77" s="159" t="n">
        <v>10922160</v>
      </c>
      <c r="O77" s="159" t="n">
        <v>104516555</v>
      </c>
      <c r="P77" s="160">
        <f>IFERROR(J77-K77,"")</f>
        <v/>
      </c>
      <c r="Q77" s="161">
        <f>IFERROR(J77/K77,"")</f>
        <v/>
      </c>
      <c r="R77" s="155" t="n">
        <v>3</v>
      </c>
      <c r="S77" s="155" t="n">
        <v>0</v>
      </c>
      <c r="T77" s="155" t="n"/>
    </row>
    <row r="78" ht="15" customHeight="1" s="95">
      <c r="A78" s="155" t="inlineStr">
        <is>
          <t>USDP-077</t>
        </is>
      </c>
      <c r="B78" s="155" t="inlineStr">
        <is>
          <t>August</t>
        </is>
      </c>
      <c r="C78" s="156" t="n">
        <v>45531</v>
      </c>
      <c r="D78" s="155" t="inlineStr">
        <is>
          <t>Mid-Month</t>
        </is>
      </c>
      <c r="E78" s="155" t="n">
        <v>2024</v>
      </c>
      <c r="F78" s="155" t="inlineStr">
        <is>
          <t>Withum</t>
        </is>
      </c>
      <c r="G78" s="155" t="inlineStr">
        <is>
          <t>AICPA Examination (ISAE 3000-equivalent)</t>
        </is>
      </c>
      <c r="H78" s="155" t="inlineStr">
        <is>
          <t>Paxos Trust Company, LLC</t>
        </is>
      </c>
      <c r="I78" s="157" t="n">
        <v>106940788</v>
      </c>
      <c r="J78" s="158" t="n">
        <v>107062585</v>
      </c>
      <c r="K78" s="157">
        <f>I78</f>
        <v/>
      </c>
      <c r="L78" s="159" t="n">
        <v>0</v>
      </c>
      <c r="M78" s="159" t="n">
        <v>0</v>
      </c>
      <c r="N78" s="159" t="n">
        <v>4910280</v>
      </c>
      <c r="O78" s="159" t="n">
        <v>102152305</v>
      </c>
      <c r="P78" s="160">
        <f>IFERROR(J78-K78,"")</f>
        <v/>
      </c>
      <c r="Q78" s="161">
        <f>IFERROR(J78/K78,"")</f>
        <v/>
      </c>
      <c r="R78" s="155" t="n">
        <v>3</v>
      </c>
      <c r="S78" s="155" t="n">
        <v>0</v>
      </c>
      <c r="T78" s="155" t="n"/>
    </row>
    <row r="79" ht="15" customHeight="1" s="95">
      <c r="A79" s="155" t="inlineStr">
        <is>
          <t>USDP-078</t>
        </is>
      </c>
      <c r="B79" s="155" t="inlineStr">
        <is>
          <t>August</t>
        </is>
      </c>
      <c r="C79" s="156" t="n">
        <v>45534</v>
      </c>
      <c r="D79" s="155" t="inlineStr">
        <is>
          <t>Month-End</t>
        </is>
      </c>
      <c r="E79" s="155" t="n">
        <v>2024</v>
      </c>
      <c r="F79" s="155" t="inlineStr">
        <is>
          <t>Withum</t>
        </is>
      </c>
      <c r="G79" s="155" t="inlineStr">
        <is>
          <t>AICPA Examination (ISAE 3000-equivalent)</t>
        </is>
      </c>
      <c r="H79" s="155" t="inlineStr">
        <is>
          <t>Paxos Trust Company, LLC</t>
        </is>
      </c>
      <c r="I79" s="157" t="n">
        <v>106940788</v>
      </c>
      <c r="J79" s="158" t="n">
        <v>107519419</v>
      </c>
      <c r="K79" s="157">
        <f>I79</f>
        <v/>
      </c>
      <c r="L79" s="159" t="n">
        <v>0</v>
      </c>
      <c r="M79" s="159" t="n">
        <v>0</v>
      </c>
      <c r="N79" s="159" t="n">
        <v>4912320</v>
      </c>
      <c r="O79" s="159" t="n">
        <v>102607099</v>
      </c>
      <c r="P79" s="160">
        <f>IFERROR(J79-K79,"")</f>
        <v/>
      </c>
      <c r="Q79" s="161">
        <f>IFERROR(J79/K79,"")</f>
        <v/>
      </c>
      <c r="R79" s="155" t="n">
        <v>3</v>
      </c>
      <c r="S79" s="155" t="n">
        <v>0</v>
      </c>
      <c r="T79" s="155" t="n"/>
    </row>
    <row r="80" ht="15" customHeight="1" s="95">
      <c r="A80" s="155" t="inlineStr">
        <is>
          <t>USDP-079</t>
        </is>
      </c>
      <c r="B80" s="155" t="inlineStr">
        <is>
          <t>September</t>
        </is>
      </c>
      <c r="C80" s="156" t="n">
        <v>45553</v>
      </c>
      <c r="D80" s="155" t="inlineStr">
        <is>
          <t>Mid-Month</t>
        </is>
      </c>
      <c r="E80" s="155" t="n">
        <v>2024</v>
      </c>
      <c r="F80" s="155" t="inlineStr">
        <is>
          <t>Withum</t>
        </is>
      </c>
      <c r="G80" s="155" t="inlineStr">
        <is>
          <t>AICPA Examination (ISAE 3000-equivalent)</t>
        </is>
      </c>
      <c r="H80" s="155" t="inlineStr">
        <is>
          <t>Paxos Trust Company, LLC</t>
        </is>
      </c>
      <c r="I80" s="157" t="n">
        <v>105079505</v>
      </c>
      <c r="J80" s="158" t="n">
        <v>105147820</v>
      </c>
      <c r="K80" s="157">
        <f>I80</f>
        <v/>
      </c>
      <c r="L80" s="159" t="n">
        <v>0</v>
      </c>
      <c r="M80" s="159" t="n">
        <v>0</v>
      </c>
      <c r="N80" s="159" t="n">
        <v>3097740</v>
      </c>
      <c r="O80" s="159" t="n">
        <v>102050080</v>
      </c>
      <c r="P80" s="160">
        <f>IFERROR(J80-K80,"")</f>
        <v/>
      </c>
      <c r="Q80" s="161">
        <f>IFERROR(J80/K80,"")</f>
        <v/>
      </c>
      <c r="R80" s="155" t="n">
        <v>3</v>
      </c>
      <c r="S80" s="155" t="n">
        <v>0</v>
      </c>
      <c r="T80" s="155" t="n"/>
    </row>
    <row r="81" ht="15" customHeight="1" s="95">
      <c r="A81" s="155" t="inlineStr">
        <is>
          <t>USDP-080</t>
        </is>
      </c>
      <c r="B81" s="155" t="inlineStr">
        <is>
          <t>September</t>
        </is>
      </c>
      <c r="C81" s="156" t="n">
        <v>45565</v>
      </c>
      <c r="D81" s="155" t="inlineStr">
        <is>
          <t>Month-End</t>
        </is>
      </c>
      <c r="E81" s="155" t="n">
        <v>2024</v>
      </c>
      <c r="F81" s="155" t="inlineStr">
        <is>
          <t>Withum</t>
        </is>
      </c>
      <c r="G81" s="155" t="inlineStr">
        <is>
          <t>AICPA Examination (ISAE 3000-equivalent)</t>
        </is>
      </c>
      <c r="H81" s="155" t="inlineStr">
        <is>
          <t>Paxos Trust Company, LLC</t>
        </is>
      </c>
      <c r="I81" s="157" t="n">
        <v>107115484</v>
      </c>
      <c r="J81" s="158" t="n">
        <v>107129837</v>
      </c>
      <c r="K81" s="157">
        <f>I81</f>
        <v/>
      </c>
      <c r="L81" s="159" t="n">
        <v>0</v>
      </c>
      <c r="M81" s="159" t="n">
        <v>0</v>
      </c>
      <c r="N81" s="159" t="n">
        <v>0</v>
      </c>
      <c r="O81" s="159" t="n">
        <v>107129837</v>
      </c>
      <c r="P81" s="160">
        <f>IFERROR(J81-K81,"")</f>
        <v/>
      </c>
      <c r="Q81" s="161">
        <f>IFERROR(J81/K81,"")</f>
        <v/>
      </c>
      <c r="R81" s="155" t="n">
        <v>3</v>
      </c>
      <c r="S81" s="155" t="n">
        <v>0</v>
      </c>
      <c r="T81" s="155" t="n"/>
    </row>
    <row r="82" ht="15" customHeight="1" s="95">
      <c r="A82" s="148" t="inlineStr">
        <is>
          <t>USDP-081</t>
        </is>
      </c>
      <c r="B82" s="148" t="inlineStr">
        <is>
          <t>November</t>
        </is>
      </c>
      <c r="C82" s="149" t="n">
        <v>45621</v>
      </c>
      <c r="D82" s="148" t="inlineStr">
        <is>
          <t>Mid-Month</t>
        </is>
      </c>
      <c r="E82" s="148" t="n">
        <v>2024</v>
      </c>
      <c r="F82" s="148" t="inlineStr">
        <is>
          <t>Withum</t>
        </is>
      </c>
      <c r="G82" s="148" t="inlineStr">
        <is>
          <t>AICPA Examination (ISAE 3000-equivalent)</t>
        </is>
      </c>
      <c r="H82" s="148" t="inlineStr">
        <is>
          <t>Paxos Trust Company, LLC</t>
        </is>
      </c>
      <c r="I82" s="150" t="n">
        <v>110099031</v>
      </c>
      <c r="J82" s="151" t="n">
        <v>110099031</v>
      </c>
      <c r="K82" s="150">
        <f>I82</f>
        <v/>
      </c>
      <c r="L82" s="152" t="n">
        <v>0</v>
      </c>
      <c r="M82" s="148" t="n"/>
      <c r="N82" s="148" t="n"/>
      <c r="O82" s="148" t="n"/>
      <c r="P82" s="153">
        <f>IFERROR(J82-K82,"")</f>
        <v/>
      </c>
      <c r="Q82" s="154">
        <f>IFERROR(J82/K82,"")</f>
        <v/>
      </c>
      <c r="R82" s="148" t="n">
        <v>1</v>
      </c>
      <c r="S82" s="148" t="n">
        <v>0</v>
      </c>
      <c r="T82" s="148" t="n"/>
    </row>
    <row r="83" ht="15" customHeight="1" s="95">
      <c r="A83" s="148" t="inlineStr">
        <is>
          <t>USDP-082</t>
        </is>
      </c>
      <c r="B83" s="148" t="inlineStr">
        <is>
          <t>November</t>
        </is>
      </c>
      <c r="C83" s="149" t="n">
        <v>45625</v>
      </c>
      <c r="D83" s="148" t="inlineStr">
        <is>
          <t>Month-End</t>
        </is>
      </c>
      <c r="E83" s="148" t="n">
        <v>2024</v>
      </c>
      <c r="F83" s="148" t="inlineStr">
        <is>
          <t>Withum</t>
        </is>
      </c>
      <c r="G83" s="148" t="inlineStr">
        <is>
          <t>AICPA Examination (ISAE 3000-equivalent)</t>
        </is>
      </c>
      <c r="H83" s="148" t="inlineStr">
        <is>
          <t>Paxos Trust Company, LLC</t>
        </is>
      </c>
      <c r="I83" s="150" t="n">
        <v>103115718</v>
      </c>
      <c r="J83" s="151" t="n">
        <v>103115718</v>
      </c>
      <c r="K83" s="150">
        <f>I83</f>
        <v/>
      </c>
      <c r="L83" s="152" t="n">
        <v>0</v>
      </c>
      <c r="M83" s="148" t="n"/>
      <c r="N83" s="148" t="n"/>
      <c r="O83" s="148" t="n"/>
      <c r="P83" s="153">
        <f>IFERROR(J83-K83,"")</f>
        <v/>
      </c>
      <c r="Q83" s="154">
        <f>IFERROR(J83/K83,"")</f>
        <v/>
      </c>
      <c r="R83" s="148" t="n">
        <v>1</v>
      </c>
      <c r="S83" s="148" t="n">
        <v>0</v>
      </c>
      <c r="T83" s="148" t="n"/>
    </row>
    <row r="84" ht="15" customHeight="1" s="95">
      <c r="A84" s="155" t="inlineStr">
        <is>
          <t>USDP-083</t>
        </is>
      </c>
      <c r="B84" s="155" t="inlineStr">
        <is>
          <t>December</t>
        </is>
      </c>
      <c r="C84" s="156" t="n">
        <v>45628</v>
      </c>
      <c r="D84" s="155" t="inlineStr">
        <is>
          <t>Mid-Month</t>
        </is>
      </c>
      <c r="E84" s="155" t="n">
        <v>2024</v>
      </c>
      <c r="F84" s="155" t="inlineStr">
        <is>
          <t>Withum</t>
        </is>
      </c>
      <c r="G84" s="155" t="inlineStr">
        <is>
          <t>AICPA Examination (ISAE 3000-equivalent)</t>
        </is>
      </c>
      <c r="H84" s="155" t="inlineStr">
        <is>
          <t>Paxos Trust Company, LLC</t>
        </is>
      </c>
      <c r="I84" s="157" t="n">
        <v>103115718</v>
      </c>
      <c r="J84" s="158" t="n">
        <v>103163036</v>
      </c>
      <c r="K84" s="157">
        <f>I84</f>
        <v/>
      </c>
      <c r="L84" s="159" t="n">
        <v>0</v>
      </c>
      <c r="M84" s="155" t="n"/>
      <c r="N84" s="159" t="n">
        <v>1044480</v>
      </c>
      <c r="O84" s="159" t="n">
        <v>102118556</v>
      </c>
      <c r="P84" s="160">
        <f>IFERROR(J84-K84,"")</f>
        <v/>
      </c>
      <c r="Q84" s="161">
        <f>IFERROR(J84/K84,"")</f>
        <v/>
      </c>
      <c r="R84" s="155" t="n">
        <v>3</v>
      </c>
      <c r="S84" s="155" t="n">
        <v>0</v>
      </c>
      <c r="T84" s="155" t="n"/>
    </row>
    <row r="85" ht="15" customHeight="1" s="95">
      <c r="A85" s="155" t="inlineStr">
        <is>
          <t>USDP-084</t>
        </is>
      </c>
      <c r="B85" s="155" t="inlineStr">
        <is>
          <t>December</t>
        </is>
      </c>
      <c r="C85" s="156" t="n">
        <v>45657</v>
      </c>
      <c r="D85" s="155" t="inlineStr">
        <is>
          <t>Month-End</t>
        </is>
      </c>
      <c r="E85" s="155" t="n">
        <v>2024</v>
      </c>
      <c r="F85" s="155" t="inlineStr">
        <is>
          <t>Withum</t>
        </is>
      </c>
      <c r="G85" s="155" t="inlineStr">
        <is>
          <t>AICPA Examination (ISAE 3000-equivalent)</t>
        </is>
      </c>
      <c r="H85" s="155" t="inlineStr">
        <is>
          <t>Paxos Trust Company, LLC</t>
        </is>
      </c>
      <c r="I85" s="157" t="n">
        <v>93477695</v>
      </c>
      <c r="J85" s="158" t="n">
        <v>93590466</v>
      </c>
      <c r="K85" s="157">
        <f>I85</f>
        <v/>
      </c>
      <c r="L85" s="159" t="n">
        <v>0</v>
      </c>
      <c r="M85" s="155" t="n"/>
      <c r="N85" s="159" t="n">
        <v>1023060</v>
      </c>
      <c r="O85" s="159" t="n">
        <v>92567406</v>
      </c>
      <c r="P85" s="160">
        <f>IFERROR(J85-K85,"")</f>
        <v/>
      </c>
      <c r="Q85" s="161">
        <f>IFERROR(J85/K85,"")</f>
        <v/>
      </c>
      <c r="R85" s="155" t="n">
        <v>3</v>
      </c>
      <c r="S85" s="155" t="n">
        <v>0</v>
      </c>
      <c r="T85" s="155" t="n"/>
    </row>
    <row r="86" ht="15" customHeight="1" s="95">
      <c r="A86" s="155" t="inlineStr">
        <is>
          <t>USDP-085</t>
        </is>
      </c>
      <c r="B86" s="155" t="inlineStr">
        <is>
          <t>January</t>
        </is>
      </c>
      <c r="C86" s="156" t="n">
        <v>45678</v>
      </c>
      <c r="D86" s="155" t="inlineStr">
        <is>
          <t>Mid-Month</t>
        </is>
      </c>
      <c r="E86" s="155" t="n">
        <v>2025</v>
      </c>
      <c r="F86" s="155" t="inlineStr">
        <is>
          <t>Withum</t>
        </is>
      </c>
      <c r="G86" s="155" t="inlineStr">
        <is>
          <t>AICPA Examination (ISAE 3000-equivalent)</t>
        </is>
      </c>
      <c r="H86" s="155" t="inlineStr">
        <is>
          <t>Paxos Trust Company, LLC</t>
        </is>
      </c>
      <c r="I86" s="157" t="n">
        <v>93661704</v>
      </c>
      <c r="J86" s="158" t="n">
        <v>93665236</v>
      </c>
      <c r="K86" s="157">
        <f>I86</f>
        <v/>
      </c>
      <c r="L86" s="159" t="n">
        <v>0</v>
      </c>
      <c r="M86" s="159" t="n">
        <v>0</v>
      </c>
      <c r="N86" s="159" t="n">
        <v>1518000</v>
      </c>
      <c r="O86" s="159" t="n">
        <v>92147236</v>
      </c>
      <c r="P86" s="160">
        <f>IFERROR(J86-K86,"")</f>
        <v/>
      </c>
      <c r="Q86" s="161">
        <f>IFERROR(J86/K86,"")</f>
        <v/>
      </c>
      <c r="R86" s="155" t="n">
        <v>3</v>
      </c>
      <c r="S86" s="155" t="n">
        <v>0</v>
      </c>
      <c r="T86" s="155" t="n"/>
    </row>
    <row r="87" ht="15" customHeight="1" s="95">
      <c r="A87" s="155" t="inlineStr">
        <is>
          <t>USDP-086</t>
        </is>
      </c>
      <c r="B87" s="155" t="inlineStr">
        <is>
          <t>January</t>
        </is>
      </c>
      <c r="C87" s="156" t="n">
        <v>45688</v>
      </c>
      <c r="D87" s="155" t="inlineStr">
        <is>
          <t>Month-End</t>
        </is>
      </c>
      <c r="E87" s="155" t="n">
        <v>2025</v>
      </c>
      <c r="F87" s="155" t="inlineStr">
        <is>
          <t>Withum</t>
        </is>
      </c>
      <c r="G87" s="155" t="inlineStr">
        <is>
          <t>AICPA Examination (ISAE 3000-equivalent)</t>
        </is>
      </c>
      <c r="H87" s="155" t="inlineStr">
        <is>
          <t>Paxos Trust Company, LLC</t>
        </is>
      </c>
      <c r="I87" s="157" t="n">
        <v>80050903</v>
      </c>
      <c r="J87" s="158" t="n">
        <v>80364541</v>
      </c>
      <c r="K87" s="157">
        <f>I87</f>
        <v/>
      </c>
      <c r="L87" s="159" t="n">
        <v>0</v>
      </c>
      <c r="M87" s="159" t="n">
        <v>0</v>
      </c>
      <c r="N87" s="159" t="n">
        <v>12969000</v>
      </c>
      <c r="O87" s="159" t="n">
        <v>67395541</v>
      </c>
      <c r="P87" s="160">
        <f>IFERROR(J87-K87,"")</f>
        <v/>
      </c>
      <c r="Q87" s="161">
        <f>IFERROR(J87/K87,"")</f>
        <v/>
      </c>
      <c r="R87" s="155" t="n">
        <v>3</v>
      </c>
      <c r="S87" s="155" t="n">
        <v>0</v>
      </c>
      <c r="T87" s="155" t="n"/>
    </row>
    <row r="88" ht="15" customHeight="1" s="95">
      <c r="A88" s="155" t="inlineStr">
        <is>
          <t>USDP-087</t>
        </is>
      </c>
      <c r="B88" s="155" t="inlineStr">
        <is>
          <t>February</t>
        </is>
      </c>
      <c r="C88" s="156" t="n">
        <v>45701</v>
      </c>
      <c r="D88" s="155" t="inlineStr">
        <is>
          <t>Mid-Month</t>
        </is>
      </c>
      <c r="E88" s="155" t="n">
        <v>2025</v>
      </c>
      <c r="F88" s="155" t="inlineStr">
        <is>
          <t>KPMG</t>
        </is>
      </c>
      <c r="G88" s="155" t="inlineStr">
        <is>
          <t>AICPA Examination (ISAE 3000-equivalent)</t>
        </is>
      </c>
      <c r="H88" s="155" t="inlineStr">
        <is>
          <t>Paxos Trust Company, LLC</t>
        </is>
      </c>
      <c r="I88" s="157" t="n">
        <v>79459921</v>
      </c>
      <c r="J88" s="158" t="n">
        <v>79478426</v>
      </c>
      <c r="K88" s="157">
        <f>I88</f>
        <v/>
      </c>
      <c r="L88" s="159" t="n">
        <v>0</v>
      </c>
      <c r="M88" s="159" t="n">
        <v>0</v>
      </c>
      <c r="N88" s="159" t="n">
        <v>12317000</v>
      </c>
      <c r="O88" s="159" t="n">
        <v>67161246</v>
      </c>
      <c r="P88" s="160">
        <f>IFERROR(J88-K88,"")</f>
        <v/>
      </c>
      <c r="Q88" s="161">
        <f>IFERROR(J88/K88,"")</f>
        <v/>
      </c>
      <c r="R88" s="155" t="n">
        <v>3</v>
      </c>
      <c r="S88" s="155" t="n">
        <v>0</v>
      </c>
      <c r="T88" s="155" t="inlineStr">
        <is>
          <t>First KPMG attestation</t>
        </is>
      </c>
    </row>
    <row r="89" ht="15" customHeight="1" s="95">
      <c r="A89" s="155" t="inlineStr">
        <is>
          <t>USDP-088</t>
        </is>
      </c>
      <c r="B89" s="155" t="inlineStr">
        <is>
          <t>February</t>
        </is>
      </c>
      <c r="C89" s="156" t="n">
        <v>45716</v>
      </c>
      <c r="D89" s="155" t="inlineStr">
        <is>
          <t>Month-End</t>
        </is>
      </c>
      <c r="E89" s="155" t="n">
        <v>2025</v>
      </c>
      <c r="F89" s="155" t="inlineStr">
        <is>
          <t>KPMG</t>
        </is>
      </c>
      <c r="G89" s="155" t="inlineStr">
        <is>
          <t>AICPA Examination (ISAE 3000-equivalent)</t>
        </is>
      </c>
      <c r="H89" s="155" t="inlineStr">
        <is>
          <t>Paxos Trust Company, LLC</t>
        </is>
      </c>
      <c r="I89" s="157" t="n">
        <v>80578596</v>
      </c>
      <c r="J89" s="158" t="n">
        <v>80829428</v>
      </c>
      <c r="K89" s="157">
        <f>I89</f>
        <v/>
      </c>
      <c r="L89" s="159" t="n">
        <v>0</v>
      </c>
      <c r="M89" s="159" t="n">
        <v>0</v>
      </c>
      <c r="N89" s="159" t="n">
        <v>13570000</v>
      </c>
      <c r="O89" s="159" t="n">
        <v>67259428</v>
      </c>
      <c r="P89" s="160">
        <f>IFERROR(J89-K89,"")</f>
        <v/>
      </c>
      <c r="Q89" s="161">
        <f>IFERROR(J89/K89,"")</f>
        <v/>
      </c>
      <c r="R89" s="155" t="n">
        <v>3</v>
      </c>
      <c r="S89" s="155" t="n">
        <v>0</v>
      </c>
      <c r="T89" s="155" t="inlineStr">
        <is>
          <t>First KPMG attestation</t>
        </is>
      </c>
    </row>
    <row r="90" ht="15" customHeight="1" s="95">
      <c r="A90" s="155" t="inlineStr">
        <is>
          <t>USDP-089</t>
        </is>
      </c>
      <c r="B90" s="155" t="inlineStr">
        <is>
          <t>March</t>
        </is>
      </c>
      <c r="C90" s="156" t="n">
        <v>45734</v>
      </c>
      <c r="D90" s="155" t="inlineStr">
        <is>
          <t>Mid-Month</t>
        </is>
      </c>
      <c r="E90" s="155" t="n">
        <v>2025</v>
      </c>
      <c r="F90" s="155" t="inlineStr">
        <is>
          <t>KPMG</t>
        </is>
      </c>
      <c r="G90" s="155" t="inlineStr">
        <is>
          <t>AICPA Examination (ISAE 3000-equivalent)</t>
        </is>
      </c>
      <c r="H90" s="155" t="inlineStr">
        <is>
          <t>Paxos Trust Company, LLC</t>
        </is>
      </c>
      <c r="I90" s="157" t="n">
        <v>79232665</v>
      </c>
      <c r="J90" s="158" t="n">
        <v>79257419</v>
      </c>
      <c r="K90" s="157">
        <f>I90</f>
        <v/>
      </c>
      <c r="L90" s="159" t="n">
        <v>0</v>
      </c>
      <c r="M90" s="159" t="n">
        <v>0</v>
      </c>
      <c r="N90" s="159" t="n">
        <v>12207000</v>
      </c>
      <c r="O90" s="159" t="n">
        <v>67050419</v>
      </c>
      <c r="P90" s="160">
        <f>IFERROR(J90-K90,"")</f>
        <v/>
      </c>
      <c r="Q90" s="161">
        <f>IFERROR(J90/K90,"")</f>
        <v/>
      </c>
      <c r="R90" s="155" t="n">
        <v>3</v>
      </c>
      <c r="S90" s="155" t="n">
        <v>0</v>
      </c>
      <c r="T90" s="155" t="n"/>
    </row>
    <row r="91" ht="15" customHeight="1" s="95">
      <c r="A91" s="155" t="inlineStr">
        <is>
          <t>USDP-090</t>
        </is>
      </c>
      <c r="B91" s="155" t="inlineStr">
        <is>
          <t>March</t>
        </is>
      </c>
      <c r="C91" s="156" t="n">
        <v>45747</v>
      </c>
      <c r="D91" s="155" t="inlineStr">
        <is>
          <t>Month-End</t>
        </is>
      </c>
      <c r="E91" s="155" t="n">
        <v>2025</v>
      </c>
      <c r="F91" s="155" t="inlineStr">
        <is>
          <t>KPMG</t>
        </is>
      </c>
      <c r="G91" s="155" t="inlineStr">
        <is>
          <t>AICPA Examination (ISAE 3000-equivalent)</t>
        </is>
      </c>
      <c r="H91" s="155" t="inlineStr">
        <is>
          <t>Paxos Trust Company, LLC</t>
        </is>
      </c>
      <c r="I91" s="157" t="n">
        <v>79443384</v>
      </c>
      <c r="J91" s="158" t="n">
        <v>79487100</v>
      </c>
      <c r="K91" s="157">
        <f>I91</f>
        <v/>
      </c>
      <c r="L91" s="159" t="n">
        <v>0</v>
      </c>
      <c r="M91" s="159" t="n">
        <v>0</v>
      </c>
      <c r="N91" s="159" t="n">
        <v>12437000</v>
      </c>
      <c r="O91" s="159" t="n">
        <v>67050100</v>
      </c>
      <c r="P91" s="160">
        <f>IFERROR(J91-K91,"")</f>
        <v/>
      </c>
      <c r="Q91" s="161">
        <f>IFERROR(J91/K91,"")</f>
        <v/>
      </c>
      <c r="R91" s="155" t="n">
        <v>3</v>
      </c>
      <c r="S91" s="155" t="n">
        <v>0</v>
      </c>
      <c r="T91" s="155" t="n"/>
    </row>
    <row r="92" ht="15" customHeight="1" s="95">
      <c r="A92" s="155" t="inlineStr">
        <is>
          <t>USDP-091</t>
        </is>
      </c>
      <c r="B92" s="155" t="inlineStr">
        <is>
          <t>April</t>
        </is>
      </c>
      <c r="C92" s="156" t="n">
        <v>45757</v>
      </c>
      <c r="D92" s="155" t="inlineStr">
        <is>
          <t>Mid-Month</t>
        </is>
      </c>
      <c r="E92" s="155" t="n">
        <v>2025</v>
      </c>
      <c r="F92" s="155" t="inlineStr">
        <is>
          <t>KPMG</t>
        </is>
      </c>
      <c r="G92" s="155" t="inlineStr">
        <is>
          <t>AICPA Examination (ISAE 3000-equivalent)</t>
        </is>
      </c>
      <c r="H92" s="155" t="inlineStr">
        <is>
          <t>Paxos Trust Company, LLC</t>
        </is>
      </c>
      <c r="I92" s="157" t="n">
        <v>79443384</v>
      </c>
      <c r="J92" s="158" t="n">
        <v>79733911</v>
      </c>
      <c r="K92" s="157">
        <f>I92</f>
        <v/>
      </c>
      <c r="L92" s="159" t="n">
        <v>0</v>
      </c>
      <c r="M92" s="159" t="n">
        <v>0</v>
      </c>
      <c r="N92" s="159" t="n">
        <v>12452000</v>
      </c>
      <c r="O92" s="159" t="n">
        <v>67281911</v>
      </c>
      <c r="P92" s="160">
        <f>IFERROR(J92-K92,"")</f>
        <v/>
      </c>
      <c r="Q92" s="161">
        <f>IFERROR(J92/K92,"")</f>
        <v/>
      </c>
      <c r="R92" s="155" t="n">
        <v>3</v>
      </c>
      <c r="S92" s="155" t="n">
        <v>0</v>
      </c>
      <c r="T92" s="155" t="n"/>
    </row>
    <row r="93" ht="15" customHeight="1" s="95">
      <c r="A93" s="155" t="inlineStr">
        <is>
          <t>USDP-092</t>
        </is>
      </c>
      <c r="B93" s="155" t="inlineStr">
        <is>
          <t>April</t>
        </is>
      </c>
      <c r="C93" s="156" t="n">
        <v>45777</v>
      </c>
      <c r="D93" s="155" t="inlineStr">
        <is>
          <t>Month-End</t>
        </is>
      </c>
      <c r="E93" s="155" t="n">
        <v>2025</v>
      </c>
      <c r="F93" s="155" t="inlineStr">
        <is>
          <t>KPMG</t>
        </is>
      </c>
      <c r="G93" s="155" t="inlineStr">
        <is>
          <t>AICPA Examination (ISAE 3000-equivalent)</t>
        </is>
      </c>
      <c r="H93" s="155" t="inlineStr">
        <is>
          <t>Paxos Trust Company, LLC</t>
        </is>
      </c>
      <c r="I93" s="157" t="n">
        <v>71319225</v>
      </c>
      <c r="J93" s="158" t="n">
        <v>71352992</v>
      </c>
      <c r="K93" s="157">
        <f>I93</f>
        <v/>
      </c>
      <c r="L93" s="159" t="n">
        <v>0</v>
      </c>
      <c r="M93" s="159" t="n">
        <v>0</v>
      </c>
      <c r="N93" s="159" t="n">
        <v>4256000</v>
      </c>
      <c r="O93" s="159" t="n">
        <v>67096992</v>
      </c>
      <c r="P93" s="160">
        <f>IFERROR(J93-K93,"")</f>
        <v/>
      </c>
      <c r="Q93" s="161">
        <f>IFERROR(J93/K93,"")</f>
        <v/>
      </c>
      <c r="R93" s="155" t="n">
        <v>3</v>
      </c>
      <c r="S93" s="155" t="n">
        <v>0</v>
      </c>
      <c r="T93" s="155" t="n"/>
    </row>
    <row r="94" ht="15" customHeight="1" s="95">
      <c r="A94" s="155" t="inlineStr">
        <is>
          <t>USDP-093</t>
        </is>
      </c>
      <c r="B94" s="155" t="inlineStr">
        <is>
          <t>May</t>
        </is>
      </c>
      <c r="C94" s="156" t="n">
        <v>45785</v>
      </c>
      <c r="D94" s="155" t="inlineStr">
        <is>
          <t>Mid-Month</t>
        </is>
      </c>
      <c r="E94" s="155" t="n">
        <v>2025</v>
      </c>
      <c r="F94" s="155" t="inlineStr">
        <is>
          <t>KPMG</t>
        </is>
      </c>
      <c r="G94" s="155" t="inlineStr">
        <is>
          <t>AICPA Examination (ISAE 3000-equivalent)</t>
        </is>
      </c>
      <c r="H94" s="155" t="inlineStr">
        <is>
          <t>Paxos Trust Company, LLC</t>
        </is>
      </c>
      <c r="I94" s="157" t="n">
        <v>71319225</v>
      </c>
      <c r="J94" s="158" t="n">
        <v>71322792</v>
      </c>
      <c r="K94" s="157">
        <f>I94</f>
        <v/>
      </c>
      <c r="L94" s="159" t="n">
        <v>0</v>
      </c>
      <c r="M94" s="159" t="n">
        <v>0</v>
      </c>
      <c r="N94" s="159" t="n">
        <v>4225000</v>
      </c>
      <c r="O94" s="159" t="n">
        <v>67097792</v>
      </c>
      <c r="P94" s="160">
        <f>IFERROR(J94-K94,"")</f>
        <v/>
      </c>
      <c r="Q94" s="161">
        <f>IFERROR(J94/K94,"")</f>
        <v/>
      </c>
      <c r="R94" s="155" t="n">
        <v>3</v>
      </c>
      <c r="S94" s="155" t="n">
        <v>0</v>
      </c>
      <c r="T94" s="155" t="n"/>
    </row>
    <row r="95" ht="15" customHeight="1" s="95">
      <c r="A95" s="155" t="inlineStr">
        <is>
          <t>USDP-094</t>
        </is>
      </c>
      <c r="B95" s="155" t="inlineStr">
        <is>
          <t>May</t>
        </is>
      </c>
      <c r="C95" s="156" t="n">
        <v>45807</v>
      </c>
      <c r="D95" s="155" t="inlineStr">
        <is>
          <t>Month-End</t>
        </is>
      </c>
      <c r="E95" s="155" t="n">
        <v>2025</v>
      </c>
      <c r="F95" s="155" t="inlineStr">
        <is>
          <t>KPMG</t>
        </is>
      </c>
      <c r="G95" s="155" t="inlineStr">
        <is>
          <t>AICPA Examination (ISAE 3000-equivalent)</t>
        </is>
      </c>
      <c r="H95" s="155" t="inlineStr">
        <is>
          <t>Paxos Trust Company, LLC</t>
        </is>
      </c>
      <c r="I95" s="157" t="n">
        <v>73223449</v>
      </c>
      <c r="J95" s="158" t="n">
        <v>73238801</v>
      </c>
      <c r="K95" s="157">
        <f>I95</f>
        <v/>
      </c>
      <c r="L95" s="159" t="n">
        <v>0</v>
      </c>
      <c r="M95" s="159" t="n">
        <v>0</v>
      </c>
      <c r="N95" s="159" t="n">
        <v>6189000</v>
      </c>
      <c r="O95" s="159" t="n">
        <v>67049801</v>
      </c>
      <c r="P95" s="160">
        <f>IFERROR(J95-K95,"")</f>
        <v/>
      </c>
      <c r="Q95" s="161">
        <f>IFERROR(J95/K95,"")</f>
        <v/>
      </c>
      <c r="R95" s="155" t="n">
        <v>3</v>
      </c>
      <c r="S95" s="155" t="n">
        <v>0</v>
      </c>
      <c r="T95" s="155" t="n"/>
    </row>
    <row r="96" ht="15" customHeight="1" s="95">
      <c r="A96" s="155" t="inlineStr">
        <is>
          <t>USDP-095</t>
        </is>
      </c>
      <c r="B96" s="155" t="inlineStr">
        <is>
          <t>June</t>
        </is>
      </c>
      <c r="C96" s="156" t="n">
        <v>45817</v>
      </c>
      <c r="D96" s="155" t="inlineStr">
        <is>
          <t>Mid-Month</t>
        </is>
      </c>
      <c r="E96" s="155" t="n">
        <v>2025</v>
      </c>
      <c r="F96" s="155" t="inlineStr">
        <is>
          <t>KPMG</t>
        </is>
      </c>
      <c r="G96" s="155" t="inlineStr">
        <is>
          <t>AICPA Examination (ISAE 3000-equivalent)</t>
        </is>
      </c>
      <c r="H96" s="155" t="inlineStr">
        <is>
          <t>Paxos Trust Company, LLC</t>
        </is>
      </c>
      <c r="I96" s="157" t="n">
        <v>73223449</v>
      </c>
      <c r="J96" s="158" t="n">
        <v>73478260</v>
      </c>
      <c r="K96" s="157">
        <f>I96</f>
        <v/>
      </c>
      <c r="L96" s="159" t="n">
        <v>0</v>
      </c>
      <c r="M96" s="159" t="n">
        <v>0</v>
      </c>
      <c r="N96" s="159" t="n">
        <v>6196000</v>
      </c>
      <c r="O96" s="159" t="n">
        <v>67282260</v>
      </c>
      <c r="P96" s="160">
        <f>IFERROR(J96-K96,"")</f>
        <v/>
      </c>
      <c r="Q96" s="161">
        <f>IFERROR(J96/K96,"")</f>
        <v/>
      </c>
      <c r="R96" s="155" t="n">
        <v>3</v>
      </c>
      <c r="S96" s="155" t="n">
        <v>0</v>
      </c>
      <c r="T96" s="155" t="n"/>
    </row>
    <row r="97" ht="15" customHeight="1" s="95">
      <c r="A97" s="155" t="inlineStr">
        <is>
          <t>USDP-096</t>
        </is>
      </c>
      <c r="B97" s="155" t="inlineStr">
        <is>
          <t>June</t>
        </is>
      </c>
      <c r="C97" s="156" t="n">
        <v>45838</v>
      </c>
      <c r="D97" s="155" t="inlineStr">
        <is>
          <t>Month-End</t>
        </is>
      </c>
      <c r="E97" s="155" t="n">
        <v>2025</v>
      </c>
      <c r="F97" s="155" t="inlineStr">
        <is>
          <t>KPMG</t>
        </is>
      </c>
      <c r="G97" s="155" t="inlineStr">
        <is>
          <t>AICPA Examination (ISAE 3000-equivalent)</t>
        </is>
      </c>
      <c r="H97" s="155" t="inlineStr">
        <is>
          <t>Paxos Trust Company, LLC</t>
        </is>
      </c>
      <c r="I97" s="157" t="n">
        <v>67953449</v>
      </c>
      <c r="J97" s="158" t="n">
        <v>67967318</v>
      </c>
      <c r="K97" s="157">
        <f>I97</f>
        <v/>
      </c>
      <c r="L97" s="159" t="n">
        <v>0</v>
      </c>
      <c r="M97" s="159" t="n">
        <v>0</v>
      </c>
      <c r="N97" s="159" t="n">
        <v>917000</v>
      </c>
      <c r="O97" s="159" t="n">
        <v>67050318</v>
      </c>
      <c r="P97" s="160">
        <f>IFERROR(J97-K97,"")</f>
        <v/>
      </c>
      <c r="Q97" s="161">
        <f>IFERROR(J97/K97,"")</f>
        <v/>
      </c>
      <c r="R97" s="155" t="n">
        <v>3</v>
      </c>
      <c r="S97" s="155" t="n">
        <v>0</v>
      </c>
      <c r="T97" s="155" t="n"/>
    </row>
    <row r="98" ht="15" customHeight="1" s="95">
      <c r="A98" s="155" t="inlineStr">
        <is>
          <t>USDP-097</t>
        </is>
      </c>
      <c r="B98" s="155" t="inlineStr">
        <is>
          <t>August</t>
        </is>
      </c>
      <c r="C98" s="156" t="n">
        <v>45876</v>
      </c>
      <c r="D98" s="155" t="inlineStr">
        <is>
          <t>Mid-Month</t>
        </is>
      </c>
      <c r="E98" s="155" t="n">
        <v>2025</v>
      </c>
      <c r="F98" s="155" t="inlineStr">
        <is>
          <t>KPMG</t>
        </is>
      </c>
      <c r="G98" s="155" t="inlineStr">
        <is>
          <t>AICPA Examination (ISAE 3000-equivalent)</t>
        </is>
      </c>
      <c r="H98" s="155" t="inlineStr">
        <is>
          <t>Paxos Trust Company, LLC</t>
        </is>
      </c>
      <c r="I98" s="157" t="n">
        <v>66953469</v>
      </c>
      <c r="J98" s="158" t="n">
        <v>67194304</v>
      </c>
      <c r="K98" s="157">
        <f>I98</f>
        <v/>
      </c>
      <c r="L98" s="159" t="n">
        <v>0</v>
      </c>
      <c r="M98" s="159" t="n">
        <v>0</v>
      </c>
      <c r="N98" s="159" t="n">
        <v>4917000</v>
      </c>
      <c r="O98" s="159" t="n">
        <v>62277304</v>
      </c>
      <c r="P98" s="160">
        <f>IFERROR(J98-K98,"")</f>
        <v/>
      </c>
      <c r="Q98" s="161">
        <f>IFERROR(J98/K98,"")</f>
        <v/>
      </c>
      <c r="R98" s="155" t="n">
        <v>3</v>
      </c>
      <c r="S98" s="155" t="n">
        <v>0</v>
      </c>
      <c r="T98" s="155" t="n"/>
    </row>
    <row r="99" ht="15" customHeight="1" s="95">
      <c r="A99" s="155" t="inlineStr">
        <is>
          <t>USDP-098</t>
        </is>
      </c>
      <c r="B99" s="155" t="inlineStr">
        <is>
          <t>August</t>
        </is>
      </c>
      <c r="C99" s="156" t="n">
        <v>45898</v>
      </c>
      <c r="D99" s="155" t="inlineStr">
        <is>
          <t>Month-End</t>
        </is>
      </c>
      <c r="E99" s="155" t="n">
        <v>2025</v>
      </c>
      <c r="F99" s="155" t="inlineStr">
        <is>
          <t>KPMG</t>
        </is>
      </c>
      <c r="G99" s="155" t="inlineStr">
        <is>
          <t>AICPA Examination (ISAE 3000-equivalent)</t>
        </is>
      </c>
      <c r="H99" s="155" t="inlineStr">
        <is>
          <t>Paxos Trust Company, LLC</t>
        </is>
      </c>
      <c r="I99" s="157" t="n">
        <v>66953468</v>
      </c>
      <c r="J99" s="158" t="n">
        <v>66968807</v>
      </c>
      <c r="K99" s="157">
        <f>I99</f>
        <v/>
      </c>
      <c r="L99" s="159" t="n">
        <v>0</v>
      </c>
      <c r="M99" s="159" t="n">
        <v>0</v>
      </c>
      <c r="N99" s="159" t="n">
        <v>4919000</v>
      </c>
      <c r="O99" s="159" t="n">
        <v>62049807</v>
      </c>
      <c r="P99" s="160">
        <f>IFERROR(J99-K99,"")</f>
        <v/>
      </c>
      <c r="Q99" s="161">
        <f>IFERROR(J99/K99,"")</f>
        <v/>
      </c>
      <c r="R99" s="155" t="n">
        <v>3</v>
      </c>
      <c r="S99" s="155" t="n">
        <v>0</v>
      </c>
      <c r="T99" s="155" t="n"/>
    </row>
    <row r="100" ht="15" customHeight="1" s="95">
      <c r="A100" s="155" t="inlineStr">
        <is>
          <t>USDP-099</t>
        </is>
      </c>
      <c r="B100" s="155" t="inlineStr">
        <is>
          <t>September</t>
        </is>
      </c>
      <c r="C100" s="156" t="n">
        <v>45908</v>
      </c>
      <c r="D100" s="155" t="inlineStr">
        <is>
          <t>Mid-Month</t>
        </is>
      </c>
      <c r="E100" s="155" t="n">
        <v>2025</v>
      </c>
      <c r="F100" s="155" t="inlineStr">
        <is>
          <t>KPMG</t>
        </is>
      </c>
      <c r="G100" s="155" t="inlineStr">
        <is>
          <t>AICPA Examination (ISAE 3000-equivalent)</t>
        </is>
      </c>
      <c r="H100" s="155" t="inlineStr">
        <is>
          <t>Paxos Trust Company, LLC</t>
        </is>
      </c>
      <c r="I100" s="157" t="n">
        <v>67953468</v>
      </c>
      <c r="J100" s="158" t="n">
        <v>68189857</v>
      </c>
      <c r="K100" s="157">
        <f>I100</f>
        <v/>
      </c>
      <c r="L100" s="159" t="n">
        <v>0</v>
      </c>
      <c r="M100" s="159" t="n">
        <v>0</v>
      </c>
      <c r="N100" s="159" t="n">
        <v>5925000</v>
      </c>
      <c r="O100" s="159" t="n">
        <v>62264857</v>
      </c>
      <c r="P100" s="160">
        <f>IFERROR(J100-K100,"")</f>
        <v/>
      </c>
      <c r="Q100" s="161">
        <f>IFERROR(J100/K100,"")</f>
        <v/>
      </c>
      <c r="R100" s="155" t="n">
        <v>3</v>
      </c>
      <c r="S100" s="155" t="n">
        <v>0</v>
      </c>
      <c r="T100" s="155" t="n"/>
    </row>
    <row r="101" ht="15" customHeight="1" s="95">
      <c r="A101" s="155" t="inlineStr">
        <is>
          <t>USDP-100</t>
        </is>
      </c>
      <c r="B101" s="155" t="inlineStr">
        <is>
          <t>September</t>
        </is>
      </c>
      <c r="C101" s="156" t="n">
        <v>45930</v>
      </c>
      <c r="D101" s="155" t="inlineStr">
        <is>
          <t>Month-End</t>
        </is>
      </c>
      <c r="E101" s="155" t="n">
        <v>2025</v>
      </c>
      <c r="F101" s="155" t="inlineStr">
        <is>
          <t>KPMG</t>
        </is>
      </c>
      <c r="G101" s="155" t="inlineStr">
        <is>
          <t>AICPA Examination (ISAE 3000-equivalent)</t>
        </is>
      </c>
      <c r="H101" s="155" t="inlineStr">
        <is>
          <t>Paxos Trust Company, LLC</t>
        </is>
      </c>
      <c r="I101" s="157" t="n">
        <v>63264568</v>
      </c>
      <c r="J101" s="158" t="n">
        <v>63284396</v>
      </c>
      <c r="K101" s="157">
        <f>I101</f>
        <v/>
      </c>
      <c r="L101" s="159" t="n">
        <v>0</v>
      </c>
      <c r="M101" s="159" t="n">
        <v>0</v>
      </c>
      <c r="N101" s="159" t="n">
        <v>5923000</v>
      </c>
      <c r="O101" s="159" t="n">
        <v>57361396</v>
      </c>
      <c r="P101" s="160">
        <f>IFERROR(J101-K101,"")</f>
        <v/>
      </c>
      <c r="Q101" s="161">
        <f>IFERROR(J101/K101,"")</f>
        <v/>
      </c>
      <c r="R101" s="155" t="n">
        <v>3</v>
      </c>
      <c r="S101" s="155" t="n">
        <v>0</v>
      </c>
      <c r="T101" s="155" t="n"/>
    </row>
    <row r="102" ht="15" customHeight="1" s="95">
      <c r="A102" s="155" t="inlineStr">
        <is>
          <t>USDP-101</t>
        </is>
      </c>
      <c r="B102" s="155" t="inlineStr">
        <is>
          <t>October</t>
        </is>
      </c>
      <c r="C102" s="156" t="n">
        <v>45940</v>
      </c>
      <c r="D102" s="155" t="inlineStr">
        <is>
          <t>Mid-Month</t>
        </is>
      </c>
      <c r="E102" s="155" t="n">
        <v>2025</v>
      </c>
      <c r="F102" s="155" t="inlineStr">
        <is>
          <t>KPMG</t>
        </is>
      </c>
      <c r="G102" s="155" t="inlineStr">
        <is>
          <t>AICPA Examination (ISAE 3000-equivalent)</t>
        </is>
      </c>
      <c r="H102" s="155" t="inlineStr">
        <is>
          <t>Paxos Trust Company, LLC</t>
        </is>
      </c>
      <c r="I102" s="157" t="n">
        <v>63264568</v>
      </c>
      <c r="J102" s="158" t="n">
        <v>63488535</v>
      </c>
      <c r="K102" s="157">
        <f>I102</f>
        <v/>
      </c>
      <c r="L102" s="159" t="n">
        <v>0</v>
      </c>
      <c r="M102" s="159" t="n">
        <v>0</v>
      </c>
      <c r="N102" s="159" t="n">
        <v>5930000</v>
      </c>
      <c r="O102" s="159" t="n">
        <v>57558535</v>
      </c>
      <c r="P102" s="160">
        <f>IFERROR(J102-K102,"")</f>
        <v/>
      </c>
      <c r="Q102" s="161">
        <f>IFERROR(J102/K102,"")</f>
        <v/>
      </c>
      <c r="R102" s="155" t="n">
        <v>3</v>
      </c>
      <c r="S102" s="155" t="n">
        <v>0</v>
      </c>
      <c r="T102" s="155" t="n"/>
    </row>
    <row r="103" ht="15" customHeight="1" s="95">
      <c r="A103" s="155" t="inlineStr">
        <is>
          <t>USDP-102</t>
        </is>
      </c>
      <c r="B103" s="155" t="inlineStr">
        <is>
          <t>October</t>
        </is>
      </c>
      <c r="C103" s="156" t="n">
        <v>45961</v>
      </c>
      <c r="D103" s="155" t="inlineStr">
        <is>
          <t>Month-End</t>
        </is>
      </c>
      <c r="E103" s="155" t="n">
        <v>2025</v>
      </c>
      <c r="F103" s="155" t="inlineStr">
        <is>
          <t>KPMG</t>
        </is>
      </c>
      <c r="G103" s="155" t="inlineStr">
        <is>
          <t>AICPA Examination (ISAE 3000-equivalent)</t>
        </is>
      </c>
      <c r="H103" s="155" t="inlineStr">
        <is>
          <t>Paxos Trust Company, LLC</t>
        </is>
      </c>
      <c r="I103" s="157" t="n">
        <v>55711456</v>
      </c>
      <c r="J103" s="158" t="n">
        <v>55732558</v>
      </c>
      <c r="K103" s="157">
        <f>I103</f>
        <v/>
      </c>
      <c r="L103" s="159" t="n">
        <v>0</v>
      </c>
      <c r="M103" s="159" t="n">
        <v>0</v>
      </c>
      <c r="N103" s="159" t="n">
        <v>5924000</v>
      </c>
      <c r="O103" s="159" t="n">
        <v>49808558</v>
      </c>
      <c r="P103" s="160">
        <f>IFERROR(J103-K103,"")</f>
        <v/>
      </c>
      <c r="Q103" s="161">
        <f>IFERROR(J103/K103,"")</f>
        <v/>
      </c>
      <c r="R103" s="155" t="n">
        <v>3</v>
      </c>
      <c r="S103" s="155" t="n">
        <v>0</v>
      </c>
      <c r="T103" s="155" t="n"/>
    </row>
    <row r="104" ht="15" customHeight="1" s="95">
      <c r="A104" s="155" t="inlineStr">
        <is>
          <t>USDP-103</t>
        </is>
      </c>
      <c r="B104" s="155" t="inlineStr">
        <is>
          <t>November</t>
        </is>
      </c>
      <c r="C104" s="156" t="n">
        <v>45971</v>
      </c>
      <c r="D104" s="155" t="inlineStr">
        <is>
          <t>Mid-Month</t>
        </is>
      </c>
      <c r="E104" s="155" t="n">
        <v>2025</v>
      </c>
      <c r="F104" s="155" t="inlineStr">
        <is>
          <t>KPMG</t>
        </is>
      </c>
      <c r="G104" s="155" t="inlineStr">
        <is>
          <t>AICPA Examination (ISAE 3000-equivalent)</t>
        </is>
      </c>
      <c r="H104" s="155" t="inlineStr">
        <is>
          <t>Paxos Trust Company, LLC</t>
        </is>
      </c>
      <c r="I104" s="157" t="n">
        <v>57711456</v>
      </c>
      <c r="J104" s="158" t="n">
        <v>57718883</v>
      </c>
      <c r="K104" s="157">
        <f>I104</f>
        <v/>
      </c>
      <c r="L104" s="159" t="n">
        <v>0</v>
      </c>
      <c r="M104" s="159" t="n">
        <v>0</v>
      </c>
      <c r="N104" s="159" t="n">
        <v>8358000</v>
      </c>
      <c r="O104" s="159" t="n">
        <v>49360883</v>
      </c>
      <c r="P104" s="160">
        <f>IFERROR(J104-K104,"")</f>
        <v/>
      </c>
      <c r="Q104" s="161">
        <f>IFERROR(J104/K104,"")</f>
        <v/>
      </c>
      <c r="R104" s="155" t="n">
        <v>3</v>
      </c>
      <c r="S104" s="155" t="n">
        <v>0</v>
      </c>
      <c r="T104" s="155" t="n"/>
    </row>
    <row r="105" ht="15" customHeight="1" s="95">
      <c r="A105" s="155" t="inlineStr">
        <is>
          <t>USDP-104</t>
        </is>
      </c>
      <c r="B105" s="155" t="inlineStr">
        <is>
          <t>November</t>
        </is>
      </c>
      <c r="C105" s="156" t="n">
        <v>45989</v>
      </c>
      <c r="D105" s="155" t="inlineStr">
        <is>
          <t>Month-End</t>
        </is>
      </c>
      <c r="E105" s="155" t="n">
        <v>2025</v>
      </c>
      <c r="F105" s="155" t="inlineStr">
        <is>
          <t>KPMG</t>
        </is>
      </c>
      <c r="G105" s="155" t="inlineStr">
        <is>
          <t>AICPA Examination (ISAE 3000-equivalent)</t>
        </is>
      </c>
      <c r="H105" s="155" t="inlineStr">
        <is>
          <t>Paxos Trust Company, LLC</t>
        </is>
      </c>
      <c r="I105" s="157" t="n">
        <v>57569455</v>
      </c>
      <c r="J105" s="158" t="n">
        <v>57598157</v>
      </c>
      <c r="K105" s="157">
        <f>I105</f>
        <v/>
      </c>
      <c r="L105" s="159" t="n">
        <v>0</v>
      </c>
      <c r="M105" s="159" t="n">
        <v>0</v>
      </c>
      <c r="N105" s="159" t="n">
        <v>17537000</v>
      </c>
      <c r="O105" s="159" t="n">
        <v>40061157</v>
      </c>
      <c r="P105" s="160">
        <f>IFERROR(J105-K105,"")</f>
        <v/>
      </c>
      <c r="Q105" s="161">
        <f>IFERROR(J105/K105,"")</f>
        <v/>
      </c>
      <c r="R105" s="155" t="n">
        <v>3</v>
      </c>
      <c r="S105" s="155" t="n">
        <v>0</v>
      </c>
      <c r="T105" s="155" t="n"/>
    </row>
    <row r="106" ht="15" customHeight="1" s="95">
      <c r="A106" s="155" t="inlineStr">
        <is>
          <t>USDP-105</t>
        </is>
      </c>
      <c r="B106" s="155" t="inlineStr">
        <is>
          <t>December</t>
        </is>
      </c>
      <c r="C106" s="156" t="n">
        <v>46008</v>
      </c>
      <c r="D106" s="155" t="inlineStr">
        <is>
          <t>Mid-Month</t>
        </is>
      </c>
      <c r="E106" s="155" t="n">
        <v>2025</v>
      </c>
      <c r="F106" s="155" t="inlineStr">
        <is>
          <t>KPMG</t>
        </is>
      </c>
      <c r="G106" s="155" t="inlineStr">
        <is>
          <t>AICPA Examination (ISAE 3000-equivalent)</t>
        </is>
      </c>
      <c r="H106" s="155" t="inlineStr">
        <is>
          <t>Paxos Trust Company, N.A.</t>
        </is>
      </c>
      <c r="I106" s="157" t="n">
        <v>51569455</v>
      </c>
      <c r="J106" s="158" t="n">
        <v>51599097</v>
      </c>
      <c r="K106" s="157">
        <f>I106</f>
        <v/>
      </c>
      <c r="L106" s="159" t="n">
        <v>0</v>
      </c>
      <c r="M106" s="159" t="n">
        <v>0</v>
      </c>
      <c r="N106" s="159" t="n">
        <v>17538000</v>
      </c>
      <c r="O106" s="159" t="n">
        <v>34061097</v>
      </c>
      <c r="P106" s="160">
        <f>IFERROR(J106-K106,"")</f>
        <v/>
      </c>
      <c r="Q106" s="161">
        <f>IFERROR(J106/K106,"")</f>
        <v/>
      </c>
      <c r="R106" s="155" t="n">
        <v>3</v>
      </c>
      <c r="S106" s="155" t="n">
        <v>0</v>
      </c>
      <c r="T106" s="155" t="inlineStr">
        <is>
          <t>Post-OCC conversion (Dec 12, 2025); GENIUS Act applies</t>
        </is>
      </c>
    </row>
    <row r="107" ht="15" customHeight="1" s="95">
      <c r="A107" s="155" t="inlineStr">
        <is>
          <t>USDP-106</t>
        </is>
      </c>
      <c r="B107" s="155" t="inlineStr">
        <is>
          <t>December</t>
        </is>
      </c>
      <c r="C107" s="156" t="n">
        <v>46022</v>
      </c>
      <c r="D107" s="155" t="inlineStr">
        <is>
          <t>Month-End</t>
        </is>
      </c>
      <c r="E107" s="155" t="n">
        <v>2025</v>
      </c>
      <c r="F107" s="155" t="inlineStr">
        <is>
          <t>KPMG</t>
        </is>
      </c>
      <c r="G107" s="155" t="inlineStr">
        <is>
          <t>AICPA Examination (ISAE 3000-equivalent)</t>
        </is>
      </c>
      <c r="H107" s="155" t="inlineStr">
        <is>
          <t>Paxos Trust Company, N.A.</t>
        </is>
      </c>
      <c r="I107" s="157" t="n">
        <v>47569455</v>
      </c>
      <c r="J107" s="158" t="n">
        <v>47623184</v>
      </c>
      <c r="K107" s="157">
        <f>I107</f>
        <v/>
      </c>
      <c r="L107" s="159" t="n">
        <v>0</v>
      </c>
      <c r="M107" s="159" t="n">
        <v>0</v>
      </c>
      <c r="N107" s="159" t="n">
        <v>13562000</v>
      </c>
      <c r="O107" s="159" t="n">
        <v>34061184</v>
      </c>
      <c r="P107" s="160">
        <f>IFERROR(J107-K107,"")</f>
        <v/>
      </c>
      <c r="Q107" s="161">
        <f>IFERROR(J107/K107,"")</f>
        <v/>
      </c>
      <c r="R107" s="155" t="n">
        <v>3</v>
      </c>
      <c r="S107" s="155" t="n">
        <v>0</v>
      </c>
      <c r="T107" s="155" t="inlineStr">
        <is>
          <t>Post-OCC conversion (Dec 12, 2025); GENIUS Act applies</t>
        </is>
      </c>
    </row>
    <row r="108">
      <c r="A108" s="94" t="inlineStr">
        <is>
          <t>USDP-107</t>
        </is>
      </c>
      <c r="B108" s="94" t="inlineStr">
        <is>
          <t>September</t>
        </is>
      </c>
      <c r="C108" s="162" t="n">
        <v>44834</v>
      </c>
      <c r="D108" s="94" t="inlineStr">
        <is>
          <t>Month-End</t>
        </is>
      </c>
      <c r="E108" s="94" t="n">
        <v>2022</v>
      </c>
      <c r="F108" s="94" t="inlineStr">
        <is>
          <t>Withum</t>
        </is>
      </c>
      <c r="G108" s="94" t="inlineStr">
        <is>
          <t>AICPA Examination (ISAE 3000-equivalent)</t>
        </is>
      </c>
      <c r="H108" s="94" t="inlineStr">
        <is>
          <t>Paxos Trust Company, LLC</t>
        </is>
      </c>
      <c r="I108" s="94" t="n">
        <v>915859695.51</v>
      </c>
      <c r="J108" s="94" t="n">
        <v>925657506</v>
      </c>
      <c r="K108" s="94" t="n">
        <v>915859695.51</v>
      </c>
      <c r="L108" s="94" t="n">
        <v>0</v>
      </c>
      <c r="M108" s="94" t="n">
        <v>399285000</v>
      </c>
      <c r="N108" s="94" t="n">
        <v>319260094</v>
      </c>
      <c r="O108" s="94" t="n">
        <v>207112412</v>
      </c>
      <c r="P108" s="94" t="n">
        <v>9797810.49</v>
      </c>
      <c r="Q108" s="94" t="n">
        <v>1.0107</v>
      </c>
      <c r="R108" s="94" t="n">
        <v>3</v>
      </c>
      <c r="S108" s="94" t="n">
        <v>0</v>
      </c>
      <c r="T108" s="94" t="inlineStr">
        <is>
          <t>Q3 2022 month-end (added from Withum PDF dated Oct 27, 2022)</t>
        </is>
      </c>
    </row>
    <row r="109">
      <c r="A109" s="94" t="inlineStr">
        <is>
          <t>USDP-108</t>
        </is>
      </c>
      <c r="B109" s="94" t="inlineStr">
        <is>
          <t>October</t>
        </is>
      </c>
      <c r="C109" s="162" t="n">
        <v>45576</v>
      </c>
      <c r="D109" s="94" t="inlineStr">
        <is>
          <t>Mid-Month</t>
        </is>
      </c>
      <c r="E109" s="94" t="n">
        <v>2024</v>
      </c>
      <c r="F109" s="94" t="inlineStr">
        <is>
          <t>Withum</t>
        </is>
      </c>
      <c r="G109" s="94" t="inlineStr">
        <is>
          <t>AICPA Examination (ISAE 3000-equivalent)</t>
        </is>
      </c>
      <c r="H109" s="94" t="inlineStr">
        <is>
          <t>Paxos Trust Company, LLC</t>
        </is>
      </c>
      <c r="I109" s="94" t="n">
        <v>107748793</v>
      </c>
      <c r="J109" s="94" t="n">
        <v>107855577</v>
      </c>
      <c r="K109" s="94" t="n">
        <v>107748793</v>
      </c>
      <c r="L109" s="94" t="n">
        <v>0</v>
      </c>
      <c r="M109" s="94" t="n">
        <v>0</v>
      </c>
      <c r="N109" s="94" t="n">
        <v>5136720</v>
      </c>
      <c r="O109" s="94" t="n">
        <v>102718857</v>
      </c>
      <c r="P109" s="94" t="n">
        <v>106784</v>
      </c>
      <c r="Q109" s="94" t="n">
        <v>1.000991</v>
      </c>
      <c r="R109" s="94" t="n">
        <v>3</v>
      </c>
      <c r="S109" s="94" t="n">
        <v>0</v>
      </c>
      <c r="T109" s="94" t="inlineStr">
        <is>
          <t>Added from Withum PDF dated Nov 18, 2024 (Oct 2024 mid-month)</t>
        </is>
      </c>
    </row>
    <row r="110">
      <c r="A110" s="94" t="inlineStr">
        <is>
          <t>USDP-109</t>
        </is>
      </c>
      <c r="B110" s="94" t="inlineStr">
        <is>
          <t>October</t>
        </is>
      </c>
      <c r="C110" s="162" t="n">
        <v>45596</v>
      </c>
      <c r="D110" s="94" t="inlineStr">
        <is>
          <t>Month-End</t>
        </is>
      </c>
      <c r="E110" s="94" t="n">
        <v>2024</v>
      </c>
      <c r="F110" s="94" t="inlineStr">
        <is>
          <t>Withum</t>
        </is>
      </c>
      <c r="G110" s="94" t="inlineStr">
        <is>
          <t>AICPA Examination (ISAE 3000-equivalent)</t>
        </is>
      </c>
      <c r="H110" s="94" t="inlineStr">
        <is>
          <t>Paxos Trust Company, LLC</t>
        </is>
      </c>
      <c r="I110" s="94" t="n">
        <v>110099031</v>
      </c>
      <c r="J110" s="94" t="n">
        <v>110262333</v>
      </c>
      <c r="K110" s="94" t="n">
        <v>110099031</v>
      </c>
      <c r="L110" s="94" t="n">
        <v>0</v>
      </c>
      <c r="M110" s="94" t="n">
        <v>0</v>
      </c>
      <c r="N110" s="94" t="n">
        <v>7160400</v>
      </c>
      <c r="O110" s="94" t="n">
        <v>103101933</v>
      </c>
      <c r="P110" s="94" t="n">
        <v>163302</v>
      </c>
      <c r="Q110" s="94" t="n">
        <v>1.001484</v>
      </c>
      <c r="R110" s="94" t="n">
        <v>3</v>
      </c>
      <c r="S110" s="94" t="n">
        <v>0</v>
      </c>
      <c r="T110" s="94" t="inlineStr">
        <is>
          <t>Q4 2024 month-end addition: added from Withum PDF dated Nov 18, 2024</t>
        </is>
      </c>
    </row>
    <row r="111">
      <c r="A111" s="94" t="inlineStr">
        <is>
          <t>USDP-110</t>
        </is>
      </c>
      <c r="B111" s="94" t="inlineStr">
        <is>
          <t>July</t>
        </is>
      </c>
      <c r="C111" s="162" t="n">
        <v>45846</v>
      </c>
      <c r="D111" s="94" t="inlineStr">
        <is>
          <t>Mid-Month</t>
        </is>
      </c>
      <c r="E111" s="94" t="n">
        <v>2025</v>
      </c>
      <c r="F111" s="94" t="inlineStr">
        <is>
          <t>KPMG</t>
        </is>
      </c>
      <c r="G111" s="94" t="inlineStr">
        <is>
          <t>AICPA Examination (ISAE 3000-equivalent)</t>
        </is>
      </c>
      <c r="H111" s="94" t="inlineStr">
        <is>
          <t>Paxos Trust Company, LLC</t>
        </is>
      </c>
      <c r="I111" s="94" t="n">
        <v>69953449</v>
      </c>
      <c r="J111" s="94" t="n">
        <v>70194024</v>
      </c>
      <c r="K111" s="94" t="n">
        <v>69953449</v>
      </c>
      <c r="L111" s="94" t="n">
        <v>0</v>
      </c>
      <c r="M111" s="94" t="n">
        <v>0</v>
      </c>
      <c r="N111" s="94" t="n">
        <v>2920000</v>
      </c>
      <c r="O111" s="94" t="n">
        <v>67274024</v>
      </c>
      <c r="P111" s="94" t="n">
        <v>240575</v>
      </c>
      <c r="Q111" s="94" t="n">
        <v>1.003439</v>
      </c>
      <c r="R111" s="94" t="n">
        <v>3</v>
      </c>
      <c r="S111" s="94" t="n">
        <v>0</v>
      </c>
      <c r="T111" s="94" t="inlineStr">
        <is>
          <t>Added from KPMG PDF dated Aug 26, 2025 (July 2025 mid-month)</t>
        </is>
      </c>
    </row>
    <row r="112">
      <c r="A112" s="94" t="inlineStr">
        <is>
          <t>USDP-111</t>
        </is>
      </c>
      <c r="B112" s="94" t="inlineStr">
        <is>
          <t>July</t>
        </is>
      </c>
      <c r="C112" s="162" t="n">
        <v>45869</v>
      </c>
      <c r="D112" s="94" t="inlineStr">
        <is>
          <t>Month-End</t>
        </is>
      </c>
      <c r="E112" s="94" t="n">
        <v>2025</v>
      </c>
      <c r="F112" s="94" t="inlineStr">
        <is>
          <t>KPMG</t>
        </is>
      </c>
      <c r="G112" s="94" t="inlineStr">
        <is>
          <t>AICPA Examination (ISAE 3000-equivalent)</t>
        </is>
      </c>
      <c r="H112" s="94" t="inlineStr">
        <is>
          <t>Paxos Trust Company, LLC</t>
        </is>
      </c>
      <c r="I112" s="94" t="n">
        <v>64953459</v>
      </c>
      <c r="J112" s="94" t="n">
        <v>64963877</v>
      </c>
      <c r="K112" s="94" t="n">
        <v>64953459</v>
      </c>
      <c r="L112" s="94" t="n">
        <v>0</v>
      </c>
      <c r="M112" s="94" t="n">
        <v>0</v>
      </c>
      <c r="N112" s="94" t="n">
        <v>2914000</v>
      </c>
      <c r="O112" s="94" t="n">
        <v>62049877</v>
      </c>
      <c r="P112" s="94" t="n">
        <v>10418</v>
      </c>
      <c r="Q112" s="94" t="n">
        <v>1.00016</v>
      </c>
      <c r="R112" s="94" t="n">
        <v>3</v>
      </c>
      <c r="S112" s="94" t="n">
        <v>0</v>
      </c>
      <c r="T112" s="94" t="inlineStr">
        <is>
          <t>Q3 2025 month-end addition: added from KPMG PDF dated Aug 26, 2025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4" min="1" max="1"/>
    <col width="18" customWidth="1" style="94" min="2" max="3"/>
    <col width="10" customWidth="1" style="94" min="4" max="4"/>
    <col width="14" customWidth="1" style="94" min="5" max="6"/>
    <col width="60" customWidth="1" style="94" min="7" max="7"/>
  </cols>
  <sheetData>
    <row r="1" ht="30" customHeight="1" s="95">
      <c r="A1" s="142" t="inlineStr">
        <is>
          <t>Issuer</t>
        </is>
      </c>
      <c r="B1" s="142" t="inlineStr">
        <is>
          <t>Period</t>
        </is>
      </c>
      <c r="C1" s="142" t="inlineStr">
        <is>
          <t>Status</t>
        </is>
      </c>
      <c r="D1" s="142" t="inlineStr">
        <is>
          <t>Tier</t>
        </is>
      </c>
      <c r="E1" s="142" t="inlineStr">
        <is>
          <t>PDF_Available</t>
        </is>
      </c>
      <c r="F1" s="142" t="inlineStr">
        <is>
          <t>Data_in_Excel</t>
        </is>
      </c>
      <c r="G1" s="142" t="inlineStr">
        <is>
          <t>Notes</t>
        </is>
      </c>
    </row>
    <row r="2" ht="15" customHeight="1" s="95">
      <c r="A2" s="163" t="inlineStr">
        <is>
          <t>USDC</t>
        </is>
      </c>
      <c r="B2" s="163" t="inlineStr">
        <is>
          <t>2020-Jan</t>
        </is>
      </c>
      <c r="C2" s="163" t="inlineStr">
        <is>
          <t>✅ Complete</t>
        </is>
      </c>
      <c r="D2" s="163" t="inlineStr">
        <is>
          <t>Tier 2</t>
        </is>
      </c>
      <c r="E2" s="163" t="inlineStr">
        <is>
          <t>✅</t>
        </is>
      </c>
      <c r="F2" s="163" t="inlineStr">
        <is>
          <t>✅</t>
        </is>
      </c>
      <c r="G2" s="163" t="inlineStr">
        <is>
          <t>Exact totals, no asset breakdown</t>
        </is>
      </c>
    </row>
    <row r="3" ht="15" customHeight="1" s="95">
      <c r="A3" s="163" t="inlineStr">
        <is>
          <t>USDC</t>
        </is>
      </c>
      <c r="B3" s="163" t="inlineStr">
        <is>
          <t>2020-Feb</t>
        </is>
      </c>
      <c r="C3" s="163" t="inlineStr">
        <is>
          <t>✅ Complete</t>
        </is>
      </c>
      <c r="D3" s="163" t="inlineStr">
        <is>
          <t>Tier 2</t>
        </is>
      </c>
      <c r="E3" s="163" t="inlineStr">
        <is>
          <t>✅</t>
        </is>
      </c>
      <c r="F3" s="163" t="inlineStr">
        <is>
          <t>✅</t>
        </is>
      </c>
      <c r="G3" s="163" t="inlineStr">
        <is>
          <t>Exact totals, no asset breakdown</t>
        </is>
      </c>
    </row>
    <row r="4" ht="15" customHeight="1" s="95">
      <c r="A4" s="163" t="inlineStr">
        <is>
          <t>USDC</t>
        </is>
      </c>
      <c r="B4" s="163" t="inlineStr">
        <is>
          <t>2020-Mar</t>
        </is>
      </c>
      <c r="C4" s="163" t="inlineStr">
        <is>
          <t>✅ Complete</t>
        </is>
      </c>
      <c r="D4" s="163" t="inlineStr">
        <is>
          <t>Tier 2</t>
        </is>
      </c>
      <c r="E4" s="163" t="inlineStr">
        <is>
          <t>✅</t>
        </is>
      </c>
      <c r="F4" s="163" t="inlineStr">
        <is>
          <t>✅</t>
        </is>
      </c>
      <c r="G4" s="163" t="inlineStr">
        <is>
          <t>Exact totals, no asset breakdown</t>
        </is>
      </c>
    </row>
    <row r="5" ht="15" customHeight="1" s="95">
      <c r="A5" s="163" t="inlineStr">
        <is>
          <t>USDC</t>
        </is>
      </c>
      <c r="B5" s="163" t="inlineStr">
        <is>
          <t>2020-Apr</t>
        </is>
      </c>
      <c r="C5" s="163" t="inlineStr">
        <is>
          <t>✅ Complete</t>
        </is>
      </c>
      <c r="D5" s="163" t="inlineStr">
        <is>
          <t>Tier 2</t>
        </is>
      </c>
      <c r="E5" s="163" t="inlineStr">
        <is>
          <t>✅</t>
        </is>
      </c>
      <c r="F5" s="163" t="inlineStr">
        <is>
          <t>✅</t>
        </is>
      </c>
      <c r="G5" s="163" t="inlineStr">
        <is>
          <t>Exact totals, no asset breakdown</t>
        </is>
      </c>
    </row>
    <row r="6" ht="15" customHeight="1" s="95">
      <c r="A6" s="163" t="inlineStr">
        <is>
          <t>USDC</t>
        </is>
      </c>
      <c r="B6" s="163" t="inlineStr">
        <is>
          <t>2020-May</t>
        </is>
      </c>
      <c r="C6" s="163" t="inlineStr">
        <is>
          <t>✅ Complete</t>
        </is>
      </c>
      <c r="D6" s="163" t="inlineStr">
        <is>
          <t>Tier 2</t>
        </is>
      </c>
      <c r="E6" s="163" t="inlineStr">
        <is>
          <t>✅</t>
        </is>
      </c>
      <c r="F6" s="163" t="inlineStr">
        <is>
          <t>✅</t>
        </is>
      </c>
      <c r="G6" s="163" t="inlineStr">
        <is>
          <t>Exact totals, no asset breakdown</t>
        </is>
      </c>
    </row>
    <row r="7" ht="15" customHeight="1" s="95">
      <c r="A7" s="163" t="inlineStr">
        <is>
          <t>USDC</t>
        </is>
      </c>
      <c r="B7" s="163" t="inlineStr">
        <is>
          <t>2020-Jun</t>
        </is>
      </c>
      <c r="C7" s="163" t="inlineStr">
        <is>
          <t>✅ Complete</t>
        </is>
      </c>
      <c r="D7" s="163" t="inlineStr">
        <is>
          <t>Tier 2</t>
        </is>
      </c>
      <c r="E7" s="163" t="inlineStr">
        <is>
          <t>✅</t>
        </is>
      </c>
      <c r="F7" s="163" t="inlineStr">
        <is>
          <t>✅</t>
        </is>
      </c>
      <c r="G7" s="163" t="inlineStr">
        <is>
          <t>Exact totals, no asset breakdown</t>
        </is>
      </c>
    </row>
    <row r="8" ht="15" customHeight="1" s="95">
      <c r="A8" s="163" t="inlineStr">
        <is>
          <t>USDC</t>
        </is>
      </c>
      <c r="B8" s="163" t="inlineStr">
        <is>
          <t>2020-Jul</t>
        </is>
      </c>
      <c r="C8" s="163" t="inlineStr">
        <is>
          <t>✅ Complete</t>
        </is>
      </c>
      <c r="D8" s="163" t="inlineStr">
        <is>
          <t>Tier 2</t>
        </is>
      </c>
      <c r="E8" s="163" t="inlineStr">
        <is>
          <t>✅</t>
        </is>
      </c>
      <c r="F8" s="163" t="inlineStr">
        <is>
          <t>✅</t>
        </is>
      </c>
      <c r="G8" s="163" t="inlineStr">
        <is>
          <t>Exact totals, no asset breakdown</t>
        </is>
      </c>
    </row>
    <row r="9" ht="15" customHeight="1" s="95">
      <c r="A9" s="163" t="inlineStr">
        <is>
          <t>USDC</t>
        </is>
      </c>
      <c r="B9" s="163" t="inlineStr">
        <is>
          <t>2020-Aug</t>
        </is>
      </c>
      <c r="C9" s="163" t="inlineStr">
        <is>
          <t>✅ Complete</t>
        </is>
      </c>
      <c r="D9" s="163" t="inlineStr">
        <is>
          <t>Tier 2</t>
        </is>
      </c>
      <c r="E9" s="163" t="inlineStr">
        <is>
          <t>✅</t>
        </is>
      </c>
      <c r="F9" s="163" t="inlineStr">
        <is>
          <t>✅</t>
        </is>
      </c>
      <c r="G9" s="163" t="inlineStr">
        <is>
          <t>Exact totals, no asset breakdown</t>
        </is>
      </c>
    </row>
    <row r="10" ht="15" customHeight="1" s="95">
      <c r="A10" s="163" t="inlineStr">
        <is>
          <t>USDC</t>
        </is>
      </c>
      <c r="B10" s="163" t="inlineStr">
        <is>
          <t>2020-Sep</t>
        </is>
      </c>
      <c r="C10" s="163" t="inlineStr">
        <is>
          <t>✅ Complete</t>
        </is>
      </c>
      <c r="D10" s="163" t="inlineStr">
        <is>
          <t>Tier 2</t>
        </is>
      </c>
      <c r="E10" s="163" t="inlineStr">
        <is>
          <t>✅</t>
        </is>
      </c>
      <c r="F10" s="163" t="inlineStr">
        <is>
          <t>✅</t>
        </is>
      </c>
      <c r="G10" s="163" t="inlineStr">
        <is>
          <t>Exact totals, no asset breakdown</t>
        </is>
      </c>
    </row>
    <row r="11" ht="15" customHeight="1" s="95">
      <c r="A11" s="163" t="inlineStr">
        <is>
          <t>USDC</t>
        </is>
      </c>
      <c r="B11" s="163" t="inlineStr">
        <is>
          <t>2020-Oct</t>
        </is>
      </c>
      <c r="C11" s="163" t="inlineStr">
        <is>
          <t>✅ Complete</t>
        </is>
      </c>
      <c r="D11" s="163" t="inlineStr">
        <is>
          <t>Tier 2</t>
        </is>
      </c>
      <c r="E11" s="163" t="inlineStr">
        <is>
          <t>✅</t>
        </is>
      </c>
      <c r="F11" s="163" t="inlineStr">
        <is>
          <t>✅</t>
        </is>
      </c>
      <c r="G11" s="163" t="inlineStr">
        <is>
          <t>Exact totals, no asset breakdown</t>
        </is>
      </c>
    </row>
    <row r="12" ht="15" customHeight="1" s="95">
      <c r="A12" s="163" t="inlineStr">
        <is>
          <t>USDC</t>
        </is>
      </c>
      <c r="B12" s="163" t="inlineStr">
        <is>
          <t>2020-Nov</t>
        </is>
      </c>
      <c r="C12" s="163" t="inlineStr">
        <is>
          <t>✅ Complete</t>
        </is>
      </c>
      <c r="D12" s="163" t="inlineStr">
        <is>
          <t>Tier 2</t>
        </is>
      </c>
      <c r="E12" s="163" t="inlineStr">
        <is>
          <t>✅</t>
        </is>
      </c>
      <c r="F12" s="163" t="inlineStr">
        <is>
          <t>✅</t>
        </is>
      </c>
      <c r="G12" s="163" t="inlineStr">
        <is>
          <t>Exact totals, no asset breakdown</t>
        </is>
      </c>
    </row>
    <row r="13" ht="15" customHeight="1" s="95">
      <c r="A13" s="163" t="inlineStr">
        <is>
          <t>USDC</t>
        </is>
      </c>
      <c r="B13" s="163" t="inlineStr">
        <is>
          <t>2020-Dec</t>
        </is>
      </c>
      <c r="C13" s="163" t="inlineStr">
        <is>
          <t>✅ Complete</t>
        </is>
      </c>
      <c r="D13" s="163" t="inlineStr">
        <is>
          <t>Tier 2</t>
        </is>
      </c>
      <c r="E13" s="163" t="inlineStr">
        <is>
          <t>✅</t>
        </is>
      </c>
      <c r="F13" s="163" t="inlineStr">
        <is>
          <t>✅</t>
        </is>
      </c>
      <c r="G13" s="163" t="inlineStr">
        <is>
          <t>Exact totals, no asset breakdown</t>
        </is>
      </c>
    </row>
    <row r="14" ht="15" customHeight="1" s="95">
      <c r="A14" s="163" t="inlineStr">
        <is>
          <t>USDC</t>
        </is>
      </c>
      <c r="B14" s="163" t="inlineStr">
        <is>
          <t>2021-Jan</t>
        </is>
      </c>
      <c r="C14" s="163" t="inlineStr">
        <is>
          <t>✅ Complete</t>
        </is>
      </c>
      <c r="D14" s="163" t="inlineStr">
        <is>
          <t>Tier 2</t>
        </is>
      </c>
      <c r="E14" s="163" t="inlineStr">
        <is>
          <t>✅</t>
        </is>
      </c>
      <c r="F14" s="163" t="inlineStr">
        <is>
          <t>✅</t>
        </is>
      </c>
      <c r="G14" s="163" t="inlineStr">
        <is>
          <t>Exact totals</t>
        </is>
      </c>
    </row>
    <row r="15" ht="15" customHeight="1" s="95">
      <c r="A15" s="163" t="inlineStr">
        <is>
          <t>USDC</t>
        </is>
      </c>
      <c r="B15" s="163" t="inlineStr">
        <is>
          <t>2021-Feb</t>
        </is>
      </c>
      <c r="C15" s="163" t="inlineStr">
        <is>
          <t>✅ Complete</t>
        </is>
      </c>
      <c r="D15" s="163" t="inlineStr">
        <is>
          <t>Tier 2</t>
        </is>
      </c>
      <c r="E15" s="163" t="inlineStr">
        <is>
          <t>✅</t>
        </is>
      </c>
      <c r="F15" s="163" t="inlineStr">
        <is>
          <t>✅</t>
        </is>
      </c>
      <c r="G15" s="163" t="inlineStr">
        <is>
          <t>Exact totals</t>
        </is>
      </c>
    </row>
    <row r="16" ht="15" customHeight="1" s="95">
      <c r="A16" s="163" t="inlineStr">
        <is>
          <t>USDC</t>
        </is>
      </c>
      <c r="B16" s="163" t="inlineStr">
        <is>
          <t>2021-Mar</t>
        </is>
      </c>
      <c r="C16" s="163" t="inlineStr">
        <is>
          <t>✅ Complete</t>
        </is>
      </c>
      <c r="D16" s="163" t="inlineStr">
        <is>
          <t>Tier 1</t>
        </is>
      </c>
      <c r="E16" s="163" t="inlineStr">
        <is>
          <t>✅</t>
        </is>
      </c>
      <c r="F16" s="163" t="inlineStr">
        <is>
          <t>✅</t>
        </is>
      </c>
      <c r="G16" s="163" t="inlineStr">
        <is>
          <t>Floor only — no exact totals</t>
        </is>
      </c>
    </row>
    <row r="17" ht="15" customHeight="1" s="95">
      <c r="A17" s="163" t="inlineStr">
        <is>
          <t>USDC</t>
        </is>
      </c>
      <c r="B17" s="163" t="inlineStr">
        <is>
          <t>2021-Apr</t>
        </is>
      </c>
      <c r="C17" s="163" t="inlineStr">
        <is>
          <t>✅ Complete</t>
        </is>
      </c>
      <c r="D17" s="163" t="inlineStr">
        <is>
          <t>Tier 1</t>
        </is>
      </c>
      <c r="E17" s="163" t="inlineStr">
        <is>
          <t>✅</t>
        </is>
      </c>
      <c r="F17" s="163" t="inlineStr">
        <is>
          <t>✅</t>
        </is>
      </c>
      <c r="G17" s="163" t="inlineStr">
        <is>
          <t>Floor only — no exact totals</t>
        </is>
      </c>
    </row>
    <row r="18" ht="15" customHeight="1" s="95">
      <c r="A18" s="163" t="inlineStr">
        <is>
          <t>USDC</t>
        </is>
      </c>
      <c r="B18" s="163" t="inlineStr">
        <is>
          <t>2021-May</t>
        </is>
      </c>
      <c r="C18" s="163" t="inlineStr">
        <is>
          <t>✅ Complete</t>
        </is>
      </c>
      <c r="D18" s="163" t="inlineStr">
        <is>
          <t>Tier 2b</t>
        </is>
      </c>
      <c r="E18" s="163" t="inlineStr">
        <is>
          <t>✅</t>
        </is>
      </c>
      <c r="F18" s="163" t="inlineStr">
        <is>
          <t>✅</t>
        </is>
      </c>
      <c r="G18" s="163" t="inlineStr">
        <is>
          <t>~$bn approximate breakdown</t>
        </is>
      </c>
    </row>
    <row r="19" ht="15" customHeight="1" s="95">
      <c r="A19" s="163" t="inlineStr">
        <is>
          <t>USDC</t>
        </is>
      </c>
      <c r="B19" s="163" t="inlineStr">
        <is>
          <t>2021-Jun</t>
        </is>
      </c>
      <c r="C19" s="163" t="inlineStr">
        <is>
          <t>✅ Complete</t>
        </is>
      </c>
      <c r="D19" s="163" t="inlineStr">
        <is>
          <t>Tier 2b</t>
        </is>
      </c>
      <c r="E19" s="163" t="inlineStr">
        <is>
          <t>✅</t>
        </is>
      </c>
      <c r="F19" s="163" t="inlineStr">
        <is>
          <t>✅</t>
        </is>
      </c>
      <c r="G19" s="163" t="inlineStr">
        <is>
          <t>~$bn approximate breakdown</t>
        </is>
      </c>
    </row>
    <row r="20" ht="15" customHeight="1" s="95">
      <c r="A20" s="163" t="inlineStr">
        <is>
          <t>USDC</t>
        </is>
      </c>
      <c r="B20" s="163" t="inlineStr">
        <is>
          <t>2021-Jul</t>
        </is>
      </c>
      <c r="C20" s="163" t="inlineStr">
        <is>
          <t>✅ Complete</t>
        </is>
      </c>
      <c r="D20" s="163" t="inlineStr">
        <is>
          <t>Tier 1</t>
        </is>
      </c>
      <c r="E20" s="163" t="inlineStr">
        <is>
          <t>✅</t>
        </is>
      </c>
      <c r="F20" s="163" t="inlineStr">
        <is>
          <t>✅</t>
        </is>
      </c>
      <c r="G20" s="163" t="inlineStr">
        <is>
          <t>Floor only — no exact totals</t>
        </is>
      </c>
    </row>
    <row r="21" ht="15" customHeight="1" s="95">
      <c r="A21" s="163" t="inlineStr">
        <is>
          <t>USDC</t>
        </is>
      </c>
      <c r="B21" s="163" t="inlineStr">
        <is>
          <t>2021-Aug</t>
        </is>
      </c>
      <c r="C21" s="163" t="inlineStr">
        <is>
          <t>✅ Complete</t>
        </is>
      </c>
      <c r="D21" s="163" t="inlineStr">
        <is>
          <t>Tier 2b</t>
        </is>
      </c>
      <c r="E21" s="163" t="inlineStr">
        <is>
          <t>✅</t>
        </is>
      </c>
      <c r="F21" s="163" t="inlineStr">
        <is>
          <t>✅</t>
        </is>
      </c>
      <c r="G21" s="163" t="inlineStr">
        <is>
          <t>~$bn approximate breakdown</t>
        </is>
      </c>
    </row>
    <row r="22" ht="15" customHeight="1" s="95">
      <c r="A22" s="163" t="inlineStr">
        <is>
          <t>USDC</t>
        </is>
      </c>
      <c r="B22" s="163" t="inlineStr">
        <is>
          <t>2021-Sep</t>
        </is>
      </c>
      <c r="C22" s="163" t="inlineStr">
        <is>
          <t>✅ Complete</t>
        </is>
      </c>
      <c r="D22" s="163" t="inlineStr">
        <is>
          <t>Tier 2b</t>
        </is>
      </c>
      <c r="E22" s="163" t="inlineStr">
        <is>
          <t>✅</t>
        </is>
      </c>
      <c r="F22" s="163" t="inlineStr">
        <is>
          <t>✅</t>
        </is>
      </c>
      <c r="G22" s="163" t="inlineStr">
        <is>
          <t>~$bn approximate breakdown</t>
        </is>
      </c>
    </row>
    <row r="23" ht="15" customHeight="1" s="95">
      <c r="A23" s="163" t="inlineStr">
        <is>
          <t>USDC</t>
        </is>
      </c>
      <c r="B23" s="163" t="inlineStr">
        <is>
          <t>2021-Oct</t>
        </is>
      </c>
      <c r="C23" s="163" t="inlineStr">
        <is>
          <t>✅ Complete</t>
        </is>
      </c>
      <c r="D23" s="163" t="inlineStr">
        <is>
          <t>Tier 2b</t>
        </is>
      </c>
      <c r="E23" s="163" t="inlineStr">
        <is>
          <t>✅</t>
        </is>
      </c>
      <c r="F23" s="163" t="inlineStr">
        <is>
          <t>✅</t>
        </is>
      </c>
      <c r="G23" s="163" t="inlineStr">
        <is>
          <t>~$bn approximate breakdown</t>
        </is>
      </c>
    </row>
    <row r="24" ht="15" customHeight="1" s="95">
      <c r="A24" s="163" t="inlineStr">
        <is>
          <t>USDC</t>
        </is>
      </c>
      <c r="B24" s="163" t="inlineStr">
        <is>
          <t>2021-Nov</t>
        </is>
      </c>
      <c r="C24" s="163" t="inlineStr">
        <is>
          <t>✅ Complete</t>
        </is>
      </c>
      <c r="D24" s="163" t="inlineStr">
        <is>
          <t>Tier 1</t>
        </is>
      </c>
      <c r="E24" s="163" t="inlineStr">
        <is>
          <t>✅</t>
        </is>
      </c>
      <c r="F24" s="163" t="inlineStr">
        <is>
          <t>✅</t>
        </is>
      </c>
      <c r="G24" s="163" t="inlineStr">
        <is>
          <t>Floor only — no exact totals</t>
        </is>
      </c>
    </row>
    <row r="25" ht="15" customHeight="1" s="95">
      <c r="A25" s="163" t="inlineStr">
        <is>
          <t>USDC</t>
        </is>
      </c>
      <c r="B25" s="163" t="inlineStr">
        <is>
          <t>2021-Dec</t>
        </is>
      </c>
      <c r="C25" s="163" t="inlineStr">
        <is>
          <t>✅ Complete</t>
        </is>
      </c>
      <c r="D25" s="163" t="inlineStr">
        <is>
          <t>Tier 1</t>
        </is>
      </c>
      <c r="E25" s="163" t="inlineStr">
        <is>
          <t>✅</t>
        </is>
      </c>
      <c r="F25" s="163" t="inlineStr">
        <is>
          <t>✅</t>
        </is>
      </c>
      <c r="G25" s="163" t="inlineStr">
        <is>
          <t>Floor only — no exact totals</t>
        </is>
      </c>
    </row>
    <row r="26" ht="15" customHeight="1" s="95">
      <c r="A26" s="163" t="inlineStr">
        <is>
          <t>USDC</t>
        </is>
      </c>
      <c r="B26" s="163" t="inlineStr">
        <is>
          <t>2022-Jan</t>
        </is>
      </c>
      <c r="C26" s="163" t="inlineStr">
        <is>
          <t>✅ Complete</t>
        </is>
      </c>
      <c r="D26" s="163" t="inlineStr">
        <is>
          <t>Tier 1</t>
        </is>
      </c>
      <c r="E26" s="163" t="inlineStr">
        <is>
          <t>✅</t>
        </is>
      </c>
      <c r="F26" s="163" t="inlineStr">
        <is>
          <t>✅</t>
        </is>
      </c>
      <c r="G26" s="163" t="inlineStr">
        <is>
          <t>Floor only</t>
        </is>
      </c>
    </row>
    <row r="27" ht="15" customHeight="1" s="95">
      <c r="A27" s="163" t="inlineStr">
        <is>
          <t>USDC</t>
        </is>
      </c>
      <c r="B27" s="163" t="inlineStr">
        <is>
          <t>2022-Feb</t>
        </is>
      </c>
      <c r="C27" s="163" t="inlineStr">
        <is>
          <t>✅ Complete</t>
        </is>
      </c>
      <c r="D27" s="163" t="inlineStr">
        <is>
          <t>Tier 1</t>
        </is>
      </c>
      <c r="E27" s="163" t="inlineStr">
        <is>
          <t>✅</t>
        </is>
      </c>
      <c r="F27" s="163" t="inlineStr">
        <is>
          <t>✅</t>
        </is>
      </c>
      <c r="G27" s="163" t="inlineStr">
        <is>
          <t>Floor only</t>
        </is>
      </c>
    </row>
    <row r="28" ht="15" customHeight="1" s="95">
      <c r="A28" s="163" t="inlineStr">
        <is>
          <t>USDC</t>
        </is>
      </c>
      <c r="B28" s="163" t="inlineStr">
        <is>
          <t>2022-Mar</t>
        </is>
      </c>
      <c r="C28" s="163" t="inlineStr">
        <is>
          <t>✅ Complete</t>
        </is>
      </c>
      <c r="D28" s="163" t="inlineStr">
        <is>
          <t>Tier 1</t>
        </is>
      </c>
      <c r="E28" s="163" t="inlineStr">
        <is>
          <t>✅</t>
        </is>
      </c>
      <c r="F28" s="163" t="inlineStr">
        <is>
          <t>✅</t>
        </is>
      </c>
      <c r="G28" s="163" t="inlineStr">
        <is>
          <t>Floor only</t>
        </is>
      </c>
    </row>
    <row r="29" ht="15" customHeight="1" s="95">
      <c r="A29" s="163" t="inlineStr">
        <is>
          <t>USDC</t>
        </is>
      </c>
      <c r="B29" s="163" t="inlineStr">
        <is>
          <t>2022-Apr</t>
        </is>
      </c>
      <c r="C29" s="163" t="inlineStr">
        <is>
          <t>✅ Complete</t>
        </is>
      </c>
      <c r="D29" s="163" t="inlineStr">
        <is>
          <t>Tier 1</t>
        </is>
      </c>
      <c r="E29" s="163" t="inlineStr">
        <is>
          <t>✅</t>
        </is>
      </c>
      <c r="F29" s="163" t="inlineStr">
        <is>
          <t>✅</t>
        </is>
      </c>
      <c r="G29" s="163" t="inlineStr">
        <is>
          <t>Floor only</t>
        </is>
      </c>
    </row>
    <row r="30" ht="15" customHeight="1" s="95">
      <c r="A30" s="163" t="inlineStr">
        <is>
          <t>USDC</t>
        </is>
      </c>
      <c r="B30" s="163" t="inlineStr">
        <is>
          <t>2022-May</t>
        </is>
      </c>
      <c r="C30" s="163" t="inlineStr">
        <is>
          <t>✅ Complete</t>
        </is>
      </c>
      <c r="D30" s="163" t="inlineStr">
        <is>
          <t>Tier 1</t>
        </is>
      </c>
      <c r="E30" s="163" t="inlineStr">
        <is>
          <t>✅</t>
        </is>
      </c>
      <c r="F30" s="163" t="inlineStr">
        <is>
          <t>✅</t>
        </is>
      </c>
      <c r="G30" s="163" t="inlineStr">
        <is>
          <t>Floor only</t>
        </is>
      </c>
    </row>
    <row r="31" ht="15" customHeight="1" s="95">
      <c r="A31" s="163" t="inlineStr">
        <is>
          <t>USDC</t>
        </is>
      </c>
      <c r="B31" s="163" t="inlineStr">
        <is>
          <t>2022-Jun</t>
        </is>
      </c>
      <c r="C31" s="163" t="inlineStr">
        <is>
          <t>✅ Complete</t>
        </is>
      </c>
      <c r="D31" s="163" t="inlineStr">
        <is>
          <t>Tier 1</t>
        </is>
      </c>
      <c r="E31" s="163" t="inlineStr">
        <is>
          <t>✅</t>
        </is>
      </c>
      <c r="F31" s="163" t="inlineStr">
        <is>
          <t>✅</t>
        </is>
      </c>
      <c r="G31" s="163" t="inlineStr">
        <is>
          <t>Floor only</t>
        </is>
      </c>
    </row>
    <row r="32" ht="15" customHeight="1" s="95">
      <c r="A32" s="163" t="inlineStr">
        <is>
          <t>USDC</t>
        </is>
      </c>
      <c r="B32" s="163" t="inlineStr">
        <is>
          <t>2022-Jul</t>
        </is>
      </c>
      <c r="C32" s="163" t="inlineStr">
        <is>
          <t>✅ Complete</t>
        </is>
      </c>
      <c r="D32" s="163" t="inlineStr">
        <is>
          <t>Tier 3</t>
        </is>
      </c>
      <c r="E32" s="163" t="inlineStr">
        <is>
          <t>✅</t>
        </is>
      </c>
      <c r="F32" s="163" t="inlineStr">
        <is>
          <t>✅</t>
        </is>
      </c>
      <c r="G32" s="163" t="inlineStr">
        <is>
          <t>Full itemized; Circle Reserve Fund introduced Nov 2022</t>
        </is>
      </c>
    </row>
    <row r="33" ht="15" customHeight="1" s="95">
      <c r="A33" s="163" t="inlineStr">
        <is>
          <t>USDC</t>
        </is>
      </c>
      <c r="B33" s="163" t="inlineStr">
        <is>
          <t>2022-Aug</t>
        </is>
      </c>
      <c r="C33" s="163" t="inlineStr">
        <is>
          <t>✅ Complete</t>
        </is>
      </c>
      <c r="D33" s="163" t="inlineStr">
        <is>
          <t>Tier 3</t>
        </is>
      </c>
      <c r="E33" s="163" t="inlineStr">
        <is>
          <t>✅</t>
        </is>
      </c>
      <c r="F33" s="163" t="inlineStr">
        <is>
          <t>✅</t>
        </is>
      </c>
      <c r="G33" s="163" t="inlineStr">
        <is>
          <t>Full itemized; Circle Reserve Fund introduced Nov 2022</t>
        </is>
      </c>
    </row>
    <row r="34" ht="15" customHeight="1" s="95">
      <c r="A34" s="163" t="inlineStr">
        <is>
          <t>USDC</t>
        </is>
      </c>
      <c r="B34" s="163" t="inlineStr">
        <is>
          <t>2022-Sep</t>
        </is>
      </c>
      <c r="C34" s="163" t="inlineStr">
        <is>
          <t>✅ Complete</t>
        </is>
      </c>
      <c r="D34" s="163" t="inlineStr">
        <is>
          <t>Tier 3</t>
        </is>
      </c>
      <c r="E34" s="163" t="inlineStr">
        <is>
          <t>✅</t>
        </is>
      </c>
      <c r="F34" s="163" t="inlineStr">
        <is>
          <t>✅</t>
        </is>
      </c>
      <c r="G34" s="163" t="inlineStr">
        <is>
          <t>Full itemized; Circle Reserve Fund introduced Nov 2022</t>
        </is>
      </c>
    </row>
    <row r="35" ht="15" customHeight="1" s="95">
      <c r="A35" s="163" t="inlineStr">
        <is>
          <t>USDC</t>
        </is>
      </c>
      <c r="B35" s="163" t="inlineStr">
        <is>
          <t>2022-Oct</t>
        </is>
      </c>
      <c r="C35" s="163" t="inlineStr">
        <is>
          <t>✅ Complete</t>
        </is>
      </c>
      <c r="D35" s="163" t="inlineStr">
        <is>
          <t>Tier 3</t>
        </is>
      </c>
      <c r="E35" s="163" t="inlineStr">
        <is>
          <t>✅</t>
        </is>
      </c>
      <c r="F35" s="163" t="inlineStr">
        <is>
          <t>✅</t>
        </is>
      </c>
      <c r="G35" s="163" t="inlineStr">
        <is>
          <t>Full itemized; Circle Reserve Fund introduced Nov 2022</t>
        </is>
      </c>
    </row>
    <row r="36" ht="15" customHeight="1" s="95">
      <c r="A36" s="163" t="inlineStr">
        <is>
          <t>USDC</t>
        </is>
      </c>
      <c r="B36" s="163" t="inlineStr">
        <is>
          <t>2022-Nov</t>
        </is>
      </c>
      <c r="C36" s="163" t="inlineStr">
        <is>
          <t>✅ Complete</t>
        </is>
      </c>
      <c r="D36" s="163" t="inlineStr">
        <is>
          <t>Tier 3</t>
        </is>
      </c>
      <c r="E36" s="163" t="inlineStr">
        <is>
          <t>✅</t>
        </is>
      </c>
      <c r="F36" s="163" t="inlineStr">
        <is>
          <t>✅</t>
        </is>
      </c>
      <c r="G36" s="163" t="inlineStr">
        <is>
          <t>Full itemized; Circle Reserve Fund introduced Nov 2022</t>
        </is>
      </c>
    </row>
    <row r="37" ht="15" customHeight="1" s="95">
      <c r="A37" s="163" t="inlineStr">
        <is>
          <t>USDC</t>
        </is>
      </c>
      <c r="B37" s="163" t="inlineStr">
        <is>
          <t>2022-Dec</t>
        </is>
      </c>
      <c r="C37" s="163" t="inlineStr">
        <is>
          <t>✅ Complete</t>
        </is>
      </c>
      <c r="D37" s="163" t="inlineStr">
        <is>
          <t>Tier 3</t>
        </is>
      </c>
      <c r="E37" s="163" t="inlineStr">
        <is>
          <t>✅</t>
        </is>
      </c>
      <c r="F37" s="163" t="inlineStr">
        <is>
          <t>✅</t>
        </is>
      </c>
      <c r="G37" s="163" t="inlineStr">
        <is>
          <t>Full itemized; Circle Reserve Fund introduced Nov 2022</t>
        </is>
      </c>
    </row>
    <row r="38" ht="15" customHeight="1" s="95">
      <c r="A38" s="163" t="inlineStr">
        <is>
          <t>USDC</t>
        </is>
      </c>
      <c r="B38" s="163" t="inlineStr">
        <is>
          <t>2023-Jan</t>
        </is>
      </c>
      <c r="C38" s="163" t="inlineStr">
        <is>
          <t>✅ Complete</t>
        </is>
      </c>
      <c r="D38" s="163" t="inlineStr">
        <is>
          <t>Tier 3</t>
        </is>
      </c>
      <c r="E38" s="163" t="inlineStr">
        <is>
          <t>✅</t>
        </is>
      </c>
      <c r="F38" s="163" t="inlineStr">
        <is>
          <t>✅</t>
        </is>
      </c>
      <c r="G38" s="163" t="inlineStr">
        <is>
          <t>Dual dates (mid-month + month-end)</t>
        </is>
      </c>
    </row>
    <row r="39" ht="15" customHeight="1" s="95">
      <c r="A39" s="163" t="inlineStr">
        <is>
          <t>USDC</t>
        </is>
      </c>
      <c r="B39" s="163" t="inlineStr">
        <is>
          <t>2023-Feb</t>
        </is>
      </c>
      <c r="C39" s="163" t="inlineStr">
        <is>
          <t>✅ Complete</t>
        </is>
      </c>
      <c r="D39" s="163" t="inlineStr">
        <is>
          <t>Tier 3</t>
        </is>
      </c>
      <c r="E39" s="163" t="inlineStr">
        <is>
          <t>✅</t>
        </is>
      </c>
      <c r="F39" s="163" t="inlineStr">
        <is>
          <t>✅</t>
        </is>
      </c>
      <c r="G39" s="163" t="inlineStr">
        <is>
          <t>Dual dates (mid-month + month-end)</t>
        </is>
      </c>
    </row>
    <row r="40" ht="15" customHeight="1" s="95">
      <c r="A40" s="163" t="inlineStr">
        <is>
          <t>USDC</t>
        </is>
      </c>
      <c r="B40" s="163" t="inlineStr">
        <is>
          <t>2023-Mar</t>
        </is>
      </c>
      <c r="C40" s="163" t="inlineStr">
        <is>
          <t>✅ Complete</t>
        </is>
      </c>
      <c r="D40" s="163" t="inlineStr">
        <is>
          <t>Tier 3</t>
        </is>
      </c>
      <c r="E40" s="163" t="inlineStr">
        <is>
          <t>✅</t>
        </is>
      </c>
      <c r="F40" s="163" t="inlineStr">
        <is>
          <t>✅</t>
        </is>
      </c>
      <c r="G40" s="163" t="inlineStr">
        <is>
          <t>Dual dates (mid-month + month-end)</t>
        </is>
      </c>
    </row>
    <row r="41" ht="15" customHeight="1" s="95">
      <c r="A41" s="163" t="inlineStr">
        <is>
          <t>USDC</t>
        </is>
      </c>
      <c r="B41" s="163" t="inlineStr">
        <is>
          <t>2023-Apr</t>
        </is>
      </c>
      <c r="C41" s="163" t="inlineStr">
        <is>
          <t>✅ Complete</t>
        </is>
      </c>
      <c r="D41" s="163" t="inlineStr">
        <is>
          <t>Tier 3</t>
        </is>
      </c>
      <c r="E41" s="163" t="inlineStr">
        <is>
          <t>✅</t>
        </is>
      </c>
      <c r="F41" s="163" t="inlineStr">
        <is>
          <t>✅</t>
        </is>
      </c>
      <c r="G41" s="163" t="inlineStr">
        <is>
          <t>Dual dates (mid-month + month-end)</t>
        </is>
      </c>
    </row>
    <row r="42" ht="27.75" customHeight="1" s="95">
      <c r="A42" s="163" t="inlineStr">
        <is>
          <t>USDC</t>
        </is>
      </c>
      <c r="B42" s="163" t="inlineStr">
        <is>
          <t>2023-May</t>
        </is>
      </c>
      <c r="C42" s="163" t="inlineStr">
        <is>
          <t>✅ Complete (NEW)</t>
        </is>
      </c>
      <c r="D42" s="163" t="inlineStr">
        <is>
          <t>Tier 3</t>
        </is>
      </c>
      <c r="E42" s="163" t="inlineStr">
        <is>
          <t>✅</t>
        </is>
      </c>
      <c r="F42" s="163" t="inlineStr">
        <is>
          <t>✅</t>
        </is>
      </c>
      <c r="G42" s="163" t="inlineStr">
        <is>
          <t>NEWLY ADDED. May 31 shows zero T-bills / 100% repos — original inflection point</t>
        </is>
      </c>
    </row>
    <row r="43" ht="15" customHeight="1" s="95">
      <c r="A43" s="163" t="inlineStr">
        <is>
          <t>USDC</t>
        </is>
      </c>
      <c r="B43" s="163" t="inlineStr">
        <is>
          <t>2023-Jun</t>
        </is>
      </c>
      <c r="C43" s="163" t="inlineStr">
        <is>
          <t>✅ Complete</t>
        </is>
      </c>
      <c r="D43" s="163" t="inlineStr">
        <is>
          <t>Tier 3</t>
        </is>
      </c>
      <c r="E43" s="163" t="inlineStr">
        <is>
          <t>✅</t>
        </is>
      </c>
      <c r="F43" s="163" t="inlineStr">
        <is>
          <t>✅</t>
        </is>
      </c>
      <c r="G43" s="163" t="inlineStr">
        <is>
          <t>Dual dates (mid-month + month-end)</t>
        </is>
      </c>
    </row>
    <row r="44" ht="15" customHeight="1" s="95">
      <c r="A44" s="163" t="inlineStr">
        <is>
          <t>USDC</t>
        </is>
      </c>
      <c r="B44" s="163" t="inlineStr">
        <is>
          <t>2023-Jul</t>
        </is>
      </c>
      <c r="C44" s="163" t="inlineStr">
        <is>
          <t>✅ Complete</t>
        </is>
      </c>
      <c r="D44" s="163" t="inlineStr">
        <is>
          <t>Tier 3</t>
        </is>
      </c>
      <c r="E44" s="163" t="inlineStr">
        <is>
          <t>✅</t>
        </is>
      </c>
      <c r="F44" s="163" t="inlineStr">
        <is>
          <t>✅</t>
        </is>
      </c>
      <c r="G44" s="163" t="inlineStr">
        <is>
          <t>Dual dates (mid-month + month-end)</t>
        </is>
      </c>
    </row>
    <row r="45" ht="15" customHeight="1" s="95">
      <c r="A45" s="163" t="inlineStr">
        <is>
          <t>USDC</t>
        </is>
      </c>
      <c r="B45" s="163" t="inlineStr">
        <is>
          <t>2023-Aug</t>
        </is>
      </c>
      <c r="C45" s="163" t="inlineStr">
        <is>
          <t>✅ Complete</t>
        </is>
      </c>
      <c r="D45" s="163" t="inlineStr">
        <is>
          <t>Tier 3</t>
        </is>
      </c>
      <c r="E45" s="163" t="inlineStr">
        <is>
          <t>✅</t>
        </is>
      </c>
      <c r="F45" s="163" t="inlineStr">
        <is>
          <t>✅</t>
        </is>
      </c>
      <c r="G45" s="163" t="inlineStr">
        <is>
          <t>Dual dates (mid-month + month-end)</t>
        </is>
      </c>
    </row>
    <row r="46" ht="15" customHeight="1" s="95">
      <c r="A46" s="163" t="inlineStr">
        <is>
          <t>USDC</t>
        </is>
      </c>
      <c r="B46" s="163" t="inlineStr">
        <is>
          <t>2023-Sep</t>
        </is>
      </c>
      <c r="C46" s="163" t="inlineStr">
        <is>
          <t>✅ Complete</t>
        </is>
      </c>
      <c r="D46" s="163" t="inlineStr">
        <is>
          <t>Tier 3</t>
        </is>
      </c>
      <c r="E46" s="163" t="inlineStr">
        <is>
          <t>✅</t>
        </is>
      </c>
      <c r="F46" s="163" t="inlineStr">
        <is>
          <t>✅</t>
        </is>
      </c>
      <c r="G46" s="163" t="inlineStr">
        <is>
          <t>Dual dates (mid-month + month-end)</t>
        </is>
      </c>
    </row>
    <row r="47" ht="15" customHeight="1" s="95">
      <c r="A47" s="163" t="inlineStr">
        <is>
          <t>USDC</t>
        </is>
      </c>
      <c r="B47" s="163" t="inlineStr">
        <is>
          <t>2023-Oct</t>
        </is>
      </c>
      <c r="C47" s="163" t="inlineStr">
        <is>
          <t>✅ Complete</t>
        </is>
      </c>
      <c r="D47" s="163" t="inlineStr">
        <is>
          <t>Tier 3</t>
        </is>
      </c>
      <c r="E47" s="163" t="inlineStr">
        <is>
          <t>✅</t>
        </is>
      </c>
      <c r="F47" s="163" t="inlineStr">
        <is>
          <t>✅</t>
        </is>
      </c>
      <c r="G47" s="163" t="inlineStr">
        <is>
          <t>Dual dates (mid-month + month-end)</t>
        </is>
      </c>
    </row>
    <row r="48" ht="15" customHeight="1" s="95">
      <c r="A48" s="163" t="inlineStr">
        <is>
          <t>USDC</t>
        </is>
      </c>
      <c r="B48" s="163" t="inlineStr">
        <is>
          <t>2023-Nov</t>
        </is>
      </c>
      <c r="C48" s="163" t="inlineStr">
        <is>
          <t>✅ Complete</t>
        </is>
      </c>
      <c r="D48" s="163" t="inlineStr">
        <is>
          <t>Tier 3</t>
        </is>
      </c>
      <c r="E48" s="163" t="inlineStr">
        <is>
          <t>✅</t>
        </is>
      </c>
      <c r="F48" s="163" t="inlineStr">
        <is>
          <t>✅</t>
        </is>
      </c>
      <c r="G48" s="163" t="inlineStr">
        <is>
          <t>Dual dates (mid-month + month-end)</t>
        </is>
      </c>
    </row>
    <row r="49" ht="15" customHeight="1" s="95">
      <c r="A49" s="163" t="inlineStr">
        <is>
          <t>USDC</t>
        </is>
      </c>
      <c r="B49" s="163" t="inlineStr">
        <is>
          <t>2023-Dec</t>
        </is>
      </c>
      <c r="C49" s="163" t="inlineStr">
        <is>
          <t>✅ Complete</t>
        </is>
      </c>
      <c r="D49" s="163" t="inlineStr">
        <is>
          <t>Tier 3</t>
        </is>
      </c>
      <c r="E49" s="163" t="inlineStr">
        <is>
          <t>✅</t>
        </is>
      </c>
      <c r="F49" s="163" t="inlineStr">
        <is>
          <t>✅</t>
        </is>
      </c>
      <c r="G49" s="163" t="inlineStr">
        <is>
          <t>Dual dates (mid-month + month-end)</t>
        </is>
      </c>
    </row>
    <row r="50" ht="15" customHeight="1" s="95">
      <c r="A50" s="163" t="inlineStr">
        <is>
          <t>USDC</t>
        </is>
      </c>
      <c r="B50" s="163" t="inlineStr">
        <is>
          <t>2024-Jan</t>
        </is>
      </c>
      <c r="C50" s="163" t="inlineStr">
        <is>
          <t>✅ Complete</t>
        </is>
      </c>
      <c r="D50" s="163" t="inlineStr">
        <is>
          <t>Tier 3</t>
        </is>
      </c>
      <c r="E50" s="163" t="inlineStr">
        <is>
          <t>✅</t>
        </is>
      </c>
      <c r="F50" s="163" t="inlineStr">
        <is>
          <t>✅</t>
        </is>
      </c>
      <c r="G50" s="163" t="inlineStr">
        <is>
          <t>Dual dates</t>
        </is>
      </c>
    </row>
    <row r="51" ht="15" customHeight="1" s="95">
      <c r="A51" s="163" t="inlineStr">
        <is>
          <t>USDC</t>
        </is>
      </c>
      <c r="B51" s="163" t="inlineStr">
        <is>
          <t>2024-Feb</t>
        </is>
      </c>
      <c r="C51" s="163" t="inlineStr">
        <is>
          <t>✅ Complete</t>
        </is>
      </c>
      <c r="D51" s="163" t="inlineStr">
        <is>
          <t>Tier 3</t>
        </is>
      </c>
      <c r="E51" s="163" t="inlineStr">
        <is>
          <t>✅</t>
        </is>
      </c>
      <c r="F51" s="163" t="inlineStr">
        <is>
          <t>✅</t>
        </is>
      </c>
      <c r="G51" s="163" t="inlineStr">
        <is>
          <t>Dual dates</t>
        </is>
      </c>
    </row>
    <row r="52" ht="15" customHeight="1" s="95">
      <c r="A52" s="163" t="inlineStr">
        <is>
          <t>USDC</t>
        </is>
      </c>
      <c r="B52" s="163" t="inlineStr">
        <is>
          <t>2024-Mar</t>
        </is>
      </c>
      <c r="C52" s="163" t="inlineStr">
        <is>
          <t>✅ Complete</t>
        </is>
      </c>
      <c r="D52" s="163" t="inlineStr">
        <is>
          <t>Tier 3</t>
        </is>
      </c>
      <c r="E52" s="163" t="inlineStr">
        <is>
          <t>✅</t>
        </is>
      </c>
      <c r="F52" s="163" t="inlineStr">
        <is>
          <t>✅</t>
        </is>
      </c>
      <c r="G52" s="163" t="inlineStr">
        <is>
          <t>Dual dates</t>
        </is>
      </c>
    </row>
    <row r="53" ht="15" customHeight="1" s="95">
      <c r="A53" s="163" t="inlineStr">
        <is>
          <t>USDC</t>
        </is>
      </c>
      <c r="B53" s="163" t="inlineStr">
        <is>
          <t>2024-Apr</t>
        </is>
      </c>
      <c r="C53" s="163" t="inlineStr">
        <is>
          <t>✅ Complete</t>
        </is>
      </c>
      <c r="D53" s="163" t="inlineStr">
        <is>
          <t>Tier 3</t>
        </is>
      </c>
      <c r="E53" s="163" t="inlineStr">
        <is>
          <t>✅</t>
        </is>
      </c>
      <c r="F53" s="163" t="inlineStr">
        <is>
          <t>✅</t>
        </is>
      </c>
      <c r="G53" s="163" t="inlineStr">
        <is>
          <t>Dual dates</t>
        </is>
      </c>
    </row>
    <row r="54" ht="15" customHeight="1" s="95">
      <c r="A54" s="163" t="inlineStr">
        <is>
          <t>USDC</t>
        </is>
      </c>
      <c r="B54" s="163" t="inlineStr">
        <is>
          <t>2024-May</t>
        </is>
      </c>
      <c r="C54" s="163" t="inlineStr">
        <is>
          <t>✅ Complete</t>
        </is>
      </c>
      <c r="D54" s="163" t="inlineStr">
        <is>
          <t>Tier 3</t>
        </is>
      </c>
      <c r="E54" s="163" t="inlineStr">
        <is>
          <t>✅</t>
        </is>
      </c>
      <c r="F54" s="163" t="inlineStr">
        <is>
          <t>✅</t>
        </is>
      </c>
      <c r="G54" s="163" t="inlineStr">
        <is>
          <t>Dual dates</t>
        </is>
      </c>
    </row>
    <row r="55" ht="15" customHeight="1" s="95">
      <c r="A55" s="163" t="inlineStr">
        <is>
          <t>USDC</t>
        </is>
      </c>
      <c r="B55" s="163" t="inlineStr">
        <is>
          <t>2024-Jun</t>
        </is>
      </c>
      <c r="C55" s="163" t="inlineStr">
        <is>
          <t>✅ Complete</t>
        </is>
      </c>
      <c r="D55" s="163" t="inlineStr">
        <is>
          <t>Tier 3</t>
        </is>
      </c>
      <c r="E55" s="163" t="inlineStr">
        <is>
          <t>✅</t>
        </is>
      </c>
      <c r="F55" s="163" t="inlineStr">
        <is>
          <t>✅</t>
        </is>
      </c>
      <c r="G55" s="163" t="inlineStr">
        <is>
          <t>Dual dates</t>
        </is>
      </c>
    </row>
    <row r="56" ht="15" customHeight="1" s="95">
      <c r="A56" s="163" t="inlineStr">
        <is>
          <t>USDC</t>
        </is>
      </c>
      <c r="B56" s="163" t="inlineStr">
        <is>
          <t>2024-Jul</t>
        </is>
      </c>
      <c r="C56" s="163" t="inlineStr">
        <is>
          <t>✅ Complete</t>
        </is>
      </c>
      <c r="D56" s="163" t="inlineStr">
        <is>
          <t>Tier 3</t>
        </is>
      </c>
      <c r="E56" s="163" t="inlineStr">
        <is>
          <t>✅</t>
        </is>
      </c>
      <c r="F56" s="163" t="inlineStr">
        <is>
          <t>✅</t>
        </is>
      </c>
      <c r="G56" s="163" t="inlineStr">
        <is>
          <t>Dual dates</t>
        </is>
      </c>
    </row>
    <row r="57" ht="15" customHeight="1" s="95">
      <c r="A57" s="163" t="inlineStr">
        <is>
          <t>USDC</t>
        </is>
      </c>
      <c r="B57" s="163" t="inlineStr">
        <is>
          <t>2024-Aug</t>
        </is>
      </c>
      <c r="C57" s="163" t="inlineStr">
        <is>
          <t>✅ Complete</t>
        </is>
      </c>
      <c r="D57" s="163" t="inlineStr">
        <is>
          <t>Tier 3</t>
        </is>
      </c>
      <c r="E57" s="163" t="inlineStr">
        <is>
          <t>✅</t>
        </is>
      </c>
      <c r="F57" s="163" t="inlineStr">
        <is>
          <t>✅</t>
        </is>
      </c>
      <c r="G57" s="163" t="inlineStr">
        <is>
          <t>Dual dates</t>
        </is>
      </c>
    </row>
    <row r="58" ht="15" customHeight="1" s="95">
      <c r="A58" s="163" t="inlineStr">
        <is>
          <t>USDC</t>
        </is>
      </c>
      <c r="B58" s="163" t="inlineStr">
        <is>
          <t>2024-Sep</t>
        </is>
      </c>
      <c r="C58" s="163" t="inlineStr">
        <is>
          <t>✅ Complete</t>
        </is>
      </c>
      <c r="D58" s="163" t="inlineStr">
        <is>
          <t>Tier 3</t>
        </is>
      </c>
      <c r="E58" s="163" t="inlineStr">
        <is>
          <t>✅</t>
        </is>
      </c>
      <c r="F58" s="163" t="inlineStr">
        <is>
          <t>✅</t>
        </is>
      </c>
      <c r="G58" s="163" t="inlineStr">
        <is>
          <t>Dual dates</t>
        </is>
      </c>
    </row>
    <row r="59" ht="15" customHeight="1" s="95">
      <c r="A59" s="163" t="inlineStr">
        <is>
          <t>USDC</t>
        </is>
      </c>
      <c r="B59" s="163" t="inlineStr">
        <is>
          <t>2024-Oct</t>
        </is>
      </c>
      <c r="C59" s="163" t="inlineStr">
        <is>
          <t>✅ Complete</t>
        </is>
      </c>
      <c r="D59" s="163" t="inlineStr">
        <is>
          <t>Tier 3</t>
        </is>
      </c>
      <c r="E59" s="163" t="inlineStr">
        <is>
          <t>✅</t>
        </is>
      </c>
      <c r="F59" s="163" t="inlineStr">
        <is>
          <t>✅</t>
        </is>
      </c>
      <c r="G59" s="163" t="inlineStr">
        <is>
          <t>Dual dates</t>
        </is>
      </c>
    </row>
    <row r="60" ht="15" customHeight="1" s="95">
      <c r="A60" s="163" t="inlineStr">
        <is>
          <t>USDC</t>
        </is>
      </c>
      <c r="B60" s="163" t="inlineStr">
        <is>
          <t>2024-Nov</t>
        </is>
      </c>
      <c r="C60" s="163" t="inlineStr">
        <is>
          <t>✅ Complete</t>
        </is>
      </c>
      <c r="D60" s="163" t="inlineStr">
        <is>
          <t>Tier 3</t>
        </is>
      </c>
      <c r="E60" s="163" t="inlineStr">
        <is>
          <t>✅</t>
        </is>
      </c>
      <c r="F60" s="163" t="inlineStr">
        <is>
          <t>✅</t>
        </is>
      </c>
      <c r="G60" s="163" t="inlineStr">
        <is>
          <t>Dual dates</t>
        </is>
      </c>
    </row>
    <row r="61" ht="15" customHeight="1" s="95">
      <c r="A61" s="163" t="inlineStr">
        <is>
          <t>USDC</t>
        </is>
      </c>
      <c r="B61" s="163" t="inlineStr">
        <is>
          <t>2024-Dec</t>
        </is>
      </c>
      <c r="C61" s="163" t="inlineStr">
        <is>
          <t>✅ Complete</t>
        </is>
      </c>
      <c r="D61" s="163" t="inlineStr">
        <is>
          <t>Tier 3</t>
        </is>
      </c>
      <c r="E61" s="163" t="inlineStr">
        <is>
          <t>✅</t>
        </is>
      </c>
      <c r="F61" s="163" t="inlineStr">
        <is>
          <t>✅</t>
        </is>
      </c>
      <c r="G61" s="163" t="inlineStr">
        <is>
          <t>Dual dates</t>
        </is>
      </c>
    </row>
    <row r="62" ht="15" customHeight="1" s="95">
      <c r="A62" s="163" t="inlineStr">
        <is>
          <t>USDC</t>
        </is>
      </c>
      <c r="B62" s="163" t="inlineStr">
        <is>
          <t>2025-Jan</t>
        </is>
      </c>
      <c r="C62" s="163" t="inlineStr">
        <is>
          <t>✅ Complete</t>
        </is>
      </c>
      <c r="D62" s="163" t="inlineStr">
        <is>
          <t>Tier 3</t>
        </is>
      </c>
      <c r="E62" s="163" t="inlineStr">
        <is>
          <t>✅</t>
        </is>
      </c>
      <c r="F62" s="163" t="inlineStr">
        <is>
          <t>✅</t>
        </is>
      </c>
      <c r="G62" s="163" t="inlineStr">
        <is>
          <t>Dual dates; Deloitte auditor, Circle Internet Group</t>
        </is>
      </c>
    </row>
    <row r="63" ht="15" customHeight="1" s="95">
      <c r="A63" s="163" t="inlineStr">
        <is>
          <t>USDC</t>
        </is>
      </c>
      <c r="B63" s="163" t="inlineStr">
        <is>
          <t>2025-Feb</t>
        </is>
      </c>
      <c r="C63" s="163" t="inlineStr">
        <is>
          <t>✅ Complete</t>
        </is>
      </c>
      <c r="D63" s="163" t="inlineStr">
        <is>
          <t>Tier 3</t>
        </is>
      </c>
      <c r="E63" s="163" t="inlineStr">
        <is>
          <t>✅</t>
        </is>
      </c>
      <c r="F63" s="163" t="inlineStr">
        <is>
          <t>✅</t>
        </is>
      </c>
      <c r="G63" s="163" t="inlineStr">
        <is>
          <t>Dual dates; Deloitte auditor, Circle Internet Group</t>
        </is>
      </c>
    </row>
    <row r="64" ht="15" customHeight="1" s="95">
      <c r="A64" s="163" t="inlineStr">
        <is>
          <t>USDC</t>
        </is>
      </c>
      <c r="B64" s="163" t="inlineStr">
        <is>
          <t>2025-Mar</t>
        </is>
      </c>
      <c r="C64" s="163" t="inlineStr">
        <is>
          <t>✅ Complete</t>
        </is>
      </c>
      <c r="D64" s="163" t="inlineStr">
        <is>
          <t>Tier 3</t>
        </is>
      </c>
      <c r="E64" s="163" t="inlineStr">
        <is>
          <t>✅</t>
        </is>
      </c>
      <c r="F64" s="163" t="inlineStr">
        <is>
          <t>✅</t>
        </is>
      </c>
      <c r="G64" s="163" t="inlineStr">
        <is>
          <t>Dual dates; Deloitte auditor, Circle Internet Group</t>
        </is>
      </c>
    </row>
    <row r="65" ht="15" customHeight="1" s="95">
      <c r="A65" s="163" t="inlineStr">
        <is>
          <t>USDC</t>
        </is>
      </c>
      <c r="B65" s="163" t="inlineStr">
        <is>
          <t>2025-Apr</t>
        </is>
      </c>
      <c r="C65" s="163" t="inlineStr">
        <is>
          <t>✅ Complete</t>
        </is>
      </c>
      <c r="D65" s="163" t="inlineStr">
        <is>
          <t>Tier 3</t>
        </is>
      </c>
      <c r="E65" s="163" t="inlineStr">
        <is>
          <t>✅</t>
        </is>
      </c>
      <c r="F65" s="163" t="inlineStr">
        <is>
          <t>✅</t>
        </is>
      </c>
      <c r="G65" s="163" t="inlineStr">
        <is>
          <t>Dual dates; Deloitte auditor, Circle Internet Group</t>
        </is>
      </c>
    </row>
    <row r="66" ht="15" customHeight="1" s="95">
      <c r="A66" s="163" t="inlineStr">
        <is>
          <t>USDC</t>
        </is>
      </c>
      <c r="B66" s="163" t="inlineStr">
        <is>
          <t>2025-May</t>
        </is>
      </c>
      <c r="C66" s="163" t="inlineStr">
        <is>
          <t>✅ Complete</t>
        </is>
      </c>
      <c r="D66" s="163" t="inlineStr">
        <is>
          <t>Tier 3</t>
        </is>
      </c>
      <c r="E66" s="163" t="inlineStr">
        <is>
          <t>✅</t>
        </is>
      </c>
      <c r="F66" s="163" t="inlineStr">
        <is>
          <t>✅</t>
        </is>
      </c>
      <c r="G66" s="163" t="inlineStr">
        <is>
          <t>Dual dates; Deloitte auditor, Circle Internet Group</t>
        </is>
      </c>
    </row>
    <row r="67" ht="15" customHeight="1" s="95">
      <c r="A67" s="163" t="inlineStr">
        <is>
          <t>USDC</t>
        </is>
      </c>
      <c r="B67" s="163" t="inlineStr">
        <is>
          <t>2025-Jun</t>
        </is>
      </c>
      <c r="C67" s="163" t="inlineStr">
        <is>
          <t>✅ Complete</t>
        </is>
      </c>
      <c r="D67" s="163" t="inlineStr">
        <is>
          <t>Tier 3</t>
        </is>
      </c>
      <c r="E67" s="163" t="inlineStr">
        <is>
          <t>✅</t>
        </is>
      </c>
      <c r="F67" s="163" t="inlineStr">
        <is>
          <t>✅</t>
        </is>
      </c>
      <c r="G67" s="163" t="inlineStr">
        <is>
          <t>Dual dates; Deloitte auditor, Circle Internet Group</t>
        </is>
      </c>
    </row>
    <row r="68" ht="15" customHeight="1" s="95">
      <c r="A68" s="163" t="inlineStr">
        <is>
          <t>USDC</t>
        </is>
      </c>
      <c r="B68" s="163" t="inlineStr">
        <is>
          <t>2025-Jul</t>
        </is>
      </c>
      <c r="C68" s="163" t="inlineStr">
        <is>
          <t>✅ Complete</t>
        </is>
      </c>
      <c r="D68" s="163" t="inlineStr">
        <is>
          <t>Tier 3</t>
        </is>
      </c>
      <c r="E68" s="163" t="inlineStr">
        <is>
          <t>✅</t>
        </is>
      </c>
      <c r="F68" s="163" t="inlineStr">
        <is>
          <t>✅</t>
        </is>
      </c>
      <c r="G68" s="163" t="inlineStr">
        <is>
          <t>Dual dates; Deloitte auditor, Circle Internet Group</t>
        </is>
      </c>
    </row>
    <row r="69" ht="15" customHeight="1" s="95">
      <c r="A69" s="163" t="inlineStr">
        <is>
          <t>USDC</t>
        </is>
      </c>
      <c r="B69" s="163" t="inlineStr">
        <is>
          <t>2025-Aug</t>
        </is>
      </c>
      <c r="C69" s="163" t="inlineStr">
        <is>
          <t>✅ Complete (NEW)</t>
        </is>
      </c>
      <c r="D69" s="163" t="inlineStr">
        <is>
          <t>Tier 3</t>
        </is>
      </c>
      <c r="E69" s="163" t="inlineStr">
        <is>
          <t>✅</t>
        </is>
      </c>
      <c r="F69" s="163" t="inlineStr">
        <is>
          <t>✅</t>
        </is>
      </c>
      <c r="G69" s="163" t="inlineStr">
        <is>
          <t>NEWLY ADDED</t>
        </is>
      </c>
    </row>
    <row r="70" ht="15" customHeight="1" s="95">
      <c r="A70" s="163" t="inlineStr">
        <is>
          <t>USDC</t>
        </is>
      </c>
      <c r="B70" s="163" t="inlineStr">
        <is>
          <t>2025-Sep</t>
        </is>
      </c>
      <c r="C70" s="163" t="inlineStr">
        <is>
          <t>✅ Complete</t>
        </is>
      </c>
      <c r="D70" s="163" t="inlineStr">
        <is>
          <t>Tier 3</t>
        </is>
      </c>
      <c r="E70" s="163" t="inlineStr">
        <is>
          <t>✅</t>
        </is>
      </c>
      <c r="F70" s="163" t="inlineStr">
        <is>
          <t>✅</t>
        </is>
      </c>
      <c r="G70" s="163" t="inlineStr">
        <is>
          <t>Dual dates; Deloitte auditor, Circle Internet Group</t>
        </is>
      </c>
    </row>
    <row r="71" ht="15" customHeight="1" s="95">
      <c r="A71" s="163" t="inlineStr">
        <is>
          <t>USDC</t>
        </is>
      </c>
      <c r="B71" s="163" t="inlineStr">
        <is>
          <t>2025-Oct</t>
        </is>
      </c>
      <c r="C71" s="163" t="inlineStr">
        <is>
          <t>✅ Complete</t>
        </is>
      </c>
      <c r="D71" s="163" t="inlineStr">
        <is>
          <t>Tier 3</t>
        </is>
      </c>
      <c r="E71" s="163" t="inlineStr">
        <is>
          <t>✅</t>
        </is>
      </c>
      <c r="F71" s="163" t="inlineStr">
        <is>
          <t>✅</t>
        </is>
      </c>
      <c r="G71" s="163" t="inlineStr">
        <is>
          <t>Dual dates; Deloitte auditor, Circle Internet Group</t>
        </is>
      </c>
    </row>
    <row r="72" ht="15" customHeight="1" s="95">
      <c r="A72" s="163" t="inlineStr">
        <is>
          <t>USDC</t>
        </is>
      </c>
      <c r="B72" s="163" t="inlineStr">
        <is>
          <t>2025-Nov</t>
        </is>
      </c>
      <c r="C72" s="163" t="inlineStr">
        <is>
          <t>✅ Complete (NEW)</t>
        </is>
      </c>
      <c r="D72" s="163" t="inlineStr">
        <is>
          <t>Tier 3</t>
        </is>
      </c>
      <c r="E72" s="163" t="inlineStr">
        <is>
          <t>✅</t>
        </is>
      </c>
      <c r="F72" s="163" t="inlineStr">
        <is>
          <t>✅</t>
        </is>
      </c>
      <c r="G72" s="163" t="inlineStr">
        <is>
          <t>NEWLY ADDED</t>
        </is>
      </c>
    </row>
    <row r="73" ht="15" customHeight="1" s="95">
      <c r="A73" s="163" t="inlineStr">
        <is>
          <t>USDC</t>
        </is>
      </c>
      <c r="B73" s="163" t="inlineStr">
        <is>
          <t>2025-Dec</t>
        </is>
      </c>
      <c r="C73" s="163" t="inlineStr">
        <is>
          <t>✅ Complete (NEW)</t>
        </is>
      </c>
      <c r="D73" s="163" t="inlineStr">
        <is>
          <t>Tier 3</t>
        </is>
      </c>
      <c r="E73" s="163" t="inlineStr">
        <is>
          <t>✅</t>
        </is>
      </c>
      <c r="F73" s="163" t="inlineStr">
        <is>
          <t>✅</t>
        </is>
      </c>
      <c r="G73" s="163" t="inlineStr">
        <is>
          <t>NEWLY ADDED</t>
        </is>
      </c>
    </row>
    <row r="74" ht="15" customHeight="1" s="95">
      <c r="A74" s="164" t="inlineStr">
        <is>
          <t>USDT</t>
        </is>
      </c>
      <c r="B74" s="164" t="inlineStr">
        <is>
          <t>2021-Q1a (Feb)</t>
        </is>
      </c>
      <c r="C74" s="164" t="inlineStr">
        <is>
          <t>✅ Complete</t>
        </is>
      </c>
      <c r="D74" s="164" t="inlineStr">
        <is>
          <t>Tier 1</t>
        </is>
      </c>
      <c r="E74" s="164" t="inlineStr">
        <is>
          <t>✅</t>
        </is>
      </c>
      <c r="F74" s="164" t="inlineStr">
        <is>
          <t>✅</t>
        </is>
      </c>
      <c r="G74" s="164" t="inlineStr">
        <is>
          <t>Floor totals only; Moore Cayman audit</t>
        </is>
      </c>
    </row>
    <row r="75" ht="15" customHeight="1" s="95">
      <c r="A75" s="164" t="inlineStr">
        <is>
          <t>USDT</t>
        </is>
      </c>
      <c r="B75" s="164" t="inlineStr">
        <is>
          <t>2021-Q1b (Mar)</t>
        </is>
      </c>
      <c r="C75" s="164" t="inlineStr">
        <is>
          <t>✅ Complete</t>
        </is>
      </c>
      <c r="D75" s="164" t="inlineStr">
        <is>
          <t>Tier 1</t>
        </is>
      </c>
      <c r="E75" s="164" t="inlineStr">
        <is>
          <t>✅</t>
        </is>
      </c>
      <c r="F75" s="164" t="inlineStr">
        <is>
          <t>✅</t>
        </is>
      </c>
      <c r="G75" s="164" t="inlineStr">
        <is>
          <t>Floor totals only</t>
        </is>
      </c>
    </row>
    <row r="76" ht="15" customHeight="1" s="95">
      <c r="A76" s="164" t="inlineStr">
        <is>
          <t>USDT</t>
        </is>
      </c>
      <c r="B76" s="164" t="inlineStr">
        <is>
          <t>2021-Q2</t>
        </is>
      </c>
      <c r="C76" s="164" t="inlineStr">
        <is>
          <t>✅ Complete</t>
        </is>
      </c>
      <c r="D76" s="164" t="inlineStr">
        <is>
          <t>Tier 1</t>
        </is>
      </c>
      <c r="E76" s="164" t="inlineStr">
        <is>
          <t>✅</t>
        </is>
      </c>
      <c r="F76" s="164" t="inlineStr">
        <is>
          <t>✅</t>
        </is>
      </c>
      <c r="G76" s="164" t="inlineStr">
        <is>
          <t>Floor totals only</t>
        </is>
      </c>
    </row>
    <row r="77" ht="15" customHeight="1" s="95">
      <c r="A77" s="164" t="inlineStr">
        <is>
          <t>USDT</t>
        </is>
      </c>
      <c r="B77" s="164" t="inlineStr">
        <is>
          <t>2021-Q3</t>
        </is>
      </c>
      <c r="C77" s="164" t="inlineStr">
        <is>
          <t>✅ Complete</t>
        </is>
      </c>
      <c r="D77" s="164" t="inlineStr">
        <is>
          <t>Tier 1</t>
        </is>
      </c>
      <c r="E77" s="164" t="inlineStr">
        <is>
          <t>✅</t>
        </is>
      </c>
      <c r="F77" s="164" t="inlineStr">
        <is>
          <t>✅</t>
        </is>
      </c>
      <c r="G77" s="164" t="inlineStr">
        <is>
          <t>Floor totals only</t>
        </is>
      </c>
    </row>
    <row r="78" ht="15" customHeight="1" s="95">
      <c r="A78" s="164" t="inlineStr">
        <is>
          <t>USDT</t>
        </is>
      </c>
      <c r="B78" s="164" t="inlineStr">
        <is>
          <t>2021-Q4</t>
        </is>
      </c>
      <c r="C78" s="164" t="inlineStr">
        <is>
          <t>✅ Complete</t>
        </is>
      </c>
      <c r="D78" s="164" t="inlineStr">
        <is>
          <t>Tier 1</t>
        </is>
      </c>
      <c r="E78" s="164" t="inlineStr">
        <is>
          <t>✅</t>
        </is>
      </c>
      <c r="F78" s="164" t="inlineStr">
        <is>
          <t>✅</t>
        </is>
      </c>
      <c r="G78" s="164" t="inlineStr">
        <is>
          <t>MHA Cayman replaces Moore</t>
        </is>
      </c>
    </row>
    <row r="79" ht="15" customHeight="1" s="95">
      <c r="A79" s="164" t="inlineStr">
        <is>
          <t>USDT</t>
        </is>
      </c>
      <c r="B79" s="164" t="inlineStr">
        <is>
          <t>2022-Q1</t>
        </is>
      </c>
      <c r="C79" s="164" t="inlineStr">
        <is>
          <t>✅ Complete</t>
        </is>
      </c>
      <c r="D79" s="164" t="inlineStr">
        <is>
          <t>Tier 3</t>
        </is>
      </c>
      <c r="E79" s="164" t="inlineStr">
        <is>
          <t>✅</t>
        </is>
      </c>
      <c r="F79" s="164" t="inlineStr">
        <is>
          <t>✅</t>
        </is>
      </c>
      <c r="G79" s="164" t="inlineStr">
        <is>
          <t>First Tier 3 breakdown; CP&amp;CDs $20bn</t>
        </is>
      </c>
    </row>
    <row r="80" ht="15" customHeight="1" s="95">
      <c r="A80" s="164" t="inlineStr">
        <is>
          <t>USDT</t>
        </is>
      </c>
      <c r="B80" s="164" t="inlineStr">
        <is>
          <t>2022-Q2</t>
        </is>
      </c>
      <c r="C80" s="164" t="inlineStr">
        <is>
          <t>✅ Complete</t>
        </is>
      </c>
      <c r="D80" s="164" t="inlineStr">
        <is>
          <t>Tier 3</t>
        </is>
      </c>
      <c r="E80" s="164" t="inlineStr">
        <is>
          <t>✅</t>
        </is>
      </c>
      <c r="F80" s="164" t="inlineStr">
        <is>
          <t>✅</t>
        </is>
      </c>
      <c r="G80" s="164" t="inlineStr">
        <is>
          <t>BDO Italia takes over; post-LUNA</t>
        </is>
      </c>
    </row>
    <row r="81" ht="15" customHeight="1" s="95">
      <c r="A81" s="164" t="inlineStr">
        <is>
          <t>USDT</t>
        </is>
      </c>
      <c r="B81" s="164" t="inlineStr">
        <is>
          <t>2022-Q3</t>
        </is>
      </c>
      <c r="C81" s="164" t="inlineStr">
        <is>
          <t>✅ Complete</t>
        </is>
      </c>
      <c r="D81" s="164" t="inlineStr">
        <is>
          <t>Tier 3</t>
        </is>
      </c>
      <c r="E81" s="164" t="inlineStr">
        <is>
          <t>✅</t>
        </is>
      </c>
      <c r="F81" s="164" t="inlineStr">
        <is>
          <t>✅</t>
        </is>
      </c>
      <c r="G81" s="164" t="inlineStr">
        <is>
          <t>CP&amp;CDs collapsed to $50m</t>
        </is>
      </c>
    </row>
    <row r="82" ht="15" customHeight="1" s="95">
      <c r="A82" s="164" t="inlineStr">
        <is>
          <t>USDT</t>
        </is>
      </c>
      <c r="B82" s="164" t="inlineStr">
        <is>
          <t>2022-Q4</t>
        </is>
      </c>
      <c r="C82" s="164" t="inlineStr">
        <is>
          <t>✅ Complete</t>
        </is>
      </c>
      <c r="D82" s="164" t="inlineStr">
        <is>
          <t>Tier 3</t>
        </is>
      </c>
      <c r="E82" s="164" t="inlineStr">
        <is>
          <t>✅</t>
        </is>
      </c>
      <c r="F82" s="164" t="inlineStr">
        <is>
          <t>✅</t>
        </is>
      </c>
      <c r="G82" s="164" t="inlineStr">
        <is>
          <t>CP&amp;CDs = 0; post-FTX</t>
        </is>
      </c>
    </row>
    <row r="83" ht="15" customHeight="1" s="95">
      <c r="A83" s="164" t="inlineStr">
        <is>
          <t>USDT</t>
        </is>
      </c>
      <c r="B83" s="164" t="inlineStr">
        <is>
          <t>2023-Q1</t>
        </is>
      </c>
      <c r="C83" s="164" t="inlineStr">
        <is>
          <t>✅ Complete</t>
        </is>
      </c>
      <c r="D83" s="164" t="inlineStr">
        <is>
          <t>Tier 3</t>
        </is>
      </c>
      <c r="E83" s="164" t="inlineStr">
        <is>
          <t>✅</t>
        </is>
      </c>
      <c r="F83" s="164" t="inlineStr">
        <is>
          <t>✅</t>
        </is>
      </c>
      <c r="G83" s="164" t="inlineStr">
        <is>
          <t>First Bitcoin disclosure $1.5bn</t>
        </is>
      </c>
    </row>
    <row r="84" ht="15" customHeight="1" s="95">
      <c r="A84" s="164" t="inlineStr">
        <is>
          <t>USDT</t>
        </is>
      </c>
      <c r="B84" s="164" t="inlineStr">
        <is>
          <t>2023-Q2</t>
        </is>
      </c>
      <c r="C84" s="164" t="inlineStr">
        <is>
          <t>✅ Complete</t>
        </is>
      </c>
      <c r="D84" s="164" t="inlineStr">
        <is>
          <t>Tier 3</t>
        </is>
      </c>
      <c r="E84" s="164" t="inlineStr">
        <is>
          <t>✅</t>
        </is>
      </c>
      <c r="F84" s="164" t="inlineStr">
        <is>
          <t>✅</t>
        </is>
      </c>
      <c r="G84" s="164" t="inlineStr">
        <is>
          <t>Strong equity buffer $3.3bn</t>
        </is>
      </c>
    </row>
    <row r="85" ht="15" customHeight="1" s="95">
      <c r="A85" s="164" t="inlineStr">
        <is>
          <t>USDT</t>
        </is>
      </c>
      <c r="B85" s="164" t="inlineStr">
        <is>
          <t>2023-Q3</t>
        </is>
      </c>
      <c r="C85" s="164" t="inlineStr">
        <is>
          <t>✅ Complete</t>
        </is>
      </c>
      <c r="D85" s="164" t="inlineStr">
        <is>
          <t>Tier 3</t>
        </is>
      </c>
      <c r="E85" s="164" t="inlineStr">
        <is>
          <t>✅</t>
        </is>
      </c>
      <c r="F85" s="164" t="inlineStr">
        <is>
          <t>✅</t>
        </is>
      </c>
      <c r="G85" s="164" t="inlineStr">
        <is>
          <t>Stable</t>
        </is>
      </c>
    </row>
    <row r="86" ht="15" customHeight="1" s="95">
      <c r="A86" s="164" t="inlineStr">
        <is>
          <t>USDT</t>
        </is>
      </c>
      <c r="B86" s="164" t="inlineStr">
        <is>
          <t>2023-Q4</t>
        </is>
      </c>
      <c r="C86" s="164" t="inlineStr">
        <is>
          <t>✅ Complete</t>
        </is>
      </c>
      <c r="D86" s="164" t="inlineStr">
        <is>
          <t>Tier 3</t>
        </is>
      </c>
      <c r="E86" s="164" t="inlineStr">
        <is>
          <t>✅</t>
        </is>
      </c>
      <c r="F86" s="164" t="inlineStr">
        <is>
          <t>✅</t>
        </is>
      </c>
      <c r="G86" s="164" t="inlineStr">
        <is>
          <t>Bitcoin doubles to $2.8bn</t>
        </is>
      </c>
    </row>
    <row r="87" ht="15" customHeight="1" s="95">
      <c r="A87" s="164" t="inlineStr">
        <is>
          <t>USDT</t>
        </is>
      </c>
      <c r="B87" s="164" t="inlineStr">
        <is>
          <t>2024-Q1</t>
        </is>
      </c>
      <c r="C87" s="164" t="inlineStr">
        <is>
          <t>✅ Complete</t>
        </is>
      </c>
      <c r="D87" s="164" t="inlineStr">
        <is>
          <t>Tier 3</t>
        </is>
      </c>
      <c r="E87" s="164" t="inlineStr">
        <is>
          <t>✅</t>
        </is>
      </c>
      <c r="F87" s="164" t="inlineStr">
        <is>
          <t>✅</t>
        </is>
      </c>
      <c r="G87" s="164" t="inlineStr">
        <is>
          <t>Reserves format begins; Tether Intl (BVI)</t>
        </is>
      </c>
    </row>
    <row r="88" ht="15" customHeight="1" s="95">
      <c r="A88" s="164" t="inlineStr">
        <is>
          <t>USDT</t>
        </is>
      </c>
      <c r="B88" s="164" t="inlineStr">
        <is>
          <t>2024-Q2</t>
        </is>
      </c>
      <c r="C88" s="164" t="inlineStr">
        <is>
          <t>✅ Complete</t>
        </is>
      </c>
      <c r="D88" s="164" t="inlineStr">
        <is>
          <t>Tier 3</t>
        </is>
      </c>
      <c r="E88" s="164" t="inlineStr">
        <is>
          <t>✅</t>
        </is>
      </c>
      <c r="F88" s="164" t="inlineStr">
        <is>
          <t>✅</t>
        </is>
      </c>
      <c r="G88" s="164" t="inlineStr">
        <is>
          <t>Equity buffer $5.3bn</t>
        </is>
      </c>
    </row>
    <row r="89" ht="15" customHeight="1" s="95">
      <c r="A89" s="164" t="inlineStr">
        <is>
          <t>USDT</t>
        </is>
      </c>
      <c r="B89" s="164" t="inlineStr">
        <is>
          <t>2024-Q3</t>
        </is>
      </c>
      <c r="C89" s="164" t="inlineStr">
        <is>
          <t>✅ Complete</t>
        </is>
      </c>
      <c r="D89" s="164" t="inlineStr">
        <is>
          <t>Tier 3</t>
        </is>
      </c>
      <c r="E89" s="164" t="inlineStr">
        <is>
          <t>✅</t>
        </is>
      </c>
      <c r="F89" s="164" t="inlineStr">
        <is>
          <t>✅</t>
        </is>
      </c>
      <c r="G89" s="164" t="inlineStr">
        <is>
          <t>Excess reserves $6.1bn</t>
        </is>
      </c>
    </row>
    <row r="90" ht="15" customHeight="1" s="95">
      <c r="A90" s="164" t="inlineStr">
        <is>
          <t>USDT</t>
        </is>
      </c>
      <c r="B90" s="164" t="inlineStr">
        <is>
          <t>2024-Q4</t>
        </is>
      </c>
      <c r="C90" s="164" t="inlineStr">
        <is>
          <t>✅ Complete</t>
        </is>
      </c>
      <c r="D90" s="164" t="inlineStr">
        <is>
          <t>Tier 3</t>
        </is>
      </c>
      <c r="E90" s="164" t="inlineStr">
        <is>
          <t>✅</t>
        </is>
      </c>
      <c r="F90" s="164" t="inlineStr">
        <is>
          <t>✅</t>
        </is>
      </c>
      <c r="G90" s="164" t="inlineStr">
        <is>
          <t>Year-end; BTC up to $7.9bn</t>
        </is>
      </c>
    </row>
    <row r="91" ht="15" customHeight="1" s="95">
      <c r="A91" s="164" t="inlineStr">
        <is>
          <t>USDT</t>
        </is>
      </c>
      <c r="B91" s="164" t="inlineStr">
        <is>
          <t>2025-Q1</t>
        </is>
      </c>
      <c r="C91" s="164" t="inlineStr">
        <is>
          <t>✅ Complete</t>
        </is>
      </c>
      <c r="D91" s="164" t="inlineStr">
        <is>
          <t>Tier 3</t>
        </is>
      </c>
      <c r="E91" s="164" t="inlineStr">
        <is>
          <t>✅</t>
        </is>
      </c>
      <c r="F91" s="164" t="inlineStr">
        <is>
          <t>✅</t>
        </is>
      </c>
      <c r="G91" s="164" t="inlineStr">
        <is>
          <t>Legal entity moves to El Salvador</t>
        </is>
      </c>
    </row>
    <row r="92" ht="15" customHeight="1" s="95">
      <c r="A92" s="164" t="inlineStr">
        <is>
          <t>USDT</t>
        </is>
      </c>
      <c r="B92" s="164" t="inlineStr">
        <is>
          <t>2025-Q2</t>
        </is>
      </c>
      <c r="C92" s="164" t="inlineStr">
        <is>
          <t>✅ Complete</t>
        </is>
      </c>
      <c r="D92" s="164" t="inlineStr">
        <is>
          <t>Tier 3</t>
        </is>
      </c>
      <c r="E92" s="164" t="inlineStr">
        <is>
          <t>✅</t>
        </is>
      </c>
      <c r="F92" s="164" t="inlineStr">
        <is>
          <t>✅</t>
        </is>
      </c>
      <c r="G92" s="164" t="inlineStr">
        <is>
          <t>Secured loans $10bn</t>
        </is>
      </c>
    </row>
    <row r="93" ht="15" customHeight="1" s="95">
      <c r="A93" s="164" t="inlineStr">
        <is>
          <t>USDT</t>
        </is>
      </c>
      <c r="B93" s="164" t="inlineStr">
        <is>
          <t>2025-Q3</t>
        </is>
      </c>
      <c r="C93" s="164" t="inlineStr">
        <is>
          <t>✅ Complete</t>
        </is>
      </c>
      <c r="D93" s="164" t="inlineStr">
        <is>
          <t>Tier 3</t>
        </is>
      </c>
      <c r="E93" s="164" t="inlineStr">
        <is>
          <t>✅</t>
        </is>
      </c>
      <c r="F93" s="164" t="inlineStr">
        <is>
          <t>✅</t>
        </is>
      </c>
      <c r="G93" s="164" t="inlineStr">
        <is>
          <t>Precious Metals doubled $12.9bn</t>
        </is>
      </c>
    </row>
    <row r="94" ht="15" customHeight="1" s="95">
      <c r="A94" s="164" t="inlineStr">
        <is>
          <t>USDT</t>
        </is>
      </c>
      <c r="B94" s="164" t="inlineStr">
        <is>
          <t>2025-Q4</t>
        </is>
      </c>
      <c r="C94" s="164" t="inlineStr">
        <is>
          <t>✅ Complete</t>
        </is>
      </c>
      <c r="D94" s="164" t="inlineStr">
        <is>
          <t>Tier 3</t>
        </is>
      </c>
      <c r="E94" s="164" t="inlineStr">
        <is>
          <t>✅</t>
        </is>
      </c>
      <c r="F94" s="164" t="inlineStr">
        <is>
          <t>✅</t>
        </is>
      </c>
      <c r="G94" s="164" t="inlineStr">
        <is>
          <t>Year-end. MMFs/NonUS Tbills = 0</t>
        </is>
      </c>
    </row>
    <row r="96" ht="15" customHeight="1" s="95">
      <c r="A96" s="165" t="inlineStr">
        <is>
          <t>— USDP COVERAGE —</t>
        </is>
      </c>
    </row>
    <row r="97" ht="15" customHeight="1" s="95">
      <c r="A97" s="94" t="inlineStr">
        <is>
          <t>USDP</t>
        </is>
      </c>
      <c r="B97" s="94" t="inlineStr">
        <is>
          <t>2020-Feb</t>
        </is>
      </c>
      <c r="C97" s="166" t="inlineStr">
        <is>
          <t>⚠️ Floor only</t>
        </is>
      </c>
      <c r="D97" s="94" t="inlineStr">
        <is>
          <t>Tier 1</t>
        </is>
      </c>
      <c r="E97" s="94" t="inlineStr">
        <is>
          <t>✅</t>
        </is>
      </c>
      <c r="F97" s="94" t="inlineStr">
        <is>
          <t>✅</t>
        </is>
      </c>
      <c r="G97" s="94" t="inlineStr">
        <is>
          <t>1 date(s); Withum-single</t>
        </is>
      </c>
    </row>
    <row r="98" ht="15" customHeight="1" s="95">
      <c r="A98" s="94" t="inlineStr">
        <is>
          <t>USDP</t>
        </is>
      </c>
      <c r="B98" s="94" t="inlineStr">
        <is>
          <t>2020-Mar</t>
        </is>
      </c>
      <c r="C98" s="166" t="inlineStr">
        <is>
          <t>⚠️ Floor only</t>
        </is>
      </c>
      <c r="D98" s="94" t="inlineStr">
        <is>
          <t>Tier 1</t>
        </is>
      </c>
      <c r="E98" s="94" t="inlineStr">
        <is>
          <t>✅</t>
        </is>
      </c>
      <c r="F98" s="94" t="inlineStr">
        <is>
          <t>✅</t>
        </is>
      </c>
      <c r="G98" s="94" t="inlineStr">
        <is>
          <t>1 date(s); Withum-single</t>
        </is>
      </c>
    </row>
    <row r="99" ht="15" customHeight="1" s="95">
      <c r="A99" s="94" t="inlineStr">
        <is>
          <t>USDP</t>
        </is>
      </c>
      <c r="B99" s="94" t="inlineStr">
        <is>
          <t>2020-Apr</t>
        </is>
      </c>
      <c r="C99" s="166" t="inlineStr">
        <is>
          <t>⚠️ Floor only</t>
        </is>
      </c>
      <c r="D99" s="94" t="inlineStr">
        <is>
          <t>Tier 1</t>
        </is>
      </c>
      <c r="E99" s="94" t="inlineStr">
        <is>
          <t>✅</t>
        </is>
      </c>
      <c r="F99" s="94" t="inlineStr">
        <is>
          <t>✅</t>
        </is>
      </c>
      <c r="G99" s="94" t="inlineStr">
        <is>
          <t>1 date(s); Withum-single</t>
        </is>
      </c>
    </row>
    <row r="100" ht="15" customHeight="1" s="95">
      <c r="A100" s="94" t="inlineStr">
        <is>
          <t>USDP</t>
        </is>
      </c>
      <c r="B100" s="94" t="inlineStr">
        <is>
          <t>2020-May</t>
        </is>
      </c>
      <c r="C100" s="166" t="inlineStr">
        <is>
          <t>⚠️ Floor only</t>
        </is>
      </c>
      <c r="D100" s="94" t="inlineStr">
        <is>
          <t>Tier 1</t>
        </is>
      </c>
      <c r="E100" s="94" t="inlineStr">
        <is>
          <t>✅</t>
        </is>
      </c>
      <c r="F100" s="94" t="inlineStr">
        <is>
          <t>✅</t>
        </is>
      </c>
      <c r="G100" s="94" t="inlineStr">
        <is>
          <t>1 date(s); Withum-single</t>
        </is>
      </c>
    </row>
    <row r="101" ht="15" customHeight="1" s="95">
      <c r="A101" s="94" t="inlineStr">
        <is>
          <t>USDP</t>
        </is>
      </c>
      <c r="B101" s="94" t="inlineStr">
        <is>
          <t>2020-Jun</t>
        </is>
      </c>
      <c r="C101" s="166" t="inlineStr">
        <is>
          <t>⚠️ Floor only</t>
        </is>
      </c>
      <c r="D101" s="94" t="inlineStr">
        <is>
          <t>Tier 1</t>
        </is>
      </c>
      <c r="E101" s="94" t="inlineStr">
        <is>
          <t>✅</t>
        </is>
      </c>
      <c r="F101" s="94" t="inlineStr">
        <is>
          <t>✅</t>
        </is>
      </c>
      <c r="G101" s="94" t="inlineStr">
        <is>
          <t>1 date(s); Withum-single</t>
        </is>
      </c>
    </row>
    <row r="102" ht="15" customHeight="1" s="95">
      <c r="A102" s="94" t="inlineStr">
        <is>
          <t>USDP</t>
        </is>
      </c>
      <c r="B102" s="94" t="inlineStr">
        <is>
          <t>2020-Jul</t>
        </is>
      </c>
      <c r="C102" s="166" t="inlineStr">
        <is>
          <t>⚠️ Floor only</t>
        </is>
      </c>
      <c r="D102" s="94" t="inlineStr">
        <is>
          <t>Tier 1</t>
        </is>
      </c>
      <c r="E102" s="94" t="inlineStr">
        <is>
          <t>✅</t>
        </is>
      </c>
      <c r="F102" s="94" t="inlineStr">
        <is>
          <t>✅</t>
        </is>
      </c>
      <c r="G102" s="94" t="inlineStr">
        <is>
          <t>1 date(s); Withum-single</t>
        </is>
      </c>
    </row>
    <row r="103" ht="15" customHeight="1" s="95">
      <c r="A103" s="94" t="inlineStr">
        <is>
          <t>USDP</t>
        </is>
      </c>
      <c r="B103" s="94" t="inlineStr">
        <is>
          <t>2020-Aug</t>
        </is>
      </c>
      <c r="C103" s="166" t="inlineStr">
        <is>
          <t>⚠️ Floor only</t>
        </is>
      </c>
      <c r="D103" s="94" t="inlineStr">
        <is>
          <t>Tier 1</t>
        </is>
      </c>
      <c r="E103" s="94" t="inlineStr">
        <is>
          <t>✅</t>
        </is>
      </c>
      <c r="F103" s="94" t="inlineStr">
        <is>
          <t>✅</t>
        </is>
      </c>
      <c r="G103" s="94" t="inlineStr">
        <is>
          <t>1 date(s); Withum-single</t>
        </is>
      </c>
    </row>
    <row r="104" ht="15" customHeight="1" s="95">
      <c r="A104" s="94" t="inlineStr">
        <is>
          <t>USDP</t>
        </is>
      </c>
      <c r="B104" s="94" t="inlineStr">
        <is>
          <t>2020-Sep</t>
        </is>
      </c>
      <c r="C104" s="166" t="inlineStr">
        <is>
          <t>⚠️ Floor only</t>
        </is>
      </c>
      <c r="D104" s="94" t="inlineStr">
        <is>
          <t>Tier 1</t>
        </is>
      </c>
      <c r="E104" s="94" t="inlineStr">
        <is>
          <t>✅</t>
        </is>
      </c>
      <c r="F104" s="94" t="inlineStr">
        <is>
          <t>✅</t>
        </is>
      </c>
      <c r="G104" s="94" t="inlineStr">
        <is>
          <t>1 date(s); Withum-single</t>
        </is>
      </c>
    </row>
    <row r="105" ht="15" customHeight="1" s="95">
      <c r="A105" s="94" t="inlineStr">
        <is>
          <t>USDP</t>
        </is>
      </c>
      <c r="B105" s="94" t="inlineStr">
        <is>
          <t>2020-Oct</t>
        </is>
      </c>
      <c r="C105" s="166" t="inlineStr">
        <is>
          <t>⚠️ Floor only</t>
        </is>
      </c>
      <c r="D105" s="94" t="inlineStr">
        <is>
          <t>Tier 1</t>
        </is>
      </c>
      <c r="E105" s="94" t="inlineStr">
        <is>
          <t>✅</t>
        </is>
      </c>
      <c r="F105" s="94" t="inlineStr">
        <is>
          <t>✅</t>
        </is>
      </c>
      <c r="G105" s="94" t="inlineStr">
        <is>
          <t>1 date(s); Withum-single</t>
        </is>
      </c>
    </row>
    <row r="106" ht="15" customHeight="1" s="95">
      <c r="A106" s="94" t="inlineStr">
        <is>
          <t>USDP</t>
        </is>
      </c>
      <c r="B106" s="94" t="inlineStr">
        <is>
          <t>2020-Nov</t>
        </is>
      </c>
      <c r="C106" s="166" t="inlineStr">
        <is>
          <t>⚠️ Floor only</t>
        </is>
      </c>
      <c r="D106" s="94" t="inlineStr">
        <is>
          <t>Tier 1</t>
        </is>
      </c>
      <c r="E106" s="94" t="inlineStr">
        <is>
          <t>✅</t>
        </is>
      </c>
      <c r="F106" s="94" t="inlineStr">
        <is>
          <t>✅</t>
        </is>
      </c>
      <c r="G106" s="94" t="inlineStr">
        <is>
          <t>1 date(s); Withum-single</t>
        </is>
      </c>
    </row>
    <row r="107" ht="15" customHeight="1" s="95">
      <c r="A107" s="94" t="inlineStr">
        <is>
          <t>USDP</t>
        </is>
      </c>
      <c r="B107" s="94" t="inlineStr">
        <is>
          <t>2020-Dec</t>
        </is>
      </c>
      <c r="C107" s="166" t="inlineStr">
        <is>
          <t>⚠️ Floor only</t>
        </is>
      </c>
      <c r="D107" s="94" t="inlineStr">
        <is>
          <t>Tier 1</t>
        </is>
      </c>
      <c r="E107" s="94" t="inlineStr">
        <is>
          <t>✅</t>
        </is>
      </c>
      <c r="F107" s="94" t="inlineStr">
        <is>
          <t>✅</t>
        </is>
      </c>
      <c r="G107" s="94" t="inlineStr">
        <is>
          <t>1 date(s); Withum-single</t>
        </is>
      </c>
    </row>
    <row r="108" ht="15" customHeight="1" s="95">
      <c r="A108" s="94" t="inlineStr">
        <is>
          <t>USDP</t>
        </is>
      </c>
      <c r="B108" s="94" t="inlineStr">
        <is>
          <t>2021-Jan</t>
        </is>
      </c>
      <c r="C108" s="166" t="inlineStr">
        <is>
          <t>⚠️ Floor only</t>
        </is>
      </c>
      <c r="D108" s="94" t="inlineStr">
        <is>
          <t>Tier 1</t>
        </is>
      </c>
      <c r="E108" s="94" t="inlineStr">
        <is>
          <t>✅</t>
        </is>
      </c>
      <c r="F108" s="94" t="inlineStr">
        <is>
          <t>✅</t>
        </is>
      </c>
      <c r="G108" s="94" t="inlineStr">
        <is>
          <t>1 date(s); Withum-single</t>
        </is>
      </c>
    </row>
    <row r="109" ht="15" customHeight="1" s="95">
      <c r="A109" s="94" t="inlineStr">
        <is>
          <t>USDP</t>
        </is>
      </c>
      <c r="B109" s="94" t="inlineStr">
        <is>
          <t>2021-Feb</t>
        </is>
      </c>
      <c r="C109" s="166" t="inlineStr">
        <is>
          <t>⚠️ Floor only</t>
        </is>
      </c>
      <c r="D109" s="94" t="inlineStr">
        <is>
          <t>Tier 1</t>
        </is>
      </c>
      <c r="E109" s="94" t="inlineStr">
        <is>
          <t>✅</t>
        </is>
      </c>
      <c r="F109" s="94" t="inlineStr">
        <is>
          <t>✅</t>
        </is>
      </c>
      <c r="G109" s="94" t="inlineStr">
        <is>
          <t>1 date(s); Withum-single</t>
        </is>
      </c>
    </row>
    <row r="110" ht="15" customHeight="1" s="95">
      <c r="A110" s="94" t="inlineStr">
        <is>
          <t>USDP</t>
        </is>
      </c>
      <c r="B110" s="94" t="inlineStr">
        <is>
          <t>2021-Mar</t>
        </is>
      </c>
      <c r="C110" s="166" t="inlineStr">
        <is>
          <t>⚠️ Floor only</t>
        </is>
      </c>
      <c r="D110" s="94" t="inlineStr">
        <is>
          <t>Tier 1</t>
        </is>
      </c>
      <c r="E110" s="94" t="inlineStr">
        <is>
          <t>✅</t>
        </is>
      </c>
      <c r="F110" s="94" t="inlineStr">
        <is>
          <t>✅</t>
        </is>
      </c>
      <c r="G110" s="94" t="inlineStr">
        <is>
          <t>1 date(s); Withum-single</t>
        </is>
      </c>
    </row>
    <row r="111" ht="15" customHeight="1" s="95">
      <c r="A111" s="94" t="inlineStr">
        <is>
          <t>USDP</t>
        </is>
      </c>
      <c r="B111" s="94" t="inlineStr">
        <is>
          <t>2021-Apr</t>
        </is>
      </c>
      <c r="C111" s="166" t="inlineStr">
        <is>
          <t>⚠️ Floor only</t>
        </is>
      </c>
      <c r="D111" s="94" t="inlineStr">
        <is>
          <t>Tier 1</t>
        </is>
      </c>
      <c r="E111" s="94" t="inlineStr">
        <is>
          <t>✅</t>
        </is>
      </c>
      <c r="F111" s="94" t="inlineStr">
        <is>
          <t>✅</t>
        </is>
      </c>
      <c r="G111" s="94" t="inlineStr">
        <is>
          <t>1 date(s); Withum-single</t>
        </is>
      </c>
    </row>
    <row r="112" ht="15" customHeight="1" s="95">
      <c r="A112" s="94" t="inlineStr">
        <is>
          <t>USDP</t>
        </is>
      </c>
      <c r="B112" s="94" t="inlineStr">
        <is>
          <t>2021-May</t>
        </is>
      </c>
      <c r="C112" s="166" t="inlineStr">
        <is>
          <t>⚠️ Floor only</t>
        </is>
      </c>
      <c r="D112" s="94" t="inlineStr">
        <is>
          <t>Tier 1</t>
        </is>
      </c>
      <c r="E112" s="94" t="inlineStr">
        <is>
          <t>✅</t>
        </is>
      </c>
      <c r="F112" s="94" t="inlineStr">
        <is>
          <t>✅</t>
        </is>
      </c>
      <c r="G112" s="94" t="inlineStr">
        <is>
          <t>1 date(s); Withum-single</t>
        </is>
      </c>
    </row>
    <row r="113" ht="15" customHeight="1" s="95">
      <c r="A113" s="94" t="inlineStr">
        <is>
          <t>USDP</t>
        </is>
      </c>
      <c r="B113" s="94" t="inlineStr">
        <is>
          <t>2021-Jun</t>
        </is>
      </c>
      <c r="C113" s="166" t="inlineStr">
        <is>
          <t>⚠️ Floor only</t>
        </is>
      </c>
      <c r="D113" s="94" t="inlineStr">
        <is>
          <t>Tier 1</t>
        </is>
      </c>
      <c r="E113" s="94" t="inlineStr">
        <is>
          <t>✅</t>
        </is>
      </c>
      <c r="F113" s="94" t="inlineStr">
        <is>
          <t>✅</t>
        </is>
      </c>
      <c r="G113" s="94" t="inlineStr">
        <is>
          <t>1 date(s); Withum-single</t>
        </is>
      </c>
    </row>
    <row r="114" ht="15" customHeight="1" s="95">
      <c r="A114" s="94" t="inlineStr">
        <is>
          <t>USDP</t>
        </is>
      </c>
      <c r="B114" s="94" t="inlineStr">
        <is>
          <t>2021-Jul</t>
        </is>
      </c>
      <c r="C114" s="166" t="inlineStr">
        <is>
          <t>⚠️ Floor only</t>
        </is>
      </c>
      <c r="D114" s="94" t="inlineStr">
        <is>
          <t>Tier 1</t>
        </is>
      </c>
      <c r="E114" s="94" t="inlineStr">
        <is>
          <t>✅</t>
        </is>
      </c>
      <c r="F114" s="94" t="inlineStr">
        <is>
          <t>✅</t>
        </is>
      </c>
      <c r="G114" s="94" t="inlineStr">
        <is>
          <t>1 date(s); Withum-single</t>
        </is>
      </c>
    </row>
    <row r="115" ht="15" customHeight="1" s="95">
      <c r="A115" s="94" t="inlineStr">
        <is>
          <t>USDP</t>
        </is>
      </c>
      <c r="B115" s="94" t="inlineStr">
        <is>
          <t>2021-Aug</t>
        </is>
      </c>
      <c r="C115" s="166" t="inlineStr">
        <is>
          <t>⚠️ Floor only</t>
        </is>
      </c>
      <c r="D115" s="94" t="inlineStr">
        <is>
          <t>Tier 1</t>
        </is>
      </c>
      <c r="E115" s="94" t="inlineStr">
        <is>
          <t>✅</t>
        </is>
      </c>
      <c r="F115" s="94" t="inlineStr">
        <is>
          <t>✅</t>
        </is>
      </c>
      <c r="G115" s="94" t="inlineStr">
        <is>
          <t>1 date(s); Withum-single</t>
        </is>
      </c>
    </row>
    <row r="116" ht="15" customHeight="1" s="95">
      <c r="A116" s="94" t="inlineStr">
        <is>
          <t>USDP</t>
        </is>
      </c>
      <c r="B116" s="94" t="inlineStr">
        <is>
          <t>2021-Sep</t>
        </is>
      </c>
      <c r="C116" s="166" t="inlineStr">
        <is>
          <t>⚠️ Floor only</t>
        </is>
      </c>
      <c r="D116" s="94" t="inlineStr">
        <is>
          <t>Tier 1</t>
        </is>
      </c>
      <c r="E116" s="94" t="inlineStr">
        <is>
          <t>✅</t>
        </is>
      </c>
      <c r="F116" s="94" t="inlineStr">
        <is>
          <t>✅</t>
        </is>
      </c>
      <c r="G116" s="94" t="inlineStr">
        <is>
          <t>1 date(s); Withum-single</t>
        </is>
      </c>
    </row>
    <row r="117" ht="15" customHeight="1" s="95">
      <c r="A117" s="94" t="inlineStr">
        <is>
          <t>USDP</t>
        </is>
      </c>
      <c r="B117" s="94" t="inlineStr">
        <is>
          <t>2021-Oct</t>
        </is>
      </c>
      <c r="C117" s="166" t="inlineStr">
        <is>
          <t>⚠️ Floor only</t>
        </is>
      </c>
      <c r="D117" s="94" t="inlineStr">
        <is>
          <t>Tier 1</t>
        </is>
      </c>
      <c r="E117" s="94" t="inlineStr">
        <is>
          <t>✅</t>
        </is>
      </c>
      <c r="F117" s="94" t="inlineStr">
        <is>
          <t>✅</t>
        </is>
      </c>
      <c r="G117" s="94" t="inlineStr">
        <is>
          <t>1 date(s); Withum-single</t>
        </is>
      </c>
    </row>
    <row r="118" ht="15" customHeight="1" s="95">
      <c r="A118" s="94" t="inlineStr">
        <is>
          <t>USDP</t>
        </is>
      </c>
      <c r="B118" s="94" t="inlineStr">
        <is>
          <t>2021-Nov</t>
        </is>
      </c>
      <c r="C118" s="166" t="inlineStr">
        <is>
          <t>⚠️ Floor only</t>
        </is>
      </c>
      <c r="D118" s="94" t="inlineStr">
        <is>
          <t>Tier 1</t>
        </is>
      </c>
      <c r="E118" s="94" t="inlineStr">
        <is>
          <t>✅</t>
        </is>
      </c>
      <c r="F118" s="94" t="inlineStr">
        <is>
          <t>✅</t>
        </is>
      </c>
      <c r="G118" s="94" t="inlineStr">
        <is>
          <t>1 date(s); Withum-single</t>
        </is>
      </c>
    </row>
    <row r="119" ht="15" customHeight="1" s="95">
      <c r="A119" s="94" t="inlineStr">
        <is>
          <t>USDP</t>
        </is>
      </c>
      <c r="B119" s="94" t="inlineStr">
        <is>
          <t>2021-Dec</t>
        </is>
      </c>
      <c r="C119" s="166" t="inlineStr">
        <is>
          <t>⚠️ Floor only</t>
        </is>
      </c>
      <c r="D119" s="94" t="inlineStr">
        <is>
          <t>Tier 1</t>
        </is>
      </c>
      <c r="E119" s="94" t="inlineStr">
        <is>
          <t>✅</t>
        </is>
      </c>
      <c r="F119" s="94" t="inlineStr">
        <is>
          <t>✅</t>
        </is>
      </c>
      <c r="G119" s="94" t="inlineStr">
        <is>
          <t>1 date(s); Withum-single</t>
        </is>
      </c>
    </row>
    <row r="120" ht="15" customHeight="1" s="95">
      <c r="A120" s="94" t="inlineStr">
        <is>
          <t>USDP</t>
        </is>
      </c>
      <c r="B120" s="94" t="inlineStr">
        <is>
          <t>2022-Jan</t>
        </is>
      </c>
      <c r="C120" s="166" t="inlineStr">
        <is>
          <t>⚠️ Floor only</t>
        </is>
      </c>
      <c r="D120" s="94" t="inlineStr">
        <is>
          <t>Tier 1</t>
        </is>
      </c>
      <c r="E120" s="94" t="inlineStr">
        <is>
          <t>✅</t>
        </is>
      </c>
      <c r="F120" s="94" t="inlineStr">
        <is>
          <t>✅</t>
        </is>
      </c>
      <c r="G120" s="94" t="inlineStr">
        <is>
          <t>1 date(s); Withum-single</t>
        </is>
      </c>
    </row>
    <row r="121" ht="15" customHeight="1" s="95">
      <c r="A121" s="94" t="inlineStr">
        <is>
          <t>USDP</t>
        </is>
      </c>
      <c r="B121" s="94" t="inlineStr">
        <is>
          <t>2022-Feb</t>
        </is>
      </c>
      <c r="C121" s="166" t="inlineStr">
        <is>
          <t>⚠️ Floor only</t>
        </is>
      </c>
      <c r="D121" s="94" t="inlineStr">
        <is>
          <t>Tier 1</t>
        </is>
      </c>
      <c r="E121" s="94" t="inlineStr">
        <is>
          <t>✅</t>
        </is>
      </c>
      <c r="F121" s="94" t="inlineStr">
        <is>
          <t>✅</t>
        </is>
      </c>
      <c r="G121" s="94" t="inlineStr">
        <is>
          <t>1 date(s); Withum-single</t>
        </is>
      </c>
    </row>
    <row r="122" ht="15" customHeight="1" s="95">
      <c r="A122" s="94" t="inlineStr">
        <is>
          <t>USDP</t>
        </is>
      </c>
      <c r="B122" s="94" t="inlineStr">
        <is>
          <t>2022-Mar</t>
        </is>
      </c>
      <c r="C122" s="166" t="inlineStr">
        <is>
          <t>⚠️ Floor only</t>
        </is>
      </c>
      <c r="D122" s="94" t="inlineStr">
        <is>
          <t>Tier 1</t>
        </is>
      </c>
      <c r="E122" s="94" t="inlineStr">
        <is>
          <t>✅</t>
        </is>
      </c>
      <c r="F122" s="94" t="inlineStr">
        <is>
          <t>✅</t>
        </is>
      </c>
      <c r="G122" s="94" t="inlineStr">
        <is>
          <t>1 date(s); Withum-single</t>
        </is>
      </c>
    </row>
    <row r="123" ht="15" customHeight="1" s="95">
      <c r="A123" s="94" t="inlineStr">
        <is>
          <t>USDP</t>
        </is>
      </c>
      <c r="B123" s="94" t="inlineStr">
        <is>
          <t>2022-Apr</t>
        </is>
      </c>
      <c r="C123" s="166" t="inlineStr">
        <is>
          <t>⚠️ Floor only</t>
        </is>
      </c>
      <c r="D123" s="94" t="inlineStr">
        <is>
          <t>Tier 1</t>
        </is>
      </c>
      <c r="E123" s="94" t="inlineStr">
        <is>
          <t>✅</t>
        </is>
      </c>
      <c r="F123" s="94" t="inlineStr">
        <is>
          <t>✅</t>
        </is>
      </c>
      <c r="G123" s="94" t="inlineStr">
        <is>
          <t>1 date(s); Withum-single</t>
        </is>
      </c>
    </row>
    <row r="124" ht="15" customHeight="1" s="95">
      <c r="A124" s="94" t="inlineStr">
        <is>
          <t>USDP</t>
        </is>
      </c>
      <c r="B124" s="94" t="inlineStr">
        <is>
          <t>2022-May</t>
        </is>
      </c>
      <c r="C124" s="166" t="inlineStr">
        <is>
          <t>⚠️ Floor only</t>
        </is>
      </c>
      <c r="D124" s="94" t="inlineStr">
        <is>
          <t>Tier 1</t>
        </is>
      </c>
      <c r="E124" s="94" t="inlineStr">
        <is>
          <t>✅</t>
        </is>
      </c>
      <c r="F124" s="94" t="inlineStr">
        <is>
          <t>✅</t>
        </is>
      </c>
      <c r="G124" s="94" t="inlineStr">
        <is>
          <t>1 date(s); Withum-single</t>
        </is>
      </c>
    </row>
    <row r="125" ht="15" customHeight="1" s="95">
      <c r="A125" s="94" t="inlineStr">
        <is>
          <t>USDP</t>
        </is>
      </c>
      <c r="B125" s="94" t="inlineStr">
        <is>
          <t>2022-Jun</t>
        </is>
      </c>
      <c r="C125" s="166" t="inlineStr">
        <is>
          <t>⚠️ Floor only</t>
        </is>
      </c>
      <c r="D125" s="94" t="inlineStr">
        <is>
          <t>Tier 1</t>
        </is>
      </c>
      <c r="E125" s="94" t="inlineStr">
        <is>
          <t>✅</t>
        </is>
      </c>
      <c r="F125" s="94" t="inlineStr">
        <is>
          <t>✅</t>
        </is>
      </c>
      <c r="G125" s="94" t="inlineStr">
        <is>
          <t>1 date(s); Withum-single</t>
        </is>
      </c>
    </row>
    <row r="126" ht="15" customHeight="1" s="95">
      <c r="A126" s="94" t="inlineStr">
        <is>
          <t>USDP</t>
        </is>
      </c>
      <c r="B126" s="94" t="inlineStr">
        <is>
          <t>2022-Jul</t>
        </is>
      </c>
      <c r="C126" s="166" t="inlineStr">
        <is>
          <t>⚠️ Floor only</t>
        </is>
      </c>
      <c r="D126" s="94" t="inlineStr">
        <is>
          <t>Tier 1</t>
        </is>
      </c>
      <c r="E126" s="94" t="inlineStr">
        <is>
          <t>✅</t>
        </is>
      </c>
      <c r="F126" s="94" t="inlineStr">
        <is>
          <t>✅</t>
        </is>
      </c>
      <c r="G126" s="94" t="inlineStr">
        <is>
          <t>1 date(s); Withum-single</t>
        </is>
      </c>
    </row>
    <row r="127" ht="15" customHeight="1" s="95">
      <c r="A127" s="94" t="inlineStr">
        <is>
          <t>USDP</t>
        </is>
      </c>
      <c r="B127" s="94" t="inlineStr">
        <is>
          <t>2022-Aug</t>
        </is>
      </c>
      <c r="C127" s="166" t="inlineStr">
        <is>
          <t>⚠️ Floor only</t>
        </is>
      </c>
      <c r="D127" s="94" t="inlineStr">
        <is>
          <t>Tier 1</t>
        </is>
      </c>
      <c r="E127" s="94" t="inlineStr">
        <is>
          <t>✅</t>
        </is>
      </c>
      <c r="F127" s="94" t="inlineStr">
        <is>
          <t>✅</t>
        </is>
      </c>
      <c r="G127" s="94" t="inlineStr">
        <is>
          <t>2 date(s); Withum</t>
        </is>
      </c>
    </row>
    <row r="128" ht="15" customHeight="1" s="95">
      <c r="A128" s="94" t="inlineStr">
        <is>
          <t>USDP</t>
        </is>
      </c>
      <c r="B128" s="94" t="inlineStr">
        <is>
          <t>2022-Sep</t>
        </is>
      </c>
      <c r="C128" s="166" t="inlineStr">
        <is>
          <t>⚠️ Floor only</t>
        </is>
      </c>
      <c r="D128" s="94" t="inlineStr">
        <is>
          <t>Tier 1</t>
        </is>
      </c>
      <c r="E128" s="94" t="inlineStr">
        <is>
          <t>✅</t>
        </is>
      </c>
      <c r="F128" s="94" t="inlineStr">
        <is>
          <t>✅</t>
        </is>
      </c>
      <c r="G128" s="94" t="inlineStr">
        <is>
          <t>1 date(s); Withum-with-breakdown</t>
        </is>
      </c>
    </row>
    <row r="129" ht="15" customHeight="1" s="95">
      <c r="A129" s="94" t="inlineStr">
        <is>
          <t>USDP</t>
        </is>
      </c>
      <c r="B129" s="94" t="inlineStr">
        <is>
          <t>2022-Oct</t>
        </is>
      </c>
      <c r="C129" s="166" t="inlineStr">
        <is>
          <t>⚠️ Floor only</t>
        </is>
      </c>
      <c r="D129" s="94" t="inlineStr">
        <is>
          <t>Tier 1</t>
        </is>
      </c>
      <c r="E129" s="94" t="inlineStr">
        <is>
          <t>✅</t>
        </is>
      </c>
      <c r="F129" s="94" t="inlineStr">
        <is>
          <t>✅</t>
        </is>
      </c>
      <c r="G129" s="94" t="inlineStr">
        <is>
          <t>2 date(s); Withum</t>
        </is>
      </c>
    </row>
    <row r="130" ht="15" customHeight="1" s="95">
      <c r="A130" s="94" t="inlineStr">
        <is>
          <t>USDP</t>
        </is>
      </c>
      <c r="B130" s="94" t="inlineStr">
        <is>
          <t>2022-Nov</t>
        </is>
      </c>
      <c r="C130" s="167" t="inlineStr">
        <is>
          <t>✅ Complete</t>
        </is>
      </c>
      <c r="D130" s="94" t="inlineStr">
        <is>
          <t>Tier 3</t>
        </is>
      </c>
      <c r="E130" s="94" t="inlineStr">
        <is>
          <t>✅</t>
        </is>
      </c>
      <c r="F130" s="94" t="inlineStr">
        <is>
          <t>✅</t>
        </is>
      </c>
      <c r="G130" s="94" t="inlineStr">
        <is>
          <t>2 date(s); Withum</t>
        </is>
      </c>
    </row>
    <row r="131" ht="15" customHeight="1" s="95">
      <c r="A131" s="94" t="inlineStr">
        <is>
          <t>USDP</t>
        </is>
      </c>
      <c r="B131" s="94" t="inlineStr">
        <is>
          <t>2022-Dec</t>
        </is>
      </c>
      <c r="C131" s="167" t="inlineStr">
        <is>
          <t>✅ Complete</t>
        </is>
      </c>
      <c r="D131" s="94" t="inlineStr">
        <is>
          <t>Tier 3</t>
        </is>
      </c>
      <c r="E131" s="94" t="inlineStr">
        <is>
          <t>✅</t>
        </is>
      </c>
      <c r="F131" s="94" t="inlineStr">
        <is>
          <t>✅</t>
        </is>
      </c>
      <c r="G131" s="94" t="inlineStr">
        <is>
          <t>2 date(s); Withum</t>
        </is>
      </c>
    </row>
    <row r="132" ht="15" customHeight="1" s="95">
      <c r="A132" s="94" t="inlineStr">
        <is>
          <t>USDP</t>
        </is>
      </c>
      <c r="B132" s="94" t="inlineStr">
        <is>
          <t>2023-Jan</t>
        </is>
      </c>
      <c r="C132" s="166" t="inlineStr">
        <is>
          <t>⚠️ Floor only</t>
        </is>
      </c>
      <c r="D132" s="94" t="inlineStr">
        <is>
          <t>Tier 1</t>
        </is>
      </c>
      <c r="E132" s="94" t="inlineStr">
        <is>
          <t>✅</t>
        </is>
      </c>
      <c r="F132" s="94" t="inlineStr">
        <is>
          <t>✅</t>
        </is>
      </c>
      <c r="G132" s="94" t="inlineStr">
        <is>
          <t>2 date(s); Withum</t>
        </is>
      </c>
    </row>
    <row r="133" ht="15" customHeight="1" s="95">
      <c r="A133" s="94" t="inlineStr">
        <is>
          <t>USDP</t>
        </is>
      </c>
      <c r="B133" s="94" t="inlineStr">
        <is>
          <t>2023-Feb</t>
        </is>
      </c>
      <c r="C133" s="167" t="inlineStr">
        <is>
          <t>✅ Complete</t>
        </is>
      </c>
      <c r="D133" s="94" t="inlineStr">
        <is>
          <t>Tier 3</t>
        </is>
      </c>
      <c r="E133" s="94" t="inlineStr">
        <is>
          <t>✅</t>
        </is>
      </c>
      <c r="F133" s="94" t="inlineStr">
        <is>
          <t>✅</t>
        </is>
      </c>
      <c r="G133" s="94" t="inlineStr">
        <is>
          <t>2 date(s); Withum</t>
        </is>
      </c>
    </row>
    <row r="134" ht="15" customHeight="1" s="95">
      <c r="A134" s="94" t="inlineStr">
        <is>
          <t>USDP</t>
        </is>
      </c>
      <c r="B134" s="94" t="inlineStr">
        <is>
          <t>2023-Mar</t>
        </is>
      </c>
      <c r="C134" s="167" t="inlineStr">
        <is>
          <t>✅ Complete</t>
        </is>
      </c>
      <c r="D134" s="94" t="inlineStr">
        <is>
          <t>Tier 3</t>
        </is>
      </c>
      <c r="E134" s="94" t="inlineStr">
        <is>
          <t>✅</t>
        </is>
      </c>
      <c r="F134" s="94" t="inlineStr">
        <is>
          <t>✅</t>
        </is>
      </c>
      <c r="G134" s="94" t="inlineStr">
        <is>
          <t>2 date(s); Withum</t>
        </is>
      </c>
    </row>
    <row r="135" ht="15" customHeight="1" s="95">
      <c r="A135" s="94" t="inlineStr">
        <is>
          <t>USDP</t>
        </is>
      </c>
      <c r="B135" s="94" t="inlineStr">
        <is>
          <t>2023-Apr</t>
        </is>
      </c>
      <c r="C135" s="167" t="inlineStr">
        <is>
          <t>✅ Complete</t>
        </is>
      </c>
      <c r="D135" s="94" t="inlineStr">
        <is>
          <t>Tier 3</t>
        </is>
      </c>
      <c r="E135" s="94" t="inlineStr">
        <is>
          <t>✅</t>
        </is>
      </c>
      <c r="F135" s="94" t="inlineStr">
        <is>
          <t>✅</t>
        </is>
      </c>
      <c r="G135" s="94" t="inlineStr">
        <is>
          <t>2 date(s); Withum</t>
        </is>
      </c>
    </row>
    <row r="136" ht="15" customHeight="1" s="95">
      <c r="A136" s="94" t="inlineStr">
        <is>
          <t>USDP</t>
        </is>
      </c>
      <c r="B136" s="94" t="inlineStr">
        <is>
          <t>2023-May</t>
        </is>
      </c>
      <c r="C136" s="166" t="inlineStr">
        <is>
          <t>⚠️ Floor only</t>
        </is>
      </c>
      <c r="D136" s="94" t="inlineStr">
        <is>
          <t>Tier 1</t>
        </is>
      </c>
      <c r="E136" s="94" t="inlineStr">
        <is>
          <t>✅</t>
        </is>
      </c>
      <c r="F136" s="94" t="inlineStr">
        <is>
          <t>✅</t>
        </is>
      </c>
      <c r="G136" s="94" t="inlineStr">
        <is>
          <t>2 date(s); Withum</t>
        </is>
      </c>
    </row>
    <row r="137" ht="15" customHeight="1" s="95">
      <c r="A137" s="94" t="inlineStr">
        <is>
          <t>USDP</t>
        </is>
      </c>
      <c r="B137" s="94" t="inlineStr">
        <is>
          <t>2023-Jun</t>
        </is>
      </c>
      <c r="C137" s="167" t="inlineStr">
        <is>
          <t>✅ Complete</t>
        </is>
      </c>
      <c r="D137" s="94" t="inlineStr">
        <is>
          <t>Tier 3</t>
        </is>
      </c>
      <c r="E137" s="94" t="inlineStr">
        <is>
          <t>✅</t>
        </is>
      </c>
      <c r="F137" s="94" t="inlineStr">
        <is>
          <t>✅</t>
        </is>
      </c>
      <c r="G137" s="94" t="inlineStr">
        <is>
          <t>2 date(s); Withum</t>
        </is>
      </c>
    </row>
    <row r="138" ht="15" customHeight="1" s="95">
      <c r="A138" s="94" t="inlineStr">
        <is>
          <t>USDP</t>
        </is>
      </c>
      <c r="B138" s="94" t="inlineStr">
        <is>
          <t>2023-Jul</t>
        </is>
      </c>
      <c r="C138" s="167" t="inlineStr">
        <is>
          <t>✅ Complete</t>
        </is>
      </c>
      <c r="D138" s="94" t="inlineStr">
        <is>
          <t>Tier 3</t>
        </is>
      </c>
      <c r="E138" s="94" t="inlineStr">
        <is>
          <t>✅</t>
        </is>
      </c>
      <c r="F138" s="94" t="inlineStr">
        <is>
          <t>✅</t>
        </is>
      </c>
      <c r="G138" s="94" t="inlineStr">
        <is>
          <t>2 date(s); Withum</t>
        </is>
      </c>
    </row>
    <row r="139" ht="15" customHeight="1" s="95">
      <c r="A139" s="94" t="inlineStr">
        <is>
          <t>USDP</t>
        </is>
      </c>
      <c r="B139" s="94" t="inlineStr">
        <is>
          <t>2023-Aug</t>
        </is>
      </c>
      <c r="C139" s="167" t="inlineStr">
        <is>
          <t>✅ Complete</t>
        </is>
      </c>
      <c r="D139" s="94" t="inlineStr">
        <is>
          <t>Tier 3</t>
        </is>
      </c>
      <c r="E139" s="94" t="inlineStr">
        <is>
          <t>✅</t>
        </is>
      </c>
      <c r="F139" s="94" t="inlineStr">
        <is>
          <t>✅</t>
        </is>
      </c>
      <c r="G139" s="94" t="inlineStr">
        <is>
          <t>2 date(s); Withum</t>
        </is>
      </c>
    </row>
    <row r="140" ht="15" customHeight="1" s="95">
      <c r="A140" s="94" t="inlineStr">
        <is>
          <t>USDP</t>
        </is>
      </c>
      <c r="B140" s="94" t="inlineStr">
        <is>
          <t>2023-Sep</t>
        </is>
      </c>
      <c r="C140" s="167" t="inlineStr">
        <is>
          <t>✅ Complete</t>
        </is>
      </c>
      <c r="D140" s="94" t="inlineStr">
        <is>
          <t>Tier 3</t>
        </is>
      </c>
      <c r="E140" s="94" t="inlineStr">
        <is>
          <t>✅</t>
        </is>
      </c>
      <c r="F140" s="94" t="inlineStr">
        <is>
          <t>✅</t>
        </is>
      </c>
      <c r="G140" s="94" t="inlineStr">
        <is>
          <t>1 date(s); Withum-with-breakdown</t>
        </is>
      </c>
    </row>
    <row r="141" ht="15" customHeight="1" s="95">
      <c r="A141" s="94" t="inlineStr">
        <is>
          <t>USDP</t>
        </is>
      </c>
      <c r="B141" s="94" t="inlineStr">
        <is>
          <t>2023-Oct</t>
        </is>
      </c>
      <c r="C141" s="166" t="inlineStr">
        <is>
          <t>⚠️ Floor only</t>
        </is>
      </c>
      <c r="D141" s="94" t="inlineStr">
        <is>
          <t>Tier 1</t>
        </is>
      </c>
      <c r="E141" s="94" t="inlineStr">
        <is>
          <t>✅</t>
        </is>
      </c>
      <c r="F141" s="94" t="inlineStr">
        <is>
          <t>✅</t>
        </is>
      </c>
      <c r="G141" s="94" t="inlineStr">
        <is>
          <t>2 date(s); Withum</t>
        </is>
      </c>
    </row>
    <row r="142" ht="15" customHeight="1" s="95">
      <c r="A142" s="94" t="inlineStr">
        <is>
          <t>USDP</t>
        </is>
      </c>
      <c r="B142" s="94" t="inlineStr">
        <is>
          <t>2023-Nov</t>
        </is>
      </c>
      <c r="C142" s="167" t="inlineStr">
        <is>
          <t>✅ Complete</t>
        </is>
      </c>
      <c r="D142" s="94" t="inlineStr">
        <is>
          <t>Tier 3</t>
        </is>
      </c>
      <c r="E142" s="94" t="inlineStr">
        <is>
          <t>✅</t>
        </is>
      </c>
      <c r="F142" s="94" t="inlineStr">
        <is>
          <t>✅</t>
        </is>
      </c>
      <c r="G142" s="94" t="inlineStr">
        <is>
          <t>2 date(s); Withum</t>
        </is>
      </c>
    </row>
    <row r="143" ht="15" customHeight="1" s="95">
      <c r="A143" s="94" t="inlineStr">
        <is>
          <t>USDP</t>
        </is>
      </c>
      <c r="B143" s="94" t="inlineStr">
        <is>
          <t>2023-Dec</t>
        </is>
      </c>
      <c r="C143" s="167" t="inlineStr">
        <is>
          <t>✅ Complete</t>
        </is>
      </c>
      <c r="D143" s="94" t="inlineStr">
        <is>
          <t>Tier 3</t>
        </is>
      </c>
      <c r="E143" s="94" t="inlineStr">
        <is>
          <t>✅</t>
        </is>
      </c>
      <c r="F143" s="94" t="inlineStr">
        <is>
          <t>✅</t>
        </is>
      </c>
      <c r="G143" s="94" t="inlineStr">
        <is>
          <t>2 date(s); Withum</t>
        </is>
      </c>
    </row>
    <row r="144" ht="15" customHeight="1" s="95">
      <c r="A144" s="94" t="inlineStr">
        <is>
          <t>USDP</t>
        </is>
      </c>
      <c r="B144" s="94" t="inlineStr">
        <is>
          <t>2024-Jan</t>
        </is>
      </c>
      <c r="C144" s="167" t="inlineStr">
        <is>
          <t>✅ Complete</t>
        </is>
      </c>
      <c r="D144" s="94" t="inlineStr">
        <is>
          <t>Tier 3</t>
        </is>
      </c>
      <c r="E144" s="94" t="inlineStr">
        <is>
          <t>✅</t>
        </is>
      </c>
      <c r="F144" s="94" t="inlineStr">
        <is>
          <t>✅</t>
        </is>
      </c>
      <c r="G144" s="94" t="inlineStr">
        <is>
          <t>2 date(s); Withum</t>
        </is>
      </c>
    </row>
    <row r="145" ht="15" customHeight="1" s="95">
      <c r="A145" s="94" t="inlineStr">
        <is>
          <t>USDP</t>
        </is>
      </c>
      <c r="B145" s="94" t="inlineStr">
        <is>
          <t>2024-Feb</t>
        </is>
      </c>
      <c r="C145" s="167" t="inlineStr">
        <is>
          <t>✅ Complete</t>
        </is>
      </c>
      <c r="D145" s="94" t="inlineStr">
        <is>
          <t>Tier 3</t>
        </is>
      </c>
      <c r="E145" s="94" t="inlineStr">
        <is>
          <t>✅</t>
        </is>
      </c>
      <c r="F145" s="94" t="inlineStr">
        <is>
          <t>✅</t>
        </is>
      </c>
      <c r="G145" s="94" t="inlineStr">
        <is>
          <t>2 date(s); Withum</t>
        </is>
      </c>
    </row>
    <row r="146" ht="15" customHeight="1" s="95">
      <c r="A146" s="94" t="inlineStr">
        <is>
          <t>USDP</t>
        </is>
      </c>
      <c r="B146" s="94" t="inlineStr">
        <is>
          <t>2024-Mar</t>
        </is>
      </c>
      <c r="C146" s="167" t="inlineStr">
        <is>
          <t>✅ Complete</t>
        </is>
      </c>
      <c r="D146" s="94" t="inlineStr">
        <is>
          <t>Tier 3</t>
        </is>
      </c>
      <c r="E146" s="94" t="inlineStr">
        <is>
          <t>✅</t>
        </is>
      </c>
      <c r="F146" s="94" t="inlineStr">
        <is>
          <t>✅</t>
        </is>
      </c>
      <c r="G146" s="94" t="inlineStr">
        <is>
          <t>2 date(s); Withum</t>
        </is>
      </c>
    </row>
    <row r="147" ht="15" customHeight="1" s="95">
      <c r="A147" s="94" t="inlineStr">
        <is>
          <t>USDP</t>
        </is>
      </c>
      <c r="B147" s="94" t="inlineStr">
        <is>
          <t>2024-Apr</t>
        </is>
      </c>
      <c r="C147" s="167" t="inlineStr">
        <is>
          <t>✅ Complete</t>
        </is>
      </c>
      <c r="D147" s="94" t="inlineStr">
        <is>
          <t>Tier 3</t>
        </is>
      </c>
      <c r="E147" s="94" t="inlineStr">
        <is>
          <t>✅</t>
        </is>
      </c>
      <c r="F147" s="94" t="inlineStr">
        <is>
          <t>✅</t>
        </is>
      </c>
      <c r="G147" s="94" t="inlineStr">
        <is>
          <t>2 date(s); Withum</t>
        </is>
      </c>
    </row>
    <row r="148" ht="15" customHeight="1" s="95">
      <c r="A148" s="94" t="inlineStr">
        <is>
          <t>USDP</t>
        </is>
      </c>
      <c r="B148" s="94" t="inlineStr">
        <is>
          <t>2024-May</t>
        </is>
      </c>
      <c r="C148" s="167" t="inlineStr">
        <is>
          <t>✅ Complete</t>
        </is>
      </c>
      <c r="D148" s="94" t="inlineStr">
        <is>
          <t>Tier 3</t>
        </is>
      </c>
      <c r="E148" s="94" t="inlineStr">
        <is>
          <t>✅</t>
        </is>
      </c>
      <c r="F148" s="94" t="inlineStr">
        <is>
          <t>✅</t>
        </is>
      </c>
      <c r="G148" s="94" t="inlineStr">
        <is>
          <t>2 date(s); Withum</t>
        </is>
      </c>
    </row>
    <row r="149" ht="15" customHeight="1" s="95">
      <c r="A149" s="94" t="inlineStr">
        <is>
          <t>USDP</t>
        </is>
      </c>
      <c r="B149" s="94" t="inlineStr">
        <is>
          <t>2024-Jun</t>
        </is>
      </c>
      <c r="C149" s="167" t="inlineStr">
        <is>
          <t>✅ Complete</t>
        </is>
      </c>
      <c r="D149" s="94" t="inlineStr">
        <is>
          <t>Tier 3</t>
        </is>
      </c>
      <c r="E149" s="94" t="inlineStr">
        <is>
          <t>✅</t>
        </is>
      </c>
      <c r="F149" s="94" t="inlineStr">
        <is>
          <t>✅</t>
        </is>
      </c>
      <c r="G149" s="94" t="inlineStr">
        <is>
          <t>2 date(s); Withum</t>
        </is>
      </c>
    </row>
    <row r="150" ht="15" customHeight="1" s="95">
      <c r="A150" s="94" t="inlineStr">
        <is>
          <t>USDP</t>
        </is>
      </c>
      <c r="B150" s="94" t="inlineStr">
        <is>
          <t>2024-Jul</t>
        </is>
      </c>
      <c r="C150" s="167" t="inlineStr">
        <is>
          <t>✅ Complete</t>
        </is>
      </c>
      <c r="D150" s="94" t="inlineStr">
        <is>
          <t>Tier 3</t>
        </is>
      </c>
      <c r="E150" s="94" t="inlineStr">
        <is>
          <t>✅</t>
        </is>
      </c>
      <c r="F150" s="94" t="inlineStr">
        <is>
          <t>✅</t>
        </is>
      </c>
      <c r="G150" s="94" t="inlineStr">
        <is>
          <t>2 date(s); Withum</t>
        </is>
      </c>
    </row>
    <row r="151" ht="15" customHeight="1" s="95">
      <c r="A151" s="94" t="inlineStr">
        <is>
          <t>USDP</t>
        </is>
      </c>
      <c r="B151" s="94" t="inlineStr">
        <is>
          <t>2024-Aug</t>
        </is>
      </c>
      <c r="C151" s="167" t="inlineStr">
        <is>
          <t>✅ Complete</t>
        </is>
      </c>
      <c r="D151" s="94" t="inlineStr">
        <is>
          <t>Tier 3</t>
        </is>
      </c>
      <c r="E151" s="94" t="inlineStr">
        <is>
          <t>✅</t>
        </is>
      </c>
      <c r="F151" s="94" t="inlineStr">
        <is>
          <t>✅</t>
        </is>
      </c>
      <c r="G151" s="94" t="inlineStr">
        <is>
          <t>2 date(s); Withum</t>
        </is>
      </c>
    </row>
    <row r="152" ht="15" customHeight="1" s="95">
      <c r="A152" s="94" t="inlineStr">
        <is>
          <t>USDP</t>
        </is>
      </c>
      <c r="B152" s="94" t="inlineStr">
        <is>
          <t>2024-Sep</t>
        </is>
      </c>
      <c r="C152" s="167" t="inlineStr">
        <is>
          <t>✅ Complete</t>
        </is>
      </c>
      <c r="D152" s="94" t="inlineStr">
        <is>
          <t>Tier 3</t>
        </is>
      </c>
      <c r="E152" s="94" t="inlineStr">
        <is>
          <t>✅</t>
        </is>
      </c>
      <c r="F152" s="94" t="inlineStr">
        <is>
          <t>✅</t>
        </is>
      </c>
      <c r="G152" s="94" t="inlineStr">
        <is>
          <t>2 date(s); Withum</t>
        </is>
      </c>
    </row>
    <row r="153" ht="15" customHeight="1" s="95">
      <c r="A153" s="94" t="inlineStr">
        <is>
          <t>USDP</t>
        </is>
      </c>
      <c r="B153" s="94" t="inlineStr">
        <is>
          <t>2024-Oct</t>
        </is>
      </c>
      <c r="C153" s="168" t="inlineStr">
        <is>
          <t>❌ MISSING</t>
        </is>
      </c>
      <c r="D153" s="94" t="inlineStr">
        <is>
          <t>—</t>
        </is>
      </c>
      <c r="G153" s="94" t="inlineStr">
        <is>
          <t>No attestation in project</t>
        </is>
      </c>
    </row>
    <row r="154" ht="15" customHeight="1" s="95">
      <c r="A154" s="94" t="inlineStr">
        <is>
          <t>USDP</t>
        </is>
      </c>
      <c r="B154" s="94" t="inlineStr">
        <is>
          <t>2024-Nov</t>
        </is>
      </c>
      <c r="C154" s="166" t="inlineStr">
        <is>
          <t>⚠️ Floor only</t>
        </is>
      </c>
      <c r="D154" s="94" t="inlineStr">
        <is>
          <t>Tier 1</t>
        </is>
      </c>
      <c r="E154" s="94" t="inlineStr">
        <is>
          <t>✅</t>
        </is>
      </c>
      <c r="F154" s="94" t="inlineStr">
        <is>
          <t>✅</t>
        </is>
      </c>
      <c r="G154" s="94" t="inlineStr">
        <is>
          <t>2 date(s); Withum</t>
        </is>
      </c>
    </row>
    <row r="155" ht="15" customHeight="1" s="95">
      <c r="A155" s="94" t="inlineStr">
        <is>
          <t>USDP</t>
        </is>
      </c>
      <c r="B155" s="94" t="inlineStr">
        <is>
          <t>2024-Dec</t>
        </is>
      </c>
      <c r="C155" s="167" t="inlineStr">
        <is>
          <t>✅ Complete</t>
        </is>
      </c>
      <c r="D155" s="94" t="inlineStr">
        <is>
          <t>Tier 3</t>
        </is>
      </c>
      <c r="E155" s="94" t="inlineStr">
        <is>
          <t>✅</t>
        </is>
      </c>
      <c r="F155" s="94" t="inlineStr">
        <is>
          <t>✅</t>
        </is>
      </c>
      <c r="G155" s="94" t="inlineStr">
        <is>
          <t>2 date(s); Withum</t>
        </is>
      </c>
    </row>
    <row r="156" ht="15" customHeight="1" s="95">
      <c r="A156" s="94" t="inlineStr">
        <is>
          <t>USDP</t>
        </is>
      </c>
      <c r="B156" s="94" t="inlineStr">
        <is>
          <t>2025-Jan</t>
        </is>
      </c>
      <c r="C156" s="167" t="inlineStr">
        <is>
          <t>✅ Complete</t>
        </is>
      </c>
      <c r="D156" s="94" t="inlineStr">
        <is>
          <t>Tier 3</t>
        </is>
      </c>
      <c r="E156" s="94" t="inlineStr">
        <is>
          <t>✅</t>
        </is>
      </c>
      <c r="F156" s="94" t="inlineStr">
        <is>
          <t>✅</t>
        </is>
      </c>
      <c r="G156" s="94" t="inlineStr">
        <is>
          <t>2 date(s); KPMG</t>
        </is>
      </c>
    </row>
    <row r="157" ht="15" customHeight="1" s="95">
      <c r="A157" s="94" t="inlineStr">
        <is>
          <t>USDP</t>
        </is>
      </c>
      <c r="B157" s="94" t="inlineStr">
        <is>
          <t>2025-Feb</t>
        </is>
      </c>
      <c r="C157" s="167" t="inlineStr">
        <is>
          <t>✅ Complete</t>
        </is>
      </c>
      <c r="D157" s="94" t="inlineStr">
        <is>
          <t>Tier 3</t>
        </is>
      </c>
      <c r="E157" s="94" t="inlineStr">
        <is>
          <t>✅</t>
        </is>
      </c>
      <c r="F157" s="94" t="inlineStr">
        <is>
          <t>✅</t>
        </is>
      </c>
      <c r="G157" s="94" t="inlineStr">
        <is>
          <t>2 date(s); KPMG</t>
        </is>
      </c>
    </row>
    <row r="158" ht="15" customHeight="1" s="95">
      <c r="A158" s="94" t="inlineStr">
        <is>
          <t>USDP</t>
        </is>
      </c>
      <c r="B158" s="94" t="inlineStr">
        <is>
          <t>2025-Mar</t>
        </is>
      </c>
      <c r="C158" s="167" t="inlineStr">
        <is>
          <t>✅ Complete</t>
        </is>
      </c>
      <c r="D158" s="94" t="inlineStr">
        <is>
          <t>Tier 3</t>
        </is>
      </c>
      <c r="E158" s="94" t="inlineStr">
        <is>
          <t>✅</t>
        </is>
      </c>
      <c r="F158" s="94" t="inlineStr">
        <is>
          <t>✅</t>
        </is>
      </c>
      <c r="G158" s="94" t="inlineStr">
        <is>
          <t>2 date(s); KPMG</t>
        </is>
      </c>
    </row>
    <row r="159" ht="15" customHeight="1" s="95">
      <c r="A159" s="94" t="inlineStr">
        <is>
          <t>USDP</t>
        </is>
      </c>
      <c r="B159" s="94" t="inlineStr">
        <is>
          <t>2025-Apr</t>
        </is>
      </c>
      <c r="C159" s="167" t="inlineStr">
        <is>
          <t>✅ Complete</t>
        </is>
      </c>
      <c r="D159" s="94" t="inlineStr">
        <is>
          <t>Tier 3</t>
        </is>
      </c>
      <c r="E159" s="94" t="inlineStr">
        <is>
          <t>✅</t>
        </is>
      </c>
      <c r="F159" s="94" t="inlineStr">
        <is>
          <t>✅</t>
        </is>
      </c>
      <c r="G159" s="94" t="inlineStr">
        <is>
          <t>2 date(s); KPMG</t>
        </is>
      </c>
    </row>
    <row r="160" ht="15" customHeight="1" s="95">
      <c r="A160" s="94" t="inlineStr">
        <is>
          <t>USDP</t>
        </is>
      </c>
      <c r="B160" s="94" t="inlineStr">
        <is>
          <t>2025-May</t>
        </is>
      </c>
      <c r="C160" s="167" t="inlineStr">
        <is>
          <t>✅ Complete</t>
        </is>
      </c>
      <c r="D160" s="94" t="inlineStr">
        <is>
          <t>Tier 3</t>
        </is>
      </c>
      <c r="E160" s="94" t="inlineStr">
        <is>
          <t>✅</t>
        </is>
      </c>
      <c r="F160" s="94" t="inlineStr">
        <is>
          <t>✅</t>
        </is>
      </c>
      <c r="G160" s="94" t="inlineStr">
        <is>
          <t>2 date(s); KPMG</t>
        </is>
      </c>
    </row>
    <row r="161" ht="15" customHeight="1" s="95">
      <c r="A161" s="94" t="inlineStr">
        <is>
          <t>USDP</t>
        </is>
      </c>
      <c r="B161" s="94" t="inlineStr">
        <is>
          <t>2025-Jun</t>
        </is>
      </c>
      <c r="C161" s="167" t="inlineStr">
        <is>
          <t>✅ Complete</t>
        </is>
      </c>
      <c r="D161" s="94" t="inlineStr">
        <is>
          <t>Tier 3</t>
        </is>
      </c>
      <c r="E161" s="94" t="inlineStr">
        <is>
          <t>✅</t>
        </is>
      </c>
      <c r="F161" s="94" t="inlineStr">
        <is>
          <t>✅</t>
        </is>
      </c>
      <c r="G161" s="94" t="inlineStr">
        <is>
          <t>2 date(s); KPMG</t>
        </is>
      </c>
    </row>
    <row r="162" ht="15" customHeight="1" s="95">
      <c r="A162" s="94" t="inlineStr">
        <is>
          <t>USDP</t>
        </is>
      </c>
      <c r="B162" s="94" t="inlineStr">
        <is>
          <t>2025-Jul</t>
        </is>
      </c>
      <c r="C162" s="168" t="inlineStr">
        <is>
          <t>❌ MISSING</t>
        </is>
      </c>
      <c r="D162" s="94" t="inlineStr">
        <is>
          <t>—</t>
        </is>
      </c>
      <c r="G162" s="94" t="inlineStr">
        <is>
          <t>No attestation in project</t>
        </is>
      </c>
    </row>
    <row r="163" ht="15" customHeight="1" s="95">
      <c r="A163" s="94" t="inlineStr">
        <is>
          <t>USDP</t>
        </is>
      </c>
      <c r="B163" s="94" t="inlineStr">
        <is>
          <t>2025-Aug</t>
        </is>
      </c>
      <c r="C163" s="167" t="inlineStr">
        <is>
          <t>✅ Complete</t>
        </is>
      </c>
      <c r="D163" s="94" t="inlineStr">
        <is>
          <t>Tier 3</t>
        </is>
      </c>
      <c r="E163" s="94" t="inlineStr">
        <is>
          <t>✅</t>
        </is>
      </c>
      <c r="F163" s="94" t="inlineStr">
        <is>
          <t>✅</t>
        </is>
      </c>
      <c r="G163" s="94" t="inlineStr">
        <is>
          <t>2 date(s); KPMG</t>
        </is>
      </c>
    </row>
    <row r="164" ht="15" customHeight="1" s="95">
      <c r="A164" s="94" t="inlineStr">
        <is>
          <t>USDP</t>
        </is>
      </c>
      <c r="B164" s="94" t="inlineStr">
        <is>
          <t>2025-Sep</t>
        </is>
      </c>
      <c r="C164" s="167" t="inlineStr">
        <is>
          <t>✅ Complete</t>
        </is>
      </c>
      <c r="D164" s="94" t="inlineStr">
        <is>
          <t>Tier 3</t>
        </is>
      </c>
      <c r="E164" s="94" t="inlineStr">
        <is>
          <t>✅</t>
        </is>
      </c>
      <c r="F164" s="94" t="inlineStr">
        <is>
          <t>✅</t>
        </is>
      </c>
      <c r="G164" s="94" t="inlineStr">
        <is>
          <t>2 date(s); KPMG</t>
        </is>
      </c>
    </row>
    <row r="165" ht="15" customHeight="1" s="95">
      <c r="A165" s="94" t="inlineStr">
        <is>
          <t>USDP</t>
        </is>
      </c>
      <c r="B165" s="94" t="inlineStr">
        <is>
          <t>2025-Oct</t>
        </is>
      </c>
      <c r="C165" s="167" t="inlineStr">
        <is>
          <t>✅ Complete</t>
        </is>
      </c>
      <c r="D165" s="94" t="inlineStr">
        <is>
          <t>Tier 3</t>
        </is>
      </c>
      <c r="E165" s="94" t="inlineStr">
        <is>
          <t>✅</t>
        </is>
      </c>
      <c r="F165" s="94" t="inlineStr">
        <is>
          <t>✅</t>
        </is>
      </c>
      <c r="G165" s="94" t="inlineStr">
        <is>
          <t>2 date(s); KPMG</t>
        </is>
      </c>
    </row>
    <row r="166" ht="15" customHeight="1" s="95">
      <c r="A166" s="94" t="inlineStr">
        <is>
          <t>USDP</t>
        </is>
      </c>
      <c r="B166" s="94" t="inlineStr">
        <is>
          <t>2025-Nov</t>
        </is>
      </c>
      <c r="C166" s="167" t="inlineStr">
        <is>
          <t>✅ Complete</t>
        </is>
      </c>
      <c r="D166" s="94" t="inlineStr">
        <is>
          <t>Tier 3</t>
        </is>
      </c>
      <c r="E166" s="94" t="inlineStr">
        <is>
          <t>✅</t>
        </is>
      </c>
      <c r="F166" s="94" t="inlineStr">
        <is>
          <t>✅</t>
        </is>
      </c>
      <c r="G166" s="94" t="inlineStr">
        <is>
          <t>2 date(s); KPMG</t>
        </is>
      </c>
    </row>
    <row r="167" ht="15" customHeight="1" s="95">
      <c r="A167" s="94" t="inlineStr">
        <is>
          <t>USDP</t>
        </is>
      </c>
      <c r="B167" s="94" t="inlineStr">
        <is>
          <t>2025-Dec</t>
        </is>
      </c>
      <c r="C167" s="167" t="inlineStr">
        <is>
          <t>✅ Complete</t>
        </is>
      </c>
      <c r="D167" s="94" t="inlineStr">
        <is>
          <t>Tier 3</t>
        </is>
      </c>
      <c r="E167" s="94" t="inlineStr">
        <is>
          <t>✅</t>
        </is>
      </c>
      <c r="F167" s="94" t="inlineStr">
        <is>
          <t>✅</t>
        </is>
      </c>
      <c r="G167" s="94" t="inlineStr">
        <is>
          <t>2 date(s); KPMG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94" min="1" max="1"/>
    <col width="45" customWidth="1" style="94" min="2" max="2"/>
    <col width="55" customWidth="1" style="94" min="3" max="3"/>
    <col width="70" customWidth="1" style="94" min="4" max="4"/>
  </cols>
  <sheetData>
    <row r="1" ht="30" customHeight="1" s="95">
      <c r="A1" s="169" t="inlineStr">
        <is>
          <t>Basel III Stress-Testing Dataset — USDC + USDT Reserve Data</t>
        </is>
      </c>
    </row>
    <row r="2" ht="15" customHeight="1" s="95">
      <c r="A2" s="170" t="inlineStr">
        <is>
          <t>Master's Thesis | Data Collection Phase | Final Dataset</t>
        </is>
      </c>
    </row>
    <row r="4" ht="15" customHeight="1" s="95">
      <c r="A4" s="171" t="inlineStr">
        <is>
          <t>SECTION</t>
        </is>
      </c>
      <c r="B4" s="171" t="inlineStr">
        <is>
          <t>ITEM</t>
        </is>
      </c>
      <c r="C4" s="171" t="inlineStr">
        <is>
          <t>DECISION / VALUE</t>
        </is>
      </c>
      <c r="D4" s="171" t="inlineStr">
        <is>
          <t>RATIONALE</t>
        </is>
      </c>
    </row>
    <row r="5" ht="27.75" customHeight="1" s="95">
      <c r="A5" s="172" t="inlineStr">
        <is>
          <t>Disclosure Tiers</t>
        </is>
      </c>
      <c r="B5" s="173" t="inlineStr">
        <is>
          <t>Tier 1 — Floor Only</t>
        </is>
      </c>
      <c r="C5" s="173" t="inlineStr">
        <is>
          <t>ALR≈1.0000, all asset cols=NULL</t>
        </is>
      </c>
      <c r="D5" s="173" t="inlineStr">
        <is>
          <t>Assertion only states reserves ≥ circulation; no exact total. Applies to early USDC 2021 and all Tether 2021 reports.</t>
        </is>
      </c>
    </row>
    <row r="6" ht="15" customHeight="1" s="95">
      <c r="A6" s="173" t="n"/>
      <c r="B6" s="173" t="inlineStr">
        <is>
          <t>Tier 2 — Total Only</t>
        </is>
      </c>
      <c r="C6" s="173" t="inlineStr">
        <is>
          <t>Total Assets &amp; Liabilities populated; sub-cols=0</t>
        </is>
      </c>
      <c r="D6" s="173" t="inlineStr">
        <is>
          <t>Exact total attested but no asset breakdown. USDC 2020 + early 2021.</t>
        </is>
      </c>
    </row>
    <row r="7" ht="15" customHeight="1" s="95">
      <c r="A7" s="173" t="n"/>
      <c r="B7" s="173" t="inlineStr">
        <is>
          <t>Tier 2b — Approximate</t>
        </is>
      </c>
      <c r="C7" s="173" t="inlineStr">
        <is>
          <t>Asset cols populated with ~$bn estimates</t>
        </is>
      </c>
      <c r="D7" s="173" t="inlineStr">
        <is>
          <t>Rounded $bn breakdown provided. USDC mid-2021.</t>
        </is>
      </c>
    </row>
    <row r="8" ht="15" customHeight="1" s="95">
      <c r="A8" s="173" t="n"/>
      <c r="B8" s="173" t="inlineStr">
        <is>
          <t>Tier 3 — Full Itemized</t>
        </is>
      </c>
      <c r="C8" s="173" t="inlineStr">
        <is>
          <t>All columns fully populated</t>
        </is>
      </c>
      <c r="D8" s="173" t="inlineStr">
        <is>
          <t>Exact dollar amounts per asset class. USDC from Jul 2022; USDT from Q1 2022.</t>
        </is>
      </c>
    </row>
    <row r="9" ht="15" customHeight="1" s="95">
      <c r="A9" s="173" t="n"/>
      <c r="B9" s="173" t="n"/>
      <c r="C9" s="173" t="n"/>
      <c r="D9" s="173" t="n"/>
    </row>
    <row r="10" ht="27.75" customHeight="1" s="95">
      <c r="A10" s="172" t="inlineStr">
        <is>
          <t>USDC Asset Classification</t>
        </is>
      </c>
      <c r="B10" s="173" t="inlineStr">
        <is>
          <t>MMF_NAV</t>
        </is>
      </c>
      <c r="C10" s="173" t="inlineStr">
        <is>
          <t>Circle Reserve Fund total NAV → MMF_NAV</t>
        </is>
      </c>
      <c r="D10" s="173" t="inlineStr">
        <is>
          <t>Option B: treat Fund as opaque MMF unit per Basel III (20% RWA vs 0% for direct T-bills)</t>
        </is>
      </c>
    </row>
    <row r="11" ht="15" customHeight="1" s="95">
      <c r="A11" s="173" t="n"/>
      <c r="B11" s="173" t="inlineStr">
        <is>
          <t>US_Tbills_in_Fund</t>
        </is>
      </c>
      <c r="C11" s="173" t="inlineStr">
        <is>
          <t>Sum of CUSIP fair values held in Circle Reserve Fund</t>
        </is>
      </c>
      <c r="D11" s="173" t="inlineStr">
        <is>
          <t>Direct T-bills are sovereign / 0% RWA</t>
        </is>
      </c>
    </row>
    <row r="12" ht="27.75" customHeight="1" s="95">
      <c r="A12" s="173" t="n"/>
      <c r="B12" s="173" t="inlineStr">
        <is>
          <t>Reverse_Repos</t>
        </is>
      </c>
      <c r="C12" s="173" t="inlineStr">
        <is>
          <t>US Treasury Repurchase Agreements within Circle Reserve Fund</t>
        </is>
      </c>
      <c r="D12" s="173" t="inlineStr">
        <is>
          <t>Overnight, overcollateralized by UST; introduced Jun 2023 (May 31 2023 first 100%-repo date)</t>
        </is>
      </c>
    </row>
    <row r="13" ht="15" customHeight="1" s="95">
      <c r="A13" s="173" t="n"/>
      <c r="B13" s="173" t="inlineStr">
        <is>
          <t>Cash_Deposits_Outside_Fund</t>
        </is>
      </c>
      <c r="C13" s="173" t="inlineStr">
        <is>
          <t>Cash held at regulated financial institutions outside Fund</t>
        </is>
      </c>
      <c r="D13" s="173" t="inlineStr">
        <is>
          <t>Full bank counterparty exposure (not 0% RWA)</t>
        </is>
      </c>
    </row>
    <row r="14" ht="15" customHeight="1" s="95">
      <c r="A14" s="173" t="n"/>
      <c r="B14" s="173" t="n"/>
      <c r="C14" s="173" t="n"/>
      <c r="D14" s="173" t="n"/>
    </row>
    <row r="15" ht="15" customHeight="1" s="95">
      <c r="A15" s="172" t="inlineStr">
        <is>
          <t>USDT Asset Classification</t>
        </is>
      </c>
      <c r="B15" s="173" t="inlineStr">
        <is>
          <t>US_Tbills</t>
        </is>
      </c>
      <c r="C15" s="173" t="inlineStr">
        <is>
          <t>Direct US Treasury Bills (residual maturity &lt;90 days)</t>
        </is>
      </c>
      <c r="D15" s="173" t="inlineStr">
        <is>
          <t>Sovereign / 0% RWA. Largest reserve category from 2022-Q3 onwards.</t>
        </is>
      </c>
    </row>
    <row r="16" ht="27.75" customHeight="1" s="95">
      <c r="A16" s="173" t="n"/>
      <c r="B16" s="173" t="inlineStr">
        <is>
          <t>Overnight_Repos / Term_Repos</t>
        </is>
      </c>
      <c r="C16" s="173" t="inlineStr">
        <is>
          <t>Reverse Repurchase Agreements (split Overnight vs Term from 2023-Q1)</t>
        </is>
      </c>
      <c r="D16" s="173" t="inlineStr">
        <is>
          <t>Overnight overcollateralized by UST; Term has tenor &gt;1 day. 2022 reports lumped together.</t>
        </is>
      </c>
    </row>
    <row r="17" ht="15" customHeight="1" s="95">
      <c r="A17" s="173" t="n"/>
      <c r="B17" s="173" t="inlineStr">
        <is>
          <t>Money_Market_Funds</t>
        </is>
      </c>
      <c r="C17" s="173" t="inlineStr">
        <is>
          <t>Funds investing in highly liquid short-term instruments</t>
        </is>
      </c>
      <c r="D17" s="173" t="inlineStr">
        <is>
          <t>Level 2B HQLA / 50% haircut treatment in LCR.</t>
        </is>
      </c>
    </row>
    <row r="18" ht="27.75" customHeight="1" s="95">
      <c r="A18" s="173" t="n"/>
      <c r="B18" s="173" t="inlineStr">
        <is>
          <t>Cash_Bank_Deposits</t>
        </is>
      </c>
      <c r="C18" s="173" t="inlineStr">
        <is>
          <t>Direct bank deposits and call deposits</t>
        </is>
      </c>
      <c r="D18" s="173" t="inlineStr">
        <is>
          <t>Full counterparty exposure to global banks; dropped from $5bn (2022) to &lt;$100m (2024+).</t>
        </is>
      </c>
    </row>
    <row r="19" ht="15" customHeight="1" s="95">
      <c r="A19" s="173" t="n"/>
      <c r="B19" s="173" t="inlineStr">
        <is>
          <t>Non_US_Tbills</t>
        </is>
      </c>
      <c r="C19" s="173" t="inlineStr">
        <is>
          <t>Non-US sovereign bills (residual maturity &lt;450 days)</t>
        </is>
      </c>
      <c r="D19" s="173" t="inlineStr">
        <is>
          <t>Variable RWA depending on sovereign; mostly G7 paper per Tether disclosures.</t>
        </is>
      </c>
    </row>
    <row r="20" ht="27.75" customHeight="1" s="95">
      <c r="A20" s="173" t="n"/>
      <c r="B20" s="173" t="inlineStr">
        <is>
          <t>Commercial_Paper_CDs</t>
        </is>
      </c>
      <c r="C20" s="173" t="inlineStr">
        <is>
          <t>Commercial paper &amp; certificates of deposit (A-1/A-1+ rated avg)</t>
        </is>
      </c>
      <c r="D20" s="173" t="inlineStr">
        <is>
          <t>KEY HISTORICAL CATEGORY: $20bn peak 2022-Q1, ZERO by 2022-Q4. Largest portfolio shift in the panel.</t>
        </is>
      </c>
    </row>
    <row r="21" ht="15" customHeight="1" s="95">
      <c r="A21" s="173" t="n"/>
      <c r="B21" s="173" t="inlineStr">
        <is>
          <t>Corporate_Bonds</t>
        </is>
      </c>
      <c r="C21" s="173" t="inlineStr">
        <is>
          <t>Corporate bonds (residual maturity &lt;150 days)</t>
        </is>
      </c>
      <c r="D21" s="173" t="inlineStr">
        <is>
          <t>Small position, mostly residual after 2022-Q2 CP wind-down.</t>
        </is>
      </c>
    </row>
    <row r="22" ht="27.75" customHeight="1" s="95">
      <c r="A22" s="173" t="n"/>
      <c r="B22" s="173" t="inlineStr">
        <is>
          <t>Precious_Metals</t>
        </is>
      </c>
      <c r="C22" s="173" t="inlineStr">
        <is>
          <t>LBMA standard physical gold bars</t>
        </is>
      </c>
      <c r="D22" s="173" t="inlineStr">
        <is>
          <t>Held by Tether International. NOT backing XAU₮ tokens (those are separate). Grew $3bn→$17bn 2022→2025.</t>
        </is>
      </c>
    </row>
    <row r="23" ht="15" customHeight="1" s="95">
      <c r="A23" s="173" t="n"/>
      <c r="B23" s="173" t="inlineStr">
        <is>
          <t>Bitcoin</t>
        </is>
      </c>
      <c r="C23" s="173" t="inlineStr">
        <is>
          <t>Bitcoins held on-chain in Tether wallets</t>
        </is>
      </c>
      <c r="D23" s="173" t="inlineStr">
        <is>
          <t>First disclosed Q1 2023 ($1.5bn). Reaches $9bn by Q3 2025. Volatile category.</t>
        </is>
      </c>
    </row>
    <row r="24" ht="27.75" customHeight="1" s="95">
      <c r="A24" s="173" t="n"/>
      <c r="B24" s="173" t="inlineStr">
        <is>
          <t>Secured_Loans</t>
        </is>
      </c>
      <c r="C24" s="173" t="inlineStr">
        <is>
          <t>Loans over-collateralized by liquid assets (margin call + liquidation)</t>
        </is>
      </c>
      <c r="D24" s="173" t="inlineStr">
        <is>
          <t>Grew $3bn→$17bn 2022→2025. NOT to affiliated entities per Tether disclosures.</t>
        </is>
      </c>
    </row>
    <row r="25" ht="15" customHeight="1" s="95">
      <c r="A25" s="173" t="n"/>
      <c r="B25" s="173" t="inlineStr">
        <is>
          <t>Other_Investments</t>
        </is>
      </c>
      <c r="C25" s="173" t="inlineStr">
        <is>
          <t>Investments not meeting other categories</t>
        </is>
      </c>
      <c r="D25" s="173" t="inlineStr">
        <is>
          <t>Mixed bucket. In 2022-Q1, also bundled with Corp Bonds/Precious Metals.</t>
        </is>
      </c>
    </row>
    <row r="26" ht="15" customHeight="1" s="95">
      <c r="A26" s="173" t="n"/>
      <c r="B26" s="173" t="n"/>
      <c r="C26" s="173" t="n"/>
      <c r="D26" s="173" t="n"/>
    </row>
    <row r="27" ht="15" customHeight="1" s="95">
      <c r="A27" s="172" t="inlineStr">
        <is>
          <t>Liability Definition</t>
        </is>
      </c>
      <c r="B27" s="173" t="inlineStr">
        <is>
          <t>USDC: Total_Liabilities</t>
        </is>
      </c>
      <c r="C27" s="173" t="inlineStr">
        <is>
          <t>Equals USDC_Circulation</t>
        </is>
      </c>
      <c r="D27" s="173" t="inlineStr">
        <is>
          <t>Par redemption obligation; USDC is 1:1 backed.</t>
        </is>
      </c>
    </row>
    <row r="28" ht="27.75" customHeight="1" s="95">
      <c r="A28" s="173" t="n"/>
      <c r="B28" s="173" t="inlineStr">
        <is>
          <t>USDT: Total_Liabilities</t>
        </is>
      </c>
      <c r="C28" s="173" t="inlineStr">
        <is>
          <t>Equals Liabilities of issuing entity (slightly &gt; digital tokens issued)</t>
        </is>
      </c>
      <c r="D28" s="173" t="inlineStr">
        <is>
          <t>Includes small operational liabilities; tokens issued is the primary component (~99.9%).</t>
        </is>
      </c>
    </row>
    <row r="29" ht="15" customHeight="1" s="95">
      <c r="A29" s="173" t="n"/>
      <c r="B29" s="173" t="inlineStr">
        <is>
          <t>Equity_Implied</t>
        </is>
      </c>
      <c r="C29" s="173" t="inlineStr">
        <is>
          <t>Total_Assets − Total_Liabilities</t>
        </is>
      </c>
      <c r="D29" s="173" t="inlineStr">
        <is>
          <t>USDC: thin (~0.1-0.3%). USDT: thicker buffer ($1bn-$7bn) given asset volatility.</t>
        </is>
      </c>
    </row>
    <row r="30" ht="15" customHeight="1" s="95">
      <c r="A30" s="173" t="n"/>
      <c r="B30" s="173" t="inlineStr">
        <is>
          <t>ALR</t>
        </is>
      </c>
      <c r="C30" s="173" t="inlineStr">
        <is>
          <t>Total_Assets / Total_Liabilities</t>
        </is>
      </c>
      <c r="D30" s="173" t="inlineStr">
        <is>
          <t>Asset Liquidity Ratio. USDC always ≈1.001. USDT 1.000-1.05 range.</t>
        </is>
      </c>
    </row>
    <row r="31" ht="15" customHeight="1" s="95">
      <c r="A31" s="173" t="n"/>
      <c r="B31" s="173" t="n"/>
      <c r="C31" s="173" t="n"/>
      <c r="D31" s="173" t="n"/>
    </row>
    <row r="32" ht="27.75" customHeight="1" s="95">
      <c r="A32" s="172" t="inlineStr">
        <is>
          <t>Counterparty Risk</t>
        </is>
      </c>
      <c r="B32" s="173" t="inlineStr">
        <is>
          <t>Counterparty_Risk_Score (USDC)</t>
        </is>
      </c>
      <c r="C32" s="173" t="inlineStr">
        <is>
          <t>Count of cash custodians that subsequently failed/faced distress</t>
        </is>
      </c>
      <c r="D32" s="173" t="inlineStr">
        <is>
          <t>Jan-Mar 6 2023: Score=3 (Signature, SVB, Silvergate). Mar 31 2023 onwards: Score=0.</t>
        </is>
      </c>
    </row>
    <row r="33" ht="27.75" customHeight="1" s="95">
      <c r="A33" s="173" t="n"/>
      <c r="B33" s="173" t="inlineStr">
        <is>
          <t>Counterparty Risk (USDT)</t>
        </is>
      </c>
      <c r="C33" s="173" t="inlineStr">
        <is>
          <t>Not scored — Tether does not disclose custodian list</t>
        </is>
      </c>
      <c r="D33" s="173" t="inlineStr">
        <is>
          <t>Diversified across "global financial institutions" with rating thresholds; specific names not disclosed.</t>
        </is>
      </c>
    </row>
    <row r="34" ht="15" customHeight="1" s="95">
      <c r="A34" s="173" t="n"/>
      <c r="B34" s="173" t="n"/>
      <c r="C34" s="173" t="n"/>
      <c r="D34" s="173" t="n"/>
    </row>
    <row r="35" ht="15" customHeight="1" s="95">
      <c r="A35" s="172" t="inlineStr">
        <is>
          <t>Comparison Frame</t>
        </is>
      </c>
      <c r="B35" s="173" t="inlineStr">
        <is>
          <t>USDC frequency</t>
        </is>
      </c>
      <c r="C35" s="173" t="inlineStr">
        <is>
          <t>Monthly (2020-2022), Bi-monthly (2023+, dual dates)</t>
        </is>
      </c>
      <c r="D35" s="173" t="inlineStr">
        <is>
          <t>Mid-month + month-end from 2023 onwards.</t>
        </is>
      </c>
    </row>
    <row r="36" ht="27.75" customHeight="1" s="95">
      <c r="A36" s="173" t="n"/>
      <c r="B36" s="173" t="inlineStr">
        <is>
          <t>USDT frequency</t>
        </is>
      </c>
      <c r="C36" s="173" t="inlineStr">
        <is>
          <t>Quarterly only</t>
        </is>
      </c>
      <c r="D36" s="173" t="inlineStr">
        <is>
          <t>Constrains comparison panel to quarter-ends. USDC must be collapsed to Q1/Q2/Q3/Q4 dates for direct comparison.</t>
        </is>
      </c>
    </row>
    <row r="37" ht="15" customHeight="1" s="95">
      <c r="A37" s="173" t="n"/>
      <c r="B37" s="173" t="inlineStr">
        <is>
          <t>Comparison panel scope</t>
        </is>
      </c>
      <c r="C37" s="173" t="inlineStr">
        <is>
          <t>Q3 2022 - Q4 2025 (14 quarters)</t>
        </is>
      </c>
      <c r="D37" s="173" t="inlineStr">
        <is>
          <t>Both issuers in Tier 3 (full itemized). Earlier USDT periods are Tier 1 only.</t>
        </is>
      </c>
    </row>
    <row r="38" ht="15" customHeight="1" s="95">
      <c r="A38" s="173" t="n"/>
      <c r="B38" s="173" t="n"/>
      <c r="C38" s="173" t="n"/>
      <c r="D38" s="173" t="n"/>
    </row>
    <row r="39" ht="15" customHeight="1" s="95">
      <c r="A39" s="172" t="inlineStr">
        <is>
          <t>Key Structural Events</t>
        </is>
      </c>
      <c r="B39" s="173" t="inlineStr">
        <is>
          <t>Q1 2021 (USDT)</t>
        </is>
      </c>
      <c r="C39" s="173" t="inlineStr">
        <is>
          <t>Pie chart era: 76% CP, only 3% T-bills (industry concern)</t>
        </is>
      </c>
      <c r="D39" s="173" t="inlineStr">
        <is>
          <t>Not captured in Tier 3 dataset (no audited breakdown); referenced for narrative.</t>
        </is>
      </c>
    </row>
    <row r="40" ht="15" customHeight="1" s="95">
      <c r="A40" s="173" t="n"/>
      <c r="B40" s="173" t="inlineStr">
        <is>
          <t>NYAG settlement (Feb 2021)</t>
        </is>
      </c>
      <c r="C40" s="173" t="inlineStr">
        <is>
          <t>Tether/Bitfinex settle with NY AG for $18.5m</t>
        </is>
      </c>
      <c r="D40" s="173" t="inlineStr">
        <is>
          <t>Trigger for improved transparency in subsequent quarters.</t>
        </is>
      </c>
    </row>
    <row r="41" ht="15" customHeight="1" s="95">
      <c r="A41" s="173" t="n"/>
      <c r="B41" s="173" t="inlineStr">
        <is>
          <t>May 2022 LUNA/UST collapse</t>
        </is>
      </c>
      <c r="C41" s="173" t="inlineStr">
        <is>
          <t>USDT supply −$16bn in 30 days</t>
        </is>
      </c>
      <c r="D41" s="173" t="inlineStr">
        <is>
          <t>Liquidity stress event #1. USDC unaffected (gained share).</t>
        </is>
      </c>
    </row>
    <row r="42" ht="15" customHeight="1" s="95">
      <c r="A42" s="173" t="n"/>
      <c r="B42" s="173" t="inlineStr">
        <is>
          <t>Q3 2022 (USDT)</t>
        </is>
      </c>
      <c r="C42" s="173" t="inlineStr">
        <is>
          <t>CP&amp;CDs collapsed $20bn→$50m. Pivot to T-bills.</t>
        </is>
      </c>
      <c r="D42" s="173" t="inlineStr">
        <is>
          <t>Largest portfolio shift; aligns with US Stablecoin TIPS Act drafts.</t>
        </is>
      </c>
    </row>
    <row r="43" ht="15" customHeight="1" s="95">
      <c r="A43" s="173" t="n"/>
      <c r="B43" s="173" t="inlineStr">
        <is>
          <t>Nov 2022 FTX collapse</t>
        </is>
      </c>
      <c r="C43" s="173" t="inlineStr">
        <is>
          <t>USDC: Circle Reserve Fund (BlackRock) introduced mid-Q4</t>
        </is>
      </c>
      <c r="D43" s="173" t="inlineStr">
        <is>
          <t>Risk transfer from direct deposits to MMF + regulatory anchor.</t>
        </is>
      </c>
    </row>
    <row r="44" ht="15" customHeight="1" s="95">
      <c r="A44" s="173" t="n"/>
      <c r="B44" s="173" t="inlineStr">
        <is>
          <t>Mar 6-31 2023</t>
        </is>
      </c>
      <c r="C44" s="173" t="inlineStr">
        <is>
          <t>SVB/Signature/Silvergate failures; USDC depegged briefly</t>
        </is>
      </c>
      <c r="D44" s="173" t="inlineStr">
        <is>
          <t>Natural experiment for counterparty risk scoring (3→0).</t>
        </is>
      </c>
    </row>
    <row r="45" ht="15" customHeight="1" s="95">
      <c r="A45" s="173" t="n"/>
      <c r="B45" s="173" t="inlineStr">
        <is>
          <t>May 31 2023 (USDC)</t>
        </is>
      </c>
      <c r="C45" s="173" t="inlineStr">
        <is>
          <t>First date: zero T-bills in CRF / 100% Repos</t>
        </is>
      </c>
      <c r="D45" s="173" t="inlineStr">
        <is>
          <t>Earlier inflection than the Jun 2, 2023 date previously noted.</t>
        </is>
      </c>
    </row>
    <row r="46" ht="27.75" customHeight="1" s="95">
      <c r="A46" s="173" t="n"/>
      <c r="B46" s="173" t="inlineStr">
        <is>
          <t>Q1 2024 (USDT)</t>
        </is>
      </c>
      <c r="C46" s="173" t="inlineStr">
        <is>
          <t>Reserves format begins; Tether International (BVI) is issuing entity</t>
        </is>
      </c>
      <c r="D46" s="173" t="inlineStr">
        <is>
          <t>Methodological change in disclosure (Reserves vs consolidated assets).</t>
        </is>
      </c>
    </row>
    <row r="47" ht="27.75" customHeight="1" s="95">
      <c r="A47" s="173" t="n"/>
      <c r="B47" s="173" t="inlineStr">
        <is>
          <t>Jan 2025 (USDC)</t>
        </is>
      </c>
      <c r="C47" s="173" t="inlineStr">
        <is>
          <t>Legal entity: Circle Internet Financial LLC → Circle Internet Group Inc.</t>
        </is>
      </c>
      <c r="D47" s="173" t="inlineStr">
        <is>
          <t>Control variable: auditor unchanged from 2025 (Deloitte).</t>
        </is>
      </c>
    </row>
    <row r="48" ht="27.75" customHeight="1" s="95">
      <c r="A48" s="173" t="n"/>
      <c r="B48" s="173" t="inlineStr">
        <is>
          <t>Q1 2025 (USDT)</t>
        </is>
      </c>
      <c r="C48" s="173" t="inlineStr">
        <is>
          <t>Legal entity moves to El Salvador (Tether International S.A. de C.V.)</t>
        </is>
      </c>
      <c r="D48" s="173" t="inlineStr">
        <is>
          <t>Jurisdiction change; same BDO Italia auditor continues.</t>
        </is>
      </c>
    </row>
    <row r="49" ht="15" customHeight="1" s="95">
      <c r="A49" s="173" t="n"/>
      <c r="B49" s="173" t="n"/>
      <c r="C49" s="173" t="n"/>
      <c r="D49" s="173" t="n"/>
    </row>
    <row r="50" ht="15" customHeight="1" s="95">
      <c r="A50" s="172" t="inlineStr">
        <is>
          <t>LCR Methodology</t>
        </is>
      </c>
      <c r="B50" s="173" t="inlineStr">
        <is>
          <t>Outflow scenarios</t>
        </is>
      </c>
      <c r="C50" s="173" t="inlineStr">
        <is>
          <t>Recommend 20% / 40% / 60% graduated stress</t>
        </is>
      </c>
      <c r="D50" s="173" t="inlineStr">
        <is>
          <t>NOT YET FINALIZED — lock before analysis phase.</t>
        </is>
      </c>
    </row>
    <row r="51" ht="27.75" customHeight="1" s="95">
      <c r="A51" s="173" t="n"/>
      <c r="B51" s="173" t="inlineStr">
        <is>
          <t>HQLA classification</t>
        </is>
      </c>
      <c r="C51" s="173" t="inlineStr">
        <is>
          <t>Direct T-bills: Level 1 (0% haircut). MMF units: Level 2B (50% haircut).</t>
        </is>
      </c>
      <c r="D51" s="173" t="inlineStr">
        <is>
          <t>Per Basel III LCR30 framework.</t>
        </is>
      </c>
    </row>
    <row r="52" ht="27.75" customHeight="1" s="95">
      <c r="A52" s="173" t="n"/>
      <c r="B52" s="173" t="inlineStr">
        <is>
          <t>Reverse Repos</t>
        </is>
      </c>
      <c r="C52" s="173" t="inlineStr">
        <is>
          <t>Level 1 if overnight UST-collateralized; subject to rollover risk</t>
        </is>
      </c>
      <c r="D52" s="173" t="inlineStr">
        <is>
          <t>Material consideration after May/Jun 2023 USDC pivot.</t>
        </is>
      </c>
    </row>
    <row r="53" ht="27.75" customHeight="1" s="95">
      <c r="A53" s="173" t="n"/>
      <c r="B53" s="173" t="inlineStr">
        <is>
          <t>Bitcoin (USDT only)</t>
        </is>
      </c>
      <c r="C53" s="173" t="inlineStr">
        <is>
          <t>Not HQLA. Apply Basel III crypto framework: 1250% RWA?</t>
        </is>
      </c>
      <c r="D53" s="173" t="inlineStr">
        <is>
          <t>OPEN QUESTION: how to treat in LCR/RWA. Tier 1 capital treatment under SCO60.</t>
        </is>
      </c>
    </row>
    <row r="54" ht="27.75" customHeight="1" s="95">
      <c r="A54" s="173" t="n"/>
      <c r="B54" s="173" t="inlineStr">
        <is>
          <t>Precious Metals (USDT)</t>
        </is>
      </c>
      <c r="C54" s="173" t="inlineStr">
        <is>
          <t>Not HQLA. Marked-to-market gold; subject to commodity haircut.</t>
        </is>
      </c>
      <c r="D54" s="173" t="inlineStr">
        <is>
          <t>Material from 2023 onwards. Apply BIS commodity exposure rules.</t>
        </is>
      </c>
    </row>
    <row r="55" ht="15" customHeight="1" s="95">
      <c r="A55" s="173" t="n"/>
      <c r="B55" s="173" t="n"/>
      <c r="C55" s="173" t="n"/>
      <c r="D55" s="173" t="n"/>
    </row>
    <row r="56" ht="27.75" customHeight="1" s="95">
      <c r="A56" s="172" t="inlineStr">
        <is>
          <t>Data Provenance</t>
        </is>
      </c>
      <c r="B56" s="173" t="inlineStr">
        <is>
          <t>USDC PDFs source</t>
        </is>
      </c>
      <c r="C56" s="173" t="inlineStr">
        <is>
          <t>Circle Reserve Reports (Grant Thornton 2020-22, Deloitte 2023+)</t>
        </is>
      </c>
      <c r="D56" s="173" t="inlineStr">
        <is>
          <t>All 72 months 2020-2025 verified from PDF.</t>
        </is>
      </c>
    </row>
    <row r="57" ht="27.75" customHeight="1" s="95">
      <c r="A57" s="173" t="n"/>
      <c r="B57" s="173" t="inlineStr">
        <is>
          <t>USDT PDFs source</t>
        </is>
      </c>
      <c r="C57" s="173" t="inlineStr">
        <is>
          <t>Tether CRR / Reserves Report (Moore 2021-Q3, MHA 2021-Q4 to 2022-Q1, BDO 2022-Q2+)</t>
        </is>
      </c>
      <c r="D57" s="173" t="inlineStr">
        <is>
          <t>All 21 quarter-ends 2021-Q1 to 2025-Q4 verified from PDF.</t>
        </is>
      </c>
    </row>
    <row r="58" ht="15" customHeight="1" s="95">
      <c r="A58" s="173" t="n"/>
      <c r="B58" s="173" t="inlineStr">
        <is>
          <t>Yield curve data</t>
        </is>
      </c>
      <c r="C58" s="173" t="inlineStr">
        <is>
          <t>FRED DGS1MO, DGS3MO, DGS6MO, DGS1</t>
        </is>
      </c>
      <c r="D58" s="173" t="inlineStr">
        <is>
          <t>For interest rate sensitivity analysis.</t>
        </is>
      </c>
    </row>
    <row r="59" ht="15" customHeight="1" s="95">
      <c r="A59" s="173" t="n"/>
      <c r="B59" s="173" t="inlineStr">
        <is>
          <t>Supply data</t>
        </is>
      </c>
      <c r="C59" s="173" t="inlineStr">
        <is>
          <t>CoinGecko daily</t>
        </is>
      </c>
      <c r="D59" s="173" t="inlineStr">
        <is>
          <t>For redemption stress scenarios.</t>
        </is>
      </c>
    </row>
    <row r="61" ht="15" customHeight="1" s="95">
      <c r="A61" s="165" t="inlineStr">
        <is>
          <t>— USDP / GOLD / BTC ADDITIONS —</t>
        </is>
      </c>
    </row>
    <row r="62" ht="15" customHeight="1" s="95">
      <c r="A62" s="147" t="inlineStr">
        <is>
          <t>Section</t>
        </is>
      </c>
      <c r="B62" s="147" t="inlineStr">
        <is>
          <t>Decision</t>
        </is>
      </c>
      <c r="C62" s="147" t="inlineStr">
        <is>
          <t>Rationale</t>
        </is>
      </c>
      <c r="D62" s="147" t="inlineStr">
        <is>
          <t>Source/Citation</t>
        </is>
      </c>
    </row>
    <row r="63" ht="27.75" customHeight="1" s="95">
      <c r="A63" s="173" t="inlineStr">
        <is>
          <t>USDP Issuer</t>
        </is>
      </c>
      <c r="B63" s="173" t="inlineStr">
        <is>
          <t>Paxos Trust Company, LLC → Paxos Trust Company, N.A. (Dec 12, 2025)</t>
        </is>
      </c>
      <c r="C63" s="173" t="inlineStr">
        <is>
          <t>OCC conversion from NYDFS-supervised trust to national bank.</t>
        </is>
      </c>
      <c r="D63" s="173" t="inlineStr">
        <is>
          <t>Download_74.pdf (Dec 31, 2025)</t>
        </is>
      </c>
    </row>
    <row r="64" ht="27.75" customHeight="1" s="95">
      <c r="A64" s="173" t="inlineStr">
        <is>
          <t>USDP Auditor</t>
        </is>
      </c>
      <c r="B64" s="173" t="inlineStr">
        <is>
          <t>Withum (Feb 2020 - Jan 2025) → KPMG (Feb 2025+)</t>
        </is>
      </c>
      <c r="C64" s="173" t="inlineStr">
        <is>
          <t>Big Four upgrade. KPMG uses AICPA 2025 Stablecoin Reporting Criteria.</t>
        </is>
      </c>
      <c r="D64" s="173" t="inlineStr">
        <is>
          <t>Download_64 final Withum; Download_65 first KPMG</t>
        </is>
      </c>
    </row>
    <row r="65" ht="27.75" customHeight="1" s="95">
      <c r="A65" s="173" t="inlineStr">
        <is>
          <t>USDP Regulation</t>
        </is>
      </c>
      <c r="B65" s="173" t="inlineStr">
        <is>
          <t>NYDFS Guidelines (Jun 8, 2022) + GENIUS Act §4(a)(1)(A) from Dec 2025</t>
        </is>
      </c>
      <c r="C65" s="173" t="inlineStr">
        <is>
          <t>Federal stablecoin framework applies post-OCC conversion.</t>
        </is>
      </c>
      <c r="D65" s="173" t="inlineStr">
        <is>
          <t>Download_74.pdf</t>
        </is>
      </c>
    </row>
    <row r="66" ht="27.75" customHeight="1" s="95">
      <c r="A66" s="173" t="inlineStr">
        <is>
          <t>USDP Reserve Composition</t>
        </is>
      </c>
      <c r="B66" s="173" t="inlineStr">
        <is>
          <t>Direct holdings: T-bills + Overnight Reverse Repos + Cash. NO MMF wrapper.</t>
        </is>
      </c>
      <c r="C66" s="173" t="inlineStr">
        <is>
          <t>Pure narrow-bank model. Contrast: Circle uses BlackRock-managed MMF wrapper.</t>
        </is>
      </c>
      <c r="D66" s="173" t="inlineStr">
        <is>
          <t>All USDP attestations</t>
        </is>
      </c>
    </row>
    <row r="67" ht="27.75" customHeight="1" s="95">
      <c r="A67" s="173" t="inlineStr">
        <is>
          <t>USDP Counterparty Risk</t>
        </is>
      </c>
      <c r="B67" s="173" t="inlineStr">
        <is>
          <t>Counterparty_Risk_Score = 0 throughout 2020-2025</t>
        </is>
      </c>
      <c r="C67" s="173" t="inlineStr">
        <is>
          <t>Paxos custodians (State Street, BNY Mellon) not among SVB/Signature/Silvergate. No USDP depeg Mar 2023.</t>
        </is>
      </c>
      <c r="D67" s="173" t="inlineStr">
        <is>
          <t>Cross-referenced with USDC SVB exposure</t>
        </is>
      </c>
    </row>
    <row r="68" ht="27.75" customHeight="1" s="95">
      <c r="A68" s="173" t="inlineStr">
        <is>
          <t>USDP Total Liabilities</t>
        </is>
      </c>
      <c r="B68" s="173" t="inlineStr">
        <is>
          <t>Total_Liabilities = USDP_Circulation (mirrors USDC convention)</t>
        </is>
      </c>
      <c r="C68" s="173" t="inlineStr">
        <is>
          <t>Reserve report is ring-fenced redemption assets, not Paxos consolidated entity.</t>
        </is>
      </c>
      <c r="D68" s="173" t="inlineStr">
        <is>
          <t>Locked methodology decision</t>
        </is>
      </c>
    </row>
    <row r="69" ht="27.75" customHeight="1" s="95">
      <c r="A69" s="173" t="inlineStr">
        <is>
          <t>USDP Equity Caveat</t>
        </is>
      </c>
      <c r="B69" s="173" t="inlineStr">
        <is>
          <t>Equity_Implied = Total_Assets − USDP_Circulation, NOT corporate capital</t>
        </is>
      </c>
      <c r="C69" s="173" t="inlineStr">
        <is>
          <t>Same asymmetry as USDC. Paxos parent capital is OFF-report. USDT differs (consolidated).</t>
        </is>
      </c>
      <c r="D69" s="173" t="inlineStr">
        <is>
          <t>Comparable to USDC treatment</t>
        </is>
      </c>
    </row>
    <row r="70" ht="27.75" customHeight="1" s="95">
      <c r="A70" s="173" t="inlineStr">
        <is>
          <t>USDP Tier System</t>
        </is>
      </c>
      <c r="B70" s="173" t="inlineStr">
        <is>
          <t>Tier 1: Feb 2020 - Oct 2022. Tier 3: Nov 14, 2022 - Dec 31, 2025.</t>
        </is>
      </c>
      <c r="C70" s="173" t="inlineStr">
        <is>
          <t>Nov 14, 2022 is first Withum report with asset-by-asset disclosure. 54 of 106 rows are Tier 3.</t>
        </is>
      </c>
      <c r="D70" s="173" t="inlineStr">
        <is>
          <t>Confirmed via PDF inspection</t>
        </is>
      </c>
    </row>
    <row r="71" ht="27.75" customHeight="1" s="95">
      <c r="A71" s="173" t="inlineStr">
        <is>
          <t>USDP Dual Dates</t>
        </is>
      </c>
      <c r="B71" s="173" t="inlineStr">
        <is>
          <t>From Nov 2022, mid-month + month-end values per attestation</t>
        </is>
      </c>
      <c r="C71" s="173" t="inlineStr">
        <is>
          <t>Mid-month rows retained for stress sub-analysis; Month-End is primary series. Same as USDC.</t>
        </is>
      </c>
      <c r="D71" s="173" t="inlineStr">
        <is>
          <t>Mirrors USDC convention</t>
        </is>
      </c>
    </row>
    <row r="72" ht="27.75" customHeight="1" s="95">
      <c r="A72" s="173" t="inlineStr">
        <is>
          <t>USDP Wind-Down</t>
        </is>
      </c>
      <c r="B72" s="173" t="inlineStr">
        <is>
          <t>Supply trajectory: $200m (Feb 2020) → $1.0bn peak (Apr 2022) → $48m (Dec 2025)</t>
        </is>
      </c>
      <c r="C72" s="173" t="inlineStr">
        <is>
          <t>USDP effectively winding down. Materiality decreasing. Use for spectrum-anchor purpose (RQ4), not as primary stress subject.</t>
        </is>
      </c>
      <c r="D72" s="173" t="inlineStr">
        <is>
          <t>USDP_RAW time series</t>
        </is>
      </c>
    </row>
    <row r="73" ht="27.75" customHeight="1" s="95">
      <c r="A73" s="173" t="inlineStr">
        <is>
          <t>USDP Patches</t>
        </is>
      </c>
      <c r="B73" s="173" t="inlineStr">
        <is>
          <t>8 rows manually verified from PDF images</t>
        </is>
      </c>
      <c r="C73" s="173" t="inlineStr">
        <is>
          <t>Nov 14/30 2022, Dec 8/30 2022, Aug 27/30 2024, Sep 18/30 2024. Parser missed these; user supplied screenshots.</t>
        </is>
      </c>
      <c r="D73" s="173" t="inlineStr">
        <is>
          <t>PDF Download_37, 38, 60, 61</t>
        </is>
      </c>
    </row>
    <row r="74" ht="27.75" customHeight="1" s="95">
      <c r="A74" s="173" t="inlineStr">
        <is>
          <t>Gold Price Source</t>
        </is>
      </c>
      <c r="B74" s="173" t="inlineStr">
        <is>
          <t>Macrotrends monthly first-of-month spot price (USD/oz), 2019-2026</t>
        </is>
      </c>
      <c r="C74" s="173" t="inlineStr">
        <is>
          <t>FRED removed LBMA Gold (GOLDAMGBD228NLBM) Jan 31, 2022. WGC also removed historical LBMA Mar 18, 2025.</t>
        </is>
      </c>
      <c r="D74" s="173" t="inlineStr">
        <is>
          <t>chart_20260608T061436_1.csv</t>
        </is>
      </c>
    </row>
    <row r="75" ht="27.75" customHeight="1" s="95">
      <c r="A75" s="173" t="inlineStr">
        <is>
          <t>Gold Use Case</t>
        </is>
      </c>
      <c r="B75" s="173" t="inlineStr">
        <is>
          <t>Decompose Tether precious metals growth: purchases vs price appreciation</t>
        </is>
      </c>
      <c r="C75" s="173" t="inlineStr">
        <is>
          <t>Tether holds physical gold. Without gold price, cannot separate buying activity from valuation gains.</t>
        </is>
      </c>
      <c r="D75" s="173" t="inlineStr">
        <is>
          <t>For RQ1 and RQ2 analysis</t>
        </is>
      </c>
    </row>
    <row r="76" ht="27.75" customHeight="1" s="95">
      <c r="A76" s="173" t="inlineStr">
        <is>
          <t>BTC Price Source</t>
        </is>
      </c>
      <c r="B76" s="173" t="inlineStr">
        <is>
          <t>CoinGecko daily USD spot, 2019-2026 (2717 rows)</t>
        </is>
      </c>
      <c r="C76" s="173" t="inlineStr">
        <is>
          <t>Same source/granularity as USDC and USDT supply data in Supply_Daily.</t>
        </is>
      </c>
      <c r="D76" s="173" t="inlineStr">
        <is>
          <t>btcusdmax.csv</t>
        </is>
      </c>
    </row>
    <row r="77" ht="27.75" customHeight="1" s="95">
      <c r="A77" s="173" t="inlineStr">
        <is>
          <t>BTC Use Case</t>
        </is>
      </c>
      <c r="B77" s="173" t="inlineStr">
        <is>
          <t>Tether Bitcoin position MtM + stress windows (FTX, yen-carry, BTC ATH)</t>
        </is>
      </c>
      <c r="C77" s="173" t="inlineStr">
        <is>
          <t>Tether holds direct BTC. Major drawdowns tested reserve composition.</t>
        </is>
      </c>
      <c r="D77" s="173" t="inlineStr">
        <is>
          <t>For Stress_Episodes cross-reference</t>
        </is>
      </c>
    </row>
    <row r="78" ht="27.75" customHeight="1" s="95">
      <c r="A78" s="173" t="inlineStr">
        <is>
          <t>Narrow-Bank Spectrum (RQ4)</t>
        </is>
      </c>
      <c r="B78" s="173" t="inlineStr">
        <is>
          <t>USDP (pure narrow bank) ←→ USDC (govt MMF wrapper) ←→ USDT (diversified)</t>
        </is>
      </c>
      <c r="C78" s="173" t="inlineStr">
        <is>
          <t>Three-issuer spectrum enables narrow-bank vs MMF vs investment-vehicle classification.</t>
        </is>
      </c>
      <c r="D78" s="173" t="inlineStr">
        <is>
          <t>For RQ4 classification</t>
        </is>
      </c>
    </row>
    <row r="80" ht="15" customHeight="1" s="95">
      <c r="A80" s="165" t="inlineStr">
        <is>
          <t>— AMENDMENTS (reframing as understanding improves) —</t>
        </is>
      </c>
    </row>
    <row r="81" ht="15" customHeight="1" s="95">
      <c r="A81" s="174" t="inlineStr">
        <is>
          <t>Section</t>
        </is>
      </c>
      <c r="B81" s="174" t="inlineStr">
        <is>
          <t>Decision</t>
        </is>
      </c>
      <c r="C81" s="174" t="inlineStr">
        <is>
          <t>Rationale</t>
        </is>
      </c>
      <c r="D81" s="174" t="inlineStr">
        <is>
          <t>Source/Citation</t>
        </is>
      </c>
    </row>
    <row r="82" ht="81.75" customHeight="1" s="95">
      <c r="A82" s="173" t="inlineStr">
        <is>
          <t>HQLA — MMF treatment (AMENDED)</t>
        </is>
      </c>
      <c r="B82" s="173" t="inlineStr">
        <is>
          <t>Primary = look-through (CRF decomposed: T-bills + UST repos = Level 1, 0% haircut; cash = Level 1). Sensitivity = opaque Option B (whole CRF unit as Level 2B, 50% haircut).</t>
        </is>
      </c>
      <c r="C82" s="173" t="inlineStr">
        <is>
          <t>MMF units are NOT a named Level 2B category in Basel III LCR30. The 50% is an analogy, not a rule. Look-through is economically accurate (CRF is a Rule 2a-7 govt MMF holding T-bills/repos); opaque 50% is a conservative bound. Running both brackets the truth and turns the gap into a robustness feature. Supersedes earlier "50% locked" decision.</t>
        </is>
      </c>
      <c r="D82" s="173" t="inlineStr">
        <is>
          <t>BIS Basel Framework LCR30 (bis.org/basel_framework/chapter/LCR/30.htm); Circle attestations state CRF is Rule 2a-7 govt MMF</t>
        </is>
      </c>
    </row>
    <row r="83" ht="54.75" customHeight="1" s="95">
      <c r="A83" s="173" t="inlineStr">
        <is>
          <t>HQLA — haircut reference values</t>
        </is>
      </c>
      <c r="B83" s="173" t="inlineStr">
        <is>
          <t>Level 1 = 0% haircut (no cap); Level 2A = 15%; Level 2B = 50% (equities/corp bonds A+ to BBB-) or 25% (qualifying RMBS). Level 2 capped at 40% of HQLA, Level 2B at 15%.</t>
        </is>
      </c>
      <c r="C83" s="173" t="inlineStr">
        <is>
          <t>These are the literal Basel III figures, cited so the thesis applies real numbers rather than invented ones.</t>
        </is>
      </c>
      <c r="D83" s="173" t="inlineStr">
        <is>
          <t>BIS Basel Framework LCR30.41–30.45; BCBS Jan 2013 LCR revisions</t>
        </is>
      </c>
    </row>
    <row r="84" ht="68.25" customHeight="1" s="95">
      <c r="A84" s="173" t="inlineStr">
        <is>
          <t>Capital visibility — post-IPO Circle (NEW)</t>
        </is>
      </c>
      <c r="B84" s="173" t="inlineStr">
        <is>
          <t>From mid-2025, use Circle Internet Group consolidated GAAP equity as the parent-level capital figure, alongside the ring-fenced reserve excess. Pre-IPO quarters lack this; group-comparison robust only from Q2 2025.</t>
        </is>
      </c>
      <c r="C84" s="173" t="inlineStr">
        <is>
          <t>Circle IPO (Jun 2025) made parent equity publicly auditable for the first time, resolving the ring-fencing limitation flagged in Week 1. Lets the thesis state Circle group capital ~4.0% vs USDT reserve buffer ~3.4% — comparable in size, different in location and disclosure standard.</t>
        </is>
      </c>
      <c r="D84" s="173" t="inlineStr">
        <is>
          <t>SEC EDGAR CIK 0001876042: Circle 10-Q periods ended Jun 30 2025 and Sep 30 2025</t>
        </is>
      </c>
    </row>
    <row r="85" ht="68.25" customHeight="1" s="95">
      <c r="A85" s="173" t="inlineStr">
        <is>
          <t>Capital — GAAP vs attestation caveat</t>
        </is>
      </c>
      <c r="B85" s="173" t="inlineStr">
        <is>
          <t>Circle group equity = audited public-company US GAAP. USDT buffer = reserve excess under ISAE 3000 attestation. Not the same standard; comparison is in magnitude only, with caveat stated.</t>
        </is>
      </c>
      <c r="C85" s="173" t="inlineStr">
        <is>
          <t>Prevents overclaiming. The two numbers are now comparable in size but rest on different assurance regimes and different reporting perimeters (group vs reserve pool).</t>
        </is>
      </c>
      <c r="D85" s="173" t="inlineStr">
        <is>
          <t>US GAAP vs ISAE 3000R; state explicitly in methodology and discussion; Dec 31 2025 equity ($3,329,327 thousand common stock equity) from Circle 10-K FY2025, SEC EDGAR CIK 0001876042</t>
        </is>
      </c>
    </row>
    <row r="86" ht="54.75" customHeight="1" s="95">
      <c r="A86" s="173" t="inlineStr">
        <is>
          <t>Methodology stance (NEW)</t>
        </is>
      </c>
      <c r="B86" s="173" t="inlineStr">
        <is>
          <t>Locked decisions are stable but revisable. As data/understanding improves, decisions may be reframed with documented rationale and source. Changes recorded in this amendments block.</t>
        </is>
      </c>
      <c r="C86" s="173" t="inlineStr">
        <is>
          <t>Research process, not drift. Each change is deliberate, sourced, and dated rather than silent.</t>
        </is>
      </c>
      <c r="D86" s="173" t="inlineStr">
        <is>
          <t>Project working agreement</t>
        </is>
      </c>
    </row>
    <row r="88" ht="15" customHeight="1" s="95">
      <c r="A88" s="165" t="inlineStr">
        <is>
          <t>— CIRCLE GROUP CAPITAL vs USDC (post-IPO) —</t>
        </is>
      </c>
    </row>
    <row r="89" ht="15" customHeight="1" s="95">
      <c r="A89" s="175" t="inlineStr">
        <is>
          <t>Quarter-end</t>
        </is>
      </c>
      <c r="B89" s="175" t="inlineStr">
        <is>
          <t>Circle group equity</t>
        </is>
      </c>
      <c r="C89" s="175" t="inlineStr">
        <is>
          <t>USDC in circulation</t>
        </is>
      </c>
      <c r="D89" s="175" t="inlineStr">
        <is>
          <t>Group equity / USDC</t>
        </is>
      </c>
    </row>
    <row r="90" ht="15" customHeight="1" s="95">
      <c r="A90" s="173" t="inlineStr">
        <is>
          <t>Dec 31 2024 (pre-IPO)</t>
        </is>
      </c>
      <c r="B90" s="173" t="inlineStr">
        <is>
          <t>$570.5m</t>
        </is>
      </c>
      <c r="C90" s="173" t="inlineStr">
        <is>
          <t>$43.86bn</t>
        </is>
      </c>
      <c r="D90" s="173" t="inlineStr">
        <is>
          <t>1.30%</t>
        </is>
      </c>
    </row>
    <row r="91" ht="15" customHeight="1" s="95">
      <c r="A91" s="173" t="inlineStr">
        <is>
          <t>Jun 30 2025 (post-IPO)</t>
        </is>
      </c>
      <c r="B91" s="173" t="inlineStr">
        <is>
          <t>$2.371bn</t>
        </is>
      </c>
      <c r="C91" s="173" t="inlineStr">
        <is>
          <t>$61.33bn</t>
        </is>
      </c>
      <c r="D91" s="173" t="inlineStr">
        <is>
          <t>3.87%</t>
        </is>
      </c>
    </row>
    <row r="92" ht="15" customHeight="1" s="95">
      <c r="A92" s="173" t="inlineStr">
        <is>
          <t>Sep 30 2025 (post-IPO)</t>
        </is>
      </c>
      <c r="B92" s="173" t="inlineStr">
        <is>
          <t>$3.023bn</t>
        </is>
      </c>
      <c r="C92" s="173" t="inlineStr">
        <is>
          <t>$73.75bn</t>
        </is>
      </c>
      <c r="D92" s="173" t="inlineStr">
        <is>
          <t>4.10%</t>
        </is>
      </c>
    </row>
    <row r="93" ht="15" customHeight="1" s="95">
      <c r="A93" s="176" t="inlineStr">
        <is>
          <t>Dec 31 2025 (post-IPO)</t>
        </is>
      </c>
      <c r="B93" s="176" t="inlineStr">
        <is>
          <t>$3.331bn</t>
        </is>
      </c>
      <c r="C93" s="176" t="inlineStr">
        <is>
          <t>$75.27bn</t>
        </is>
      </c>
      <c r="D93" s="176" t="inlineStr">
        <is>
          <t>4.42%</t>
        </is>
      </c>
    </row>
    <row r="94" ht="27.75" customHeight="1" s="95">
      <c r="A94" s="173" t="inlineStr">
        <is>
          <t>Avg of post-IPO quarters</t>
        </is>
      </c>
      <c r="B94" s="173" t="n"/>
      <c r="C94" s="173" t="n"/>
      <c r="D94" s="173" t="inlineStr">
        <is>
          <t>~4.1% (3 post-IPO quarters)</t>
        </is>
      </c>
    </row>
    <row r="95" ht="28.35" customHeight="1" s="95">
      <c r="A95" s="173" t="inlineStr">
        <is>
          <t>USDT reserve buffer (comparison)</t>
        </is>
      </c>
      <c r="B95" s="173" t="n"/>
      <c r="C95" s="173" t="n"/>
      <c r="D95" s="173" t="inlineStr">
        <is>
          <t>~3.4%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5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4" min="1" max="5"/>
    <col width="30" customWidth="1" style="94" min="6" max="6"/>
  </cols>
  <sheetData>
    <row r="1" ht="30" customHeight="1" s="95">
      <c r="A1" s="142" t="inlineStr">
        <is>
          <t>Date</t>
        </is>
      </c>
      <c r="B1" s="142" t="inlineStr">
        <is>
          <t>DGS1MO (%)</t>
        </is>
      </c>
      <c r="C1" s="142" t="inlineStr">
        <is>
          <t>DGS3MO (%)</t>
        </is>
      </c>
      <c r="D1" s="142" t="inlineStr">
        <is>
          <t>DGS6MO (%)</t>
        </is>
      </c>
      <c r="E1" s="142" t="inlineStr">
        <is>
          <t>DGS1Y (%)</t>
        </is>
      </c>
      <c r="F1" s="142" t="inlineStr">
        <is>
          <t>Notes</t>
        </is>
      </c>
    </row>
    <row r="2" ht="15" customHeight="1" s="95">
      <c r="A2" s="143" t="n">
        <v>43832</v>
      </c>
      <c r="B2" s="177" t="n">
        <v>1.53</v>
      </c>
      <c r="C2" s="177" t="n">
        <v>1.54</v>
      </c>
      <c r="D2" s="177" t="n">
        <v>1.57</v>
      </c>
      <c r="E2" s="177" t="n">
        <v>1.56</v>
      </c>
    </row>
    <row r="3" ht="15" customHeight="1" s="95">
      <c r="A3" s="143" t="n">
        <v>43833</v>
      </c>
      <c r="B3" s="177" t="n">
        <v>1.52</v>
      </c>
      <c r="C3" s="177" t="n">
        <v>1.52</v>
      </c>
      <c r="D3" s="177" t="n">
        <v>1.55</v>
      </c>
      <c r="E3" s="177" t="n">
        <v>1.55</v>
      </c>
    </row>
    <row r="4" ht="15" customHeight="1" s="95">
      <c r="A4" s="143" t="n">
        <v>43836</v>
      </c>
      <c r="B4" s="177" t="n">
        <v>1.54</v>
      </c>
      <c r="C4" s="177" t="n">
        <v>1.56</v>
      </c>
      <c r="D4" s="177" t="n">
        <v>1.56</v>
      </c>
      <c r="E4" s="177" t="n">
        <v>1.54</v>
      </c>
    </row>
    <row r="5" ht="15" customHeight="1" s="95">
      <c r="A5" s="143" t="n">
        <v>43837</v>
      </c>
      <c r="B5" s="177" t="n">
        <v>1.52</v>
      </c>
      <c r="C5" s="177" t="n">
        <v>1.54</v>
      </c>
      <c r="D5" s="177" t="n">
        <v>1.56</v>
      </c>
      <c r="E5" s="177" t="n">
        <v>1.53</v>
      </c>
    </row>
    <row r="6" ht="15" customHeight="1" s="95">
      <c r="A6" s="143" t="n">
        <v>43838</v>
      </c>
      <c r="B6" s="177" t="n">
        <v>1.5</v>
      </c>
      <c r="C6" s="177" t="n">
        <v>1.54</v>
      </c>
      <c r="D6" s="177" t="n">
        <v>1.56</v>
      </c>
      <c r="E6" s="177" t="n">
        <v>1.55</v>
      </c>
    </row>
    <row r="7" ht="15" customHeight="1" s="95">
      <c r="A7" s="143" t="n">
        <v>43839</v>
      </c>
      <c r="B7" s="177" t="n">
        <v>1.53</v>
      </c>
      <c r="C7" s="177" t="n">
        <v>1.54</v>
      </c>
      <c r="D7" s="177" t="n">
        <v>1.56</v>
      </c>
      <c r="E7" s="177" t="n">
        <v>1.54</v>
      </c>
    </row>
    <row r="8" ht="15" customHeight="1" s="95">
      <c r="A8" s="143" t="n">
        <v>43840</v>
      </c>
      <c r="B8" s="177" t="n">
        <v>1.52</v>
      </c>
      <c r="C8" s="177" t="n">
        <v>1.54</v>
      </c>
      <c r="D8" s="177" t="n">
        <v>1.55</v>
      </c>
      <c r="E8" s="177" t="n">
        <v>1.53</v>
      </c>
    </row>
    <row r="9" ht="15" customHeight="1" s="95">
      <c r="A9" s="143" t="n">
        <v>43843</v>
      </c>
      <c r="B9" s="177" t="n">
        <v>1.54</v>
      </c>
      <c r="C9" s="177" t="n">
        <v>1.57</v>
      </c>
      <c r="D9" s="177" t="n">
        <v>1.57</v>
      </c>
      <c r="E9" s="177" t="n">
        <v>1.53</v>
      </c>
    </row>
    <row r="10" ht="15" customHeight="1" s="95">
      <c r="A10" s="143" t="n">
        <v>43844</v>
      </c>
      <c r="B10" s="177" t="n">
        <v>1.53</v>
      </c>
      <c r="C10" s="177" t="n">
        <v>1.57</v>
      </c>
      <c r="D10" s="177" t="n">
        <v>1.57</v>
      </c>
      <c r="E10" s="177" t="n">
        <v>1.53</v>
      </c>
    </row>
    <row r="11" ht="15" customHeight="1" s="95">
      <c r="A11" s="143" t="n">
        <v>43845</v>
      </c>
      <c r="B11" s="177" t="n">
        <v>1.53</v>
      </c>
      <c r="C11" s="177" t="n">
        <v>1.57</v>
      </c>
      <c r="D11" s="177" t="n">
        <v>1.58</v>
      </c>
      <c r="E11" s="177" t="n">
        <v>1.54</v>
      </c>
    </row>
    <row r="12" ht="15" customHeight="1" s="95">
      <c r="A12" s="143" t="n">
        <v>43846</v>
      </c>
      <c r="B12" s="177" t="n">
        <v>1.54</v>
      </c>
      <c r="C12" s="177" t="n">
        <v>1.55</v>
      </c>
      <c r="D12" s="177" t="n">
        <v>1.56</v>
      </c>
      <c r="E12" s="177" t="n">
        <v>1.54</v>
      </c>
    </row>
    <row r="13" ht="15" customHeight="1" s="95">
      <c r="A13" s="143" t="n">
        <v>43847</v>
      </c>
      <c r="B13" s="177" t="n">
        <v>1.54</v>
      </c>
      <c r="C13" s="177" t="n">
        <v>1.56</v>
      </c>
      <c r="D13" s="177" t="n">
        <v>1.57</v>
      </c>
      <c r="E13" s="177" t="n">
        <v>1.56</v>
      </c>
    </row>
    <row r="14" ht="15" customHeight="1" s="95">
      <c r="A14" s="143" t="n">
        <v>43850</v>
      </c>
    </row>
    <row r="15" ht="15" customHeight="1" s="95">
      <c r="A15" s="143" t="n">
        <v>43851</v>
      </c>
      <c r="B15" s="177" t="n">
        <v>1.52</v>
      </c>
      <c r="C15" s="177" t="n">
        <v>1.56</v>
      </c>
      <c r="D15" s="177" t="n">
        <v>1.57</v>
      </c>
      <c r="E15" s="177" t="n">
        <v>1.54</v>
      </c>
    </row>
    <row r="16" ht="15" customHeight="1" s="95">
      <c r="A16" s="143" t="n">
        <v>43852</v>
      </c>
      <c r="B16" s="177" t="n">
        <v>1.52</v>
      </c>
      <c r="C16" s="177" t="n">
        <v>1.55</v>
      </c>
      <c r="D16" s="177" t="n">
        <v>1.56</v>
      </c>
      <c r="E16" s="177" t="n">
        <v>1.55</v>
      </c>
    </row>
    <row r="17" ht="15" customHeight="1" s="95">
      <c r="A17" s="143" t="n">
        <v>43853</v>
      </c>
      <c r="B17" s="177" t="n">
        <v>1.55</v>
      </c>
      <c r="C17" s="177" t="n">
        <v>1.55</v>
      </c>
      <c r="D17" s="177" t="n">
        <v>1.56</v>
      </c>
      <c r="E17" s="177" t="n">
        <v>1.55</v>
      </c>
    </row>
    <row r="18" ht="15" customHeight="1" s="95">
      <c r="A18" s="143" t="n">
        <v>43854</v>
      </c>
      <c r="B18" s="177" t="n">
        <v>1.54</v>
      </c>
      <c r="C18" s="177" t="n">
        <v>1.54</v>
      </c>
      <c r="D18" s="177" t="n">
        <v>1.55</v>
      </c>
      <c r="E18" s="177" t="n">
        <v>1.55</v>
      </c>
    </row>
    <row r="19" ht="15" customHeight="1" s="95">
      <c r="A19" s="143" t="n">
        <v>43857</v>
      </c>
      <c r="B19" s="177" t="n">
        <v>1.53</v>
      </c>
      <c r="C19" s="177" t="n">
        <v>1.55</v>
      </c>
      <c r="D19" s="177" t="n">
        <v>1.57</v>
      </c>
      <c r="E19" s="177" t="n">
        <v>1.53</v>
      </c>
    </row>
    <row r="20" ht="15" customHeight="1" s="95">
      <c r="A20" s="143" t="n">
        <v>43858</v>
      </c>
      <c r="B20" s="177" t="n">
        <v>1.53</v>
      </c>
      <c r="C20" s="177" t="n">
        <v>1.57</v>
      </c>
      <c r="D20" s="177" t="n">
        <v>1.58</v>
      </c>
      <c r="E20" s="177" t="n">
        <v>1.53</v>
      </c>
    </row>
    <row r="21" ht="15" customHeight="1" s="95">
      <c r="A21" s="143" t="n">
        <v>43859</v>
      </c>
      <c r="B21" s="177" t="n">
        <v>1.52</v>
      </c>
      <c r="C21" s="177" t="n">
        <v>1.56</v>
      </c>
      <c r="D21" s="177" t="n">
        <v>1.57</v>
      </c>
      <c r="E21" s="177" t="n">
        <v>1.51</v>
      </c>
    </row>
    <row r="22" ht="15" customHeight="1" s="95">
      <c r="A22" s="143" t="n">
        <v>43860</v>
      </c>
      <c r="B22" s="177" t="n">
        <v>1.59</v>
      </c>
      <c r="C22" s="177" t="n">
        <v>1.57</v>
      </c>
      <c r="D22" s="177" t="n">
        <v>1.57</v>
      </c>
      <c r="E22" s="177" t="n">
        <v>1.48</v>
      </c>
    </row>
    <row r="23" ht="15" customHeight="1" s="95">
      <c r="A23" s="143" t="n">
        <v>43861</v>
      </c>
      <c r="B23" s="177" t="n">
        <v>1.56</v>
      </c>
      <c r="C23" s="177" t="n">
        <v>1.55</v>
      </c>
      <c r="D23" s="177" t="n">
        <v>1.54</v>
      </c>
      <c r="E23" s="177" t="n">
        <v>1.45</v>
      </c>
    </row>
    <row r="24" ht="15" customHeight="1" s="95">
      <c r="A24" s="143" t="n">
        <v>43864</v>
      </c>
      <c r="B24" s="177" t="n">
        <v>1.56</v>
      </c>
      <c r="C24" s="177" t="n">
        <v>1.57</v>
      </c>
      <c r="D24" s="177" t="n">
        <v>1.56</v>
      </c>
      <c r="E24" s="177" t="n">
        <v>1.46</v>
      </c>
    </row>
    <row r="25" ht="15" customHeight="1" s="95">
      <c r="A25" s="143" t="n">
        <v>43865</v>
      </c>
      <c r="B25" s="177" t="n">
        <v>1.55</v>
      </c>
      <c r="C25" s="177" t="n">
        <v>1.57</v>
      </c>
      <c r="D25" s="177" t="n">
        <v>1.57</v>
      </c>
      <c r="E25" s="177" t="n">
        <v>1.48</v>
      </c>
    </row>
    <row r="26" ht="15" customHeight="1" s="95">
      <c r="A26" s="143" t="n">
        <v>43866</v>
      </c>
      <c r="B26" s="177" t="n">
        <v>1.55</v>
      </c>
      <c r="C26" s="177" t="n">
        <v>1.57</v>
      </c>
      <c r="D26" s="177" t="n">
        <v>1.57</v>
      </c>
      <c r="E26" s="177" t="n">
        <v>1.49</v>
      </c>
    </row>
    <row r="27" ht="15" customHeight="1" s="95">
      <c r="A27" s="143" t="n">
        <v>43867</v>
      </c>
      <c r="B27" s="177" t="n">
        <v>1.59</v>
      </c>
      <c r="C27" s="177" t="n">
        <v>1.57</v>
      </c>
      <c r="D27" s="177" t="n">
        <v>1.58</v>
      </c>
      <c r="E27" s="177" t="n">
        <v>1.51</v>
      </c>
    </row>
    <row r="28" ht="15" customHeight="1" s="95">
      <c r="A28" s="143" t="n">
        <v>43868</v>
      </c>
      <c r="B28" s="177" t="n">
        <v>1.57</v>
      </c>
      <c r="C28" s="177" t="n">
        <v>1.56</v>
      </c>
      <c r="D28" s="177" t="n">
        <v>1.57</v>
      </c>
      <c r="E28" s="177" t="n">
        <v>1.49</v>
      </c>
    </row>
    <row r="29" ht="15" customHeight="1" s="95">
      <c r="A29" s="143" t="n">
        <v>43871</v>
      </c>
      <c r="B29" s="177" t="n">
        <v>1.58</v>
      </c>
      <c r="C29" s="177" t="n">
        <v>1.58</v>
      </c>
      <c r="D29" s="177" t="n">
        <v>1.58</v>
      </c>
      <c r="E29" s="177" t="n">
        <v>1.45</v>
      </c>
    </row>
    <row r="30" ht="15" customHeight="1" s="95">
      <c r="A30" s="143" t="n">
        <v>43872</v>
      </c>
      <c r="B30" s="177" t="n">
        <v>1.57</v>
      </c>
      <c r="C30" s="177" t="n">
        <v>1.57</v>
      </c>
      <c r="D30" s="177" t="n">
        <v>1.55</v>
      </c>
      <c r="E30" s="177" t="n">
        <v>1.48</v>
      </c>
    </row>
    <row r="31" ht="15" customHeight="1" s="95">
      <c r="A31" s="143" t="n">
        <v>43873</v>
      </c>
      <c r="B31" s="177" t="n">
        <v>1.57</v>
      </c>
      <c r="C31" s="177" t="n">
        <v>1.58</v>
      </c>
      <c r="D31" s="177" t="n">
        <v>1.56</v>
      </c>
      <c r="E31" s="177" t="n">
        <v>1.49</v>
      </c>
    </row>
    <row r="32" ht="15" customHeight="1" s="95">
      <c r="A32" s="143" t="n">
        <v>43874</v>
      </c>
      <c r="B32" s="177" t="n">
        <v>1.59</v>
      </c>
      <c r="C32" s="177" t="n">
        <v>1.59</v>
      </c>
      <c r="D32" s="177" t="n">
        <v>1.56</v>
      </c>
      <c r="E32" s="177" t="n">
        <v>1.48</v>
      </c>
    </row>
    <row r="33" ht="15" customHeight="1" s="95">
      <c r="A33" s="143" t="n">
        <v>43875</v>
      </c>
      <c r="B33" s="177" t="n">
        <v>1.6</v>
      </c>
      <c r="C33" s="177" t="n">
        <v>1.58</v>
      </c>
      <c r="D33" s="177" t="n">
        <v>1.56</v>
      </c>
      <c r="E33" s="177" t="n">
        <v>1.49</v>
      </c>
    </row>
    <row r="34" ht="15" customHeight="1" s="95">
      <c r="A34" s="143" t="n">
        <v>43878</v>
      </c>
    </row>
    <row r="35" ht="15" customHeight="1" s="95">
      <c r="A35" s="143" t="n">
        <v>43879</v>
      </c>
      <c r="B35" s="177" t="n">
        <v>1.61</v>
      </c>
      <c r="C35" s="177" t="n">
        <v>1.58</v>
      </c>
      <c r="D35" s="177" t="n">
        <v>1.56</v>
      </c>
      <c r="E35" s="177" t="n">
        <v>1.47</v>
      </c>
    </row>
    <row r="36" ht="15" customHeight="1" s="95">
      <c r="A36" s="143" t="n">
        <v>43880</v>
      </c>
      <c r="B36" s="177" t="n">
        <v>1.61</v>
      </c>
      <c r="C36" s="177" t="n">
        <v>1.58</v>
      </c>
      <c r="D36" s="177" t="n">
        <v>1.56</v>
      </c>
      <c r="E36" s="177" t="n">
        <v>1.47</v>
      </c>
    </row>
    <row r="37" ht="15" customHeight="1" s="95">
      <c r="A37" s="143" t="n">
        <v>43881</v>
      </c>
      <c r="B37" s="177" t="n">
        <v>1.61</v>
      </c>
      <c r="C37" s="177" t="n">
        <v>1.58</v>
      </c>
      <c r="D37" s="177" t="n">
        <v>1.55</v>
      </c>
      <c r="E37" s="177" t="n">
        <v>1.46</v>
      </c>
    </row>
    <row r="38" ht="15" customHeight="1" s="95">
      <c r="A38" s="143" t="n">
        <v>43882</v>
      </c>
      <c r="B38" s="177" t="n">
        <v>1.6</v>
      </c>
      <c r="C38" s="177" t="n">
        <v>1.56</v>
      </c>
      <c r="D38" s="177" t="n">
        <v>1.53</v>
      </c>
      <c r="E38" s="177" t="n">
        <v>1.43</v>
      </c>
    </row>
    <row r="39" ht="15" customHeight="1" s="95">
      <c r="A39" s="143" t="n">
        <v>43885</v>
      </c>
      <c r="B39" s="177" t="n">
        <v>1.6</v>
      </c>
      <c r="C39" s="177" t="n">
        <v>1.53</v>
      </c>
      <c r="D39" s="177" t="n">
        <v>1.49</v>
      </c>
      <c r="E39" s="177" t="n">
        <v>1.35</v>
      </c>
    </row>
    <row r="40" ht="15" customHeight="1" s="95">
      <c r="A40" s="143" t="n">
        <v>43886</v>
      </c>
      <c r="B40" s="177" t="n">
        <v>1.59</v>
      </c>
      <c r="C40" s="177" t="n">
        <v>1.53</v>
      </c>
      <c r="D40" s="177" t="n">
        <v>1.47</v>
      </c>
      <c r="E40" s="177" t="n">
        <v>1.3</v>
      </c>
    </row>
    <row r="41" ht="15" customHeight="1" s="95">
      <c r="A41" s="143" t="n">
        <v>43887</v>
      </c>
      <c r="B41" s="177" t="n">
        <v>1.59</v>
      </c>
      <c r="C41" s="177" t="n">
        <v>1.53</v>
      </c>
      <c r="D41" s="177" t="n">
        <v>1.42</v>
      </c>
      <c r="E41" s="177" t="n">
        <v>1.26</v>
      </c>
    </row>
    <row r="42" ht="15" customHeight="1" s="95">
      <c r="A42" s="143" t="n">
        <v>43888</v>
      </c>
      <c r="B42" s="177" t="n">
        <v>1.56</v>
      </c>
      <c r="C42" s="177" t="n">
        <v>1.45</v>
      </c>
      <c r="D42" s="177" t="n">
        <v>1.33</v>
      </c>
      <c r="E42" s="177" t="n">
        <v>1.18</v>
      </c>
    </row>
    <row r="43" ht="15" customHeight="1" s="95">
      <c r="A43" s="143" t="n">
        <v>43889</v>
      </c>
      <c r="B43" s="177" t="n">
        <v>1.45</v>
      </c>
      <c r="C43" s="177" t="n">
        <v>1.27</v>
      </c>
      <c r="D43" s="177" t="n">
        <v>1.11</v>
      </c>
      <c r="E43" s="177" t="n">
        <v>0.97</v>
      </c>
    </row>
    <row r="44" ht="15" customHeight="1" s="95">
      <c r="A44" s="143" t="n">
        <v>43892</v>
      </c>
      <c r="B44" s="177" t="n">
        <v>1.41</v>
      </c>
      <c r="C44" s="177" t="n">
        <v>1.13</v>
      </c>
      <c r="D44" s="177" t="n">
        <v>0.95</v>
      </c>
      <c r="E44" s="177" t="n">
        <v>0.89</v>
      </c>
    </row>
    <row r="45" ht="15" customHeight="1" s="95">
      <c r="A45" s="143" t="n">
        <v>43893</v>
      </c>
      <c r="B45" s="177" t="n">
        <v>1.11</v>
      </c>
      <c r="C45" s="177" t="n">
        <v>0.95</v>
      </c>
      <c r="D45" s="177" t="n">
        <v>0.83</v>
      </c>
      <c r="E45" s="177" t="n">
        <v>0.73</v>
      </c>
    </row>
    <row r="46" ht="15" customHeight="1" s="95">
      <c r="A46" s="143" t="n">
        <v>43894</v>
      </c>
      <c r="B46" s="177" t="n">
        <v>1</v>
      </c>
      <c r="C46" s="177" t="n">
        <v>0.72</v>
      </c>
      <c r="D46" s="177" t="n">
        <v>0.68</v>
      </c>
      <c r="E46" s="177" t="n">
        <v>0.59</v>
      </c>
    </row>
    <row r="47" ht="15" customHeight="1" s="95">
      <c r="A47" s="143" t="n">
        <v>43895</v>
      </c>
      <c r="B47" s="177" t="n">
        <v>0.92</v>
      </c>
      <c r="C47" s="177" t="n">
        <v>0.62</v>
      </c>
      <c r="D47" s="177" t="n">
        <v>0.53</v>
      </c>
      <c r="E47" s="177" t="n">
        <v>0.48</v>
      </c>
    </row>
    <row r="48" ht="15" customHeight="1" s="95">
      <c r="A48" s="143" t="n">
        <v>43896</v>
      </c>
      <c r="B48" s="177" t="n">
        <v>0.79</v>
      </c>
      <c r="C48" s="177" t="n">
        <v>0.45</v>
      </c>
      <c r="D48" s="177" t="n">
        <v>0.41</v>
      </c>
      <c r="E48" s="177" t="n">
        <v>0.39</v>
      </c>
    </row>
    <row r="49" ht="15" customHeight="1" s="95">
      <c r="A49" s="143" t="n">
        <v>43899</v>
      </c>
      <c r="B49" s="177" t="n">
        <v>0.57</v>
      </c>
      <c r="C49" s="177" t="n">
        <v>0.33</v>
      </c>
      <c r="D49" s="177" t="n">
        <v>0.27</v>
      </c>
      <c r="E49" s="177" t="n">
        <v>0.31</v>
      </c>
    </row>
    <row r="50" ht="15" customHeight="1" s="95">
      <c r="A50" s="143" t="n">
        <v>43900</v>
      </c>
      <c r="B50" s="177" t="n">
        <v>0.57</v>
      </c>
      <c r="C50" s="177" t="n">
        <v>0.44</v>
      </c>
      <c r="D50" s="177" t="n">
        <v>0.43</v>
      </c>
      <c r="E50" s="177" t="n">
        <v>0.43</v>
      </c>
    </row>
    <row r="51" ht="15" customHeight="1" s="95">
      <c r="A51" s="143" t="n">
        <v>43901</v>
      </c>
      <c r="B51" s="177" t="n">
        <v>0.42</v>
      </c>
      <c r="C51" s="177" t="n">
        <v>0.42</v>
      </c>
      <c r="D51" s="177" t="n">
        <v>0.4</v>
      </c>
      <c r="E51" s="177" t="n">
        <v>0.4</v>
      </c>
    </row>
    <row r="52" ht="15" customHeight="1" s="95">
      <c r="A52" s="143" t="n">
        <v>43902</v>
      </c>
      <c r="B52" s="177" t="n">
        <v>0.41</v>
      </c>
      <c r="C52" s="177" t="n">
        <v>0.33</v>
      </c>
      <c r="D52" s="177" t="n">
        <v>0.37</v>
      </c>
      <c r="E52" s="177" t="n">
        <v>0.39</v>
      </c>
    </row>
    <row r="53" ht="15" customHeight="1" s="95">
      <c r="A53" s="143" t="n">
        <v>43903</v>
      </c>
      <c r="B53" s="177" t="n">
        <v>0.33</v>
      </c>
      <c r="C53" s="177" t="n">
        <v>0.28</v>
      </c>
      <c r="D53" s="177" t="n">
        <v>0.38</v>
      </c>
      <c r="E53" s="177" t="n">
        <v>0.38</v>
      </c>
    </row>
    <row r="54" ht="15" customHeight="1" s="95">
      <c r="A54" s="143" t="n">
        <v>43906</v>
      </c>
      <c r="B54" s="177" t="n">
        <v>0.25</v>
      </c>
      <c r="C54" s="177" t="n">
        <v>0.24</v>
      </c>
      <c r="D54" s="177" t="n">
        <v>0.29</v>
      </c>
      <c r="E54" s="177" t="n">
        <v>0.29</v>
      </c>
    </row>
    <row r="55" ht="15" customHeight="1" s="95">
      <c r="A55" s="143" t="n">
        <v>43907</v>
      </c>
      <c r="B55" s="177" t="n">
        <v>0.12</v>
      </c>
      <c r="C55" s="177" t="n">
        <v>0.19</v>
      </c>
      <c r="D55" s="177" t="n">
        <v>0.24</v>
      </c>
      <c r="E55" s="177" t="n">
        <v>0.3</v>
      </c>
    </row>
    <row r="56" ht="15" customHeight="1" s="95">
      <c r="A56" s="143" t="n">
        <v>43908</v>
      </c>
      <c r="B56" s="177" t="n">
        <v>0.04</v>
      </c>
      <c r="C56" s="177" t="n">
        <v>0.02</v>
      </c>
      <c r="D56" s="177" t="n">
        <v>0.08</v>
      </c>
      <c r="E56" s="177" t="n">
        <v>0.21</v>
      </c>
    </row>
    <row r="57" ht="15" customHeight="1" s="95">
      <c r="A57" s="143" t="n">
        <v>43909</v>
      </c>
      <c r="B57" s="177" t="n">
        <v>0.04</v>
      </c>
      <c r="C57" s="177" t="n">
        <v>0.04</v>
      </c>
      <c r="D57" s="177" t="n">
        <v>0.06</v>
      </c>
      <c r="E57" s="177" t="n">
        <v>0.2</v>
      </c>
    </row>
    <row r="58" ht="15" customHeight="1" s="95">
      <c r="A58" s="143" t="n">
        <v>43910</v>
      </c>
      <c r="B58" s="177" t="n">
        <v>0.04</v>
      </c>
      <c r="C58" s="177" t="n">
        <v>0.05</v>
      </c>
      <c r="D58" s="177" t="n">
        <v>0.05</v>
      </c>
      <c r="E58" s="177" t="n">
        <v>0.15</v>
      </c>
    </row>
    <row r="59" ht="15" customHeight="1" s="95">
      <c r="A59" s="143" t="n">
        <v>43913</v>
      </c>
      <c r="B59" s="177" t="n">
        <v>0.01</v>
      </c>
      <c r="C59" s="177" t="n">
        <v>0.02</v>
      </c>
      <c r="D59" s="177" t="n">
        <v>0.08</v>
      </c>
      <c r="E59" s="177" t="n">
        <v>0.17</v>
      </c>
    </row>
    <row r="60" ht="15" customHeight="1" s="95">
      <c r="A60" s="143" t="n">
        <v>43914</v>
      </c>
      <c r="B60" s="177" t="n">
        <v>0.01</v>
      </c>
      <c r="C60" s="177" t="n">
        <v>0.01</v>
      </c>
      <c r="D60" s="177" t="n">
        <v>0.09</v>
      </c>
      <c r="E60" s="177" t="n">
        <v>0.25</v>
      </c>
    </row>
    <row r="61" ht="15" customHeight="1" s="95">
      <c r="A61" s="143" t="n">
        <v>43915</v>
      </c>
      <c r="B61" s="177" t="n">
        <v>0</v>
      </c>
      <c r="C61" s="177" t="n">
        <v>0</v>
      </c>
      <c r="D61" s="177" t="n">
        <v>0.07000000000000001</v>
      </c>
      <c r="E61" s="177" t="n">
        <v>0.19</v>
      </c>
    </row>
    <row r="62" ht="15" customHeight="1" s="95">
      <c r="A62" s="143" t="n">
        <v>43916</v>
      </c>
      <c r="B62" s="177" t="n">
        <v>0.01</v>
      </c>
      <c r="C62" s="177" t="n">
        <v>0</v>
      </c>
      <c r="D62" s="177" t="n">
        <v>0.04</v>
      </c>
      <c r="E62" s="177" t="n">
        <v>0.13</v>
      </c>
    </row>
    <row r="63" ht="15" customHeight="1" s="95">
      <c r="A63" s="143" t="n">
        <v>43917</v>
      </c>
      <c r="B63" s="177" t="n">
        <v>0.01</v>
      </c>
      <c r="C63" s="177" t="n">
        <v>0.03</v>
      </c>
      <c r="D63" s="177" t="n">
        <v>0.02</v>
      </c>
      <c r="E63" s="177" t="n">
        <v>0.11</v>
      </c>
    </row>
    <row r="64" ht="15" customHeight="1" s="95">
      <c r="A64" s="143" t="n">
        <v>43920</v>
      </c>
      <c r="B64" s="177" t="n">
        <v>0.04</v>
      </c>
      <c r="C64" s="177" t="n">
        <v>0.12</v>
      </c>
      <c r="D64" s="177" t="n">
        <v>0.12</v>
      </c>
      <c r="E64" s="177" t="n">
        <v>0.14</v>
      </c>
    </row>
    <row r="65" ht="15" customHeight="1" s="95">
      <c r="A65" s="143" t="n">
        <v>43921</v>
      </c>
      <c r="B65" s="177" t="n">
        <v>0.05</v>
      </c>
      <c r="C65" s="177" t="n">
        <v>0.11</v>
      </c>
      <c r="D65" s="177" t="n">
        <v>0.15</v>
      </c>
      <c r="E65" s="177" t="n">
        <v>0.17</v>
      </c>
    </row>
    <row r="66" ht="15" customHeight="1" s="95">
      <c r="A66" s="143" t="n">
        <v>43922</v>
      </c>
      <c r="B66" s="177" t="n">
        <v>0.03</v>
      </c>
      <c r="C66" s="177" t="n">
        <v>0.09</v>
      </c>
      <c r="D66" s="177" t="n">
        <v>0.14</v>
      </c>
      <c r="E66" s="177" t="n">
        <v>0.16</v>
      </c>
    </row>
    <row r="67" ht="15" customHeight="1" s="95">
      <c r="A67" s="143" t="n">
        <v>43923</v>
      </c>
      <c r="B67" s="177" t="n">
        <v>0.09</v>
      </c>
      <c r="C67" s="177" t="n">
        <v>0.09</v>
      </c>
      <c r="D67" s="177" t="n">
        <v>0.15</v>
      </c>
      <c r="E67" s="177" t="n">
        <v>0.14</v>
      </c>
    </row>
    <row r="68" ht="15" customHeight="1" s="95">
      <c r="A68" s="143" t="n">
        <v>43924</v>
      </c>
      <c r="B68" s="177" t="n">
        <v>0.09</v>
      </c>
      <c r="C68" s="177" t="n">
        <v>0.1</v>
      </c>
      <c r="D68" s="177" t="n">
        <v>0.15</v>
      </c>
      <c r="E68" s="177" t="n">
        <v>0.15</v>
      </c>
    </row>
    <row r="69" ht="15" customHeight="1" s="95">
      <c r="A69" s="143" t="n">
        <v>43927</v>
      </c>
      <c r="B69" s="177" t="n">
        <v>0.09</v>
      </c>
      <c r="C69" s="177" t="n">
        <v>0.15</v>
      </c>
      <c r="D69" s="177" t="n">
        <v>0.17</v>
      </c>
      <c r="E69" s="177" t="n">
        <v>0.2</v>
      </c>
    </row>
    <row r="70" ht="15" customHeight="1" s="95">
      <c r="A70" s="143" t="n">
        <v>43928</v>
      </c>
      <c r="B70" s="177" t="n">
        <v>0.1</v>
      </c>
      <c r="C70" s="177" t="n">
        <v>0.14</v>
      </c>
      <c r="D70" s="177" t="n">
        <v>0.2</v>
      </c>
      <c r="E70" s="177" t="n">
        <v>0.2</v>
      </c>
    </row>
    <row r="71" ht="15" customHeight="1" s="95">
      <c r="A71" s="143" t="n">
        <v>43929</v>
      </c>
      <c r="B71" s="177" t="n">
        <v>0.14</v>
      </c>
      <c r="C71" s="177" t="n">
        <v>0.22</v>
      </c>
      <c r="D71" s="177" t="n">
        <v>0.24</v>
      </c>
      <c r="E71" s="177" t="n">
        <v>0.23</v>
      </c>
    </row>
    <row r="72" ht="15" customHeight="1" s="95">
      <c r="A72" s="143" t="n">
        <v>43930</v>
      </c>
      <c r="B72" s="177" t="n">
        <v>0.2</v>
      </c>
      <c r="C72" s="177" t="n">
        <v>0.25</v>
      </c>
      <c r="D72" s="177" t="n">
        <v>0.24</v>
      </c>
      <c r="E72" s="177" t="n">
        <v>0.25</v>
      </c>
    </row>
    <row r="73" ht="15" customHeight="1" s="95">
      <c r="A73" s="143" t="n">
        <v>43931</v>
      </c>
    </row>
    <row r="74" ht="15" customHeight="1" s="95">
      <c r="A74" s="143" t="n">
        <v>43934</v>
      </c>
      <c r="B74" s="177" t="n">
        <v>0.17</v>
      </c>
      <c r="C74" s="177" t="n">
        <v>0.26</v>
      </c>
      <c r="D74" s="177" t="n">
        <v>0.27</v>
      </c>
      <c r="E74" s="177" t="n">
        <v>0.27</v>
      </c>
    </row>
    <row r="75" ht="15" customHeight="1" s="95">
      <c r="A75" s="143" t="n">
        <v>43935</v>
      </c>
      <c r="B75" s="177" t="n">
        <v>0.17</v>
      </c>
      <c r="C75" s="177" t="n">
        <v>0.2</v>
      </c>
      <c r="D75" s="177" t="n">
        <v>0.24</v>
      </c>
      <c r="E75" s="177" t="n">
        <v>0.25</v>
      </c>
    </row>
    <row r="76" ht="15" customHeight="1" s="95">
      <c r="A76" s="143" t="n">
        <v>43936</v>
      </c>
      <c r="B76" s="177" t="n">
        <v>0.14</v>
      </c>
      <c r="C76" s="177" t="n">
        <v>0.14</v>
      </c>
      <c r="D76" s="177" t="n">
        <v>0.19</v>
      </c>
      <c r="E76" s="177" t="n">
        <v>0.19</v>
      </c>
    </row>
    <row r="77" ht="15" customHeight="1" s="95">
      <c r="A77" s="143" t="n">
        <v>43937</v>
      </c>
      <c r="B77" s="177" t="n">
        <v>0.14</v>
      </c>
      <c r="C77" s="177" t="n">
        <v>0.14</v>
      </c>
      <c r="D77" s="177" t="n">
        <v>0.18</v>
      </c>
      <c r="E77" s="177" t="n">
        <v>0.17</v>
      </c>
    </row>
    <row r="78" ht="15" customHeight="1" s="95">
      <c r="A78" s="143" t="n">
        <v>43938</v>
      </c>
      <c r="B78" s="177" t="n">
        <v>0.12</v>
      </c>
      <c r="C78" s="177" t="n">
        <v>0.12</v>
      </c>
      <c r="D78" s="177" t="n">
        <v>0.16</v>
      </c>
      <c r="E78" s="177" t="n">
        <v>0.16</v>
      </c>
    </row>
    <row r="79" ht="15" customHeight="1" s="95">
      <c r="A79" s="143" t="n">
        <v>43941</v>
      </c>
      <c r="B79" s="177" t="n">
        <v>0.1</v>
      </c>
      <c r="C79" s="177" t="n">
        <v>0.12</v>
      </c>
      <c r="D79" s="177" t="n">
        <v>0.15</v>
      </c>
      <c r="E79" s="177" t="n">
        <v>0.15</v>
      </c>
    </row>
    <row r="80" ht="15" customHeight="1" s="95">
      <c r="A80" s="143" t="n">
        <v>43942</v>
      </c>
      <c r="B80" s="177" t="n">
        <v>0.08</v>
      </c>
      <c r="C80" s="177" t="n">
        <v>0.11</v>
      </c>
      <c r="D80" s="177" t="n">
        <v>0.14</v>
      </c>
      <c r="E80" s="177" t="n">
        <v>0.17</v>
      </c>
    </row>
    <row r="81" ht="15" customHeight="1" s="95">
      <c r="A81" s="143" t="n">
        <v>43943</v>
      </c>
      <c r="B81" s="177" t="n">
        <v>0.09</v>
      </c>
      <c r="C81" s="177" t="n">
        <v>0.12</v>
      </c>
      <c r="D81" s="177" t="n">
        <v>0.14</v>
      </c>
      <c r="E81" s="177" t="n">
        <v>0.16</v>
      </c>
    </row>
    <row r="82" ht="15" customHeight="1" s="95">
      <c r="A82" s="143" t="n">
        <v>43944</v>
      </c>
      <c r="B82" s="177" t="n">
        <v>0.09</v>
      </c>
      <c r="C82" s="177" t="n">
        <v>0.11</v>
      </c>
      <c r="D82" s="177" t="n">
        <v>0.14</v>
      </c>
      <c r="E82" s="177" t="n">
        <v>0.17</v>
      </c>
    </row>
    <row r="83" ht="15" customHeight="1" s="95">
      <c r="A83" s="143" t="n">
        <v>43945</v>
      </c>
      <c r="B83" s="177" t="n">
        <v>0.1</v>
      </c>
      <c r="C83" s="177" t="n">
        <v>0.12</v>
      </c>
      <c r="D83" s="177" t="n">
        <v>0.14</v>
      </c>
      <c r="E83" s="177" t="n">
        <v>0.18</v>
      </c>
    </row>
    <row r="84" ht="15" customHeight="1" s="95">
      <c r="A84" s="143" t="n">
        <v>43948</v>
      </c>
      <c r="B84" s="177" t="n">
        <v>0.09</v>
      </c>
      <c r="C84" s="177" t="n">
        <v>0.12</v>
      </c>
      <c r="D84" s="177" t="n">
        <v>0.15</v>
      </c>
      <c r="E84" s="177" t="n">
        <v>0.17</v>
      </c>
    </row>
    <row r="85" ht="15" customHeight="1" s="95">
      <c r="A85" s="143" t="n">
        <v>43949</v>
      </c>
      <c r="B85" s="177" t="n">
        <v>0.08</v>
      </c>
      <c r="C85" s="177" t="n">
        <v>0.11</v>
      </c>
      <c r="D85" s="177" t="n">
        <v>0.13</v>
      </c>
      <c r="E85" s="177" t="n">
        <v>0.16</v>
      </c>
    </row>
    <row r="86" ht="15" customHeight="1" s="95">
      <c r="A86" s="143" t="n">
        <v>43950</v>
      </c>
      <c r="B86" s="177" t="n">
        <v>0.1</v>
      </c>
      <c r="C86" s="177" t="n">
        <v>0.1</v>
      </c>
      <c r="D86" s="177" t="n">
        <v>0.12</v>
      </c>
      <c r="E86" s="177" t="n">
        <v>0.18</v>
      </c>
    </row>
    <row r="87" ht="15" customHeight="1" s="95">
      <c r="A87" s="143" t="n">
        <v>43951</v>
      </c>
      <c r="B87" s="177" t="n">
        <v>0.1</v>
      </c>
      <c r="C87" s="177" t="n">
        <v>0.09</v>
      </c>
      <c r="D87" s="177" t="n">
        <v>0.11</v>
      </c>
      <c r="E87" s="177" t="n">
        <v>0.16</v>
      </c>
    </row>
    <row r="88" ht="15" customHeight="1" s="95">
      <c r="A88" s="143" t="n">
        <v>43952</v>
      </c>
      <c r="B88" s="177" t="n">
        <v>0.1</v>
      </c>
      <c r="C88" s="177" t="n">
        <v>0.12</v>
      </c>
      <c r="D88" s="177" t="n">
        <v>0.12</v>
      </c>
      <c r="E88" s="177" t="n">
        <v>0.17</v>
      </c>
    </row>
    <row r="89" ht="15" customHeight="1" s="95">
      <c r="A89" s="143" t="n">
        <v>43955</v>
      </c>
      <c r="B89" s="177" t="n">
        <v>0.1</v>
      </c>
      <c r="C89" s="177" t="n">
        <v>0.13</v>
      </c>
      <c r="D89" s="177" t="n">
        <v>0.14</v>
      </c>
      <c r="E89" s="177" t="n">
        <v>0.16</v>
      </c>
    </row>
    <row r="90" ht="15" customHeight="1" s="95">
      <c r="A90" s="143" t="n">
        <v>43956</v>
      </c>
      <c r="B90" s="177" t="n">
        <v>0.09</v>
      </c>
      <c r="C90" s="177" t="n">
        <v>0.13</v>
      </c>
      <c r="D90" s="177" t="n">
        <v>0.15</v>
      </c>
      <c r="E90" s="177" t="n">
        <v>0.16</v>
      </c>
    </row>
    <row r="91" ht="15" customHeight="1" s="95">
      <c r="A91" s="143" t="n">
        <v>43957</v>
      </c>
      <c r="B91" s="177" t="n">
        <v>0.08</v>
      </c>
      <c r="C91" s="177" t="n">
        <v>0.12</v>
      </c>
      <c r="D91" s="177" t="n">
        <v>0.16</v>
      </c>
      <c r="E91" s="177" t="n">
        <v>0.16</v>
      </c>
    </row>
    <row r="92" ht="15" customHeight="1" s="95">
      <c r="A92" s="143" t="n">
        <v>43958</v>
      </c>
      <c r="B92" s="177" t="n">
        <v>0.1</v>
      </c>
      <c r="C92" s="177" t="n">
        <v>0.11</v>
      </c>
      <c r="D92" s="177" t="n">
        <v>0.14</v>
      </c>
      <c r="E92" s="177" t="n">
        <v>0.15</v>
      </c>
    </row>
    <row r="93" ht="15" customHeight="1" s="95">
      <c r="A93" s="143" t="n">
        <v>43959</v>
      </c>
      <c r="B93" s="177" t="n">
        <v>0.1</v>
      </c>
      <c r="C93" s="177" t="n">
        <v>0.12</v>
      </c>
      <c r="D93" s="177" t="n">
        <v>0.15</v>
      </c>
      <c r="E93" s="177" t="n">
        <v>0.15</v>
      </c>
    </row>
    <row r="94" ht="15" customHeight="1" s="95">
      <c r="A94" s="143" t="n">
        <v>43962</v>
      </c>
      <c r="B94" s="177" t="n">
        <v>0.09</v>
      </c>
      <c r="C94" s="177" t="n">
        <v>0.12</v>
      </c>
      <c r="D94" s="177" t="n">
        <v>0.16</v>
      </c>
      <c r="E94" s="177" t="n">
        <v>0.16</v>
      </c>
    </row>
    <row r="95" ht="15" customHeight="1" s="95">
      <c r="A95" s="143" t="n">
        <v>43963</v>
      </c>
      <c r="B95" s="177" t="n">
        <v>0.1</v>
      </c>
      <c r="C95" s="177" t="n">
        <v>0.13</v>
      </c>
      <c r="D95" s="177" t="n">
        <v>0.16</v>
      </c>
      <c r="E95" s="177" t="n">
        <v>0.16</v>
      </c>
    </row>
    <row r="96" ht="15" customHeight="1" s="95">
      <c r="A96" s="143" t="n">
        <v>43964</v>
      </c>
      <c r="B96" s="177" t="n">
        <v>0.1</v>
      </c>
      <c r="C96" s="177" t="n">
        <v>0.13</v>
      </c>
      <c r="D96" s="177" t="n">
        <v>0.15</v>
      </c>
      <c r="E96" s="177" t="n">
        <v>0.15</v>
      </c>
    </row>
    <row r="97" ht="15" customHeight="1" s="95">
      <c r="A97" s="143" t="n">
        <v>43965</v>
      </c>
      <c r="B97" s="177" t="n">
        <v>0.09</v>
      </c>
      <c r="C97" s="177" t="n">
        <v>0.12</v>
      </c>
      <c r="D97" s="177" t="n">
        <v>0.15</v>
      </c>
      <c r="E97" s="177" t="n">
        <v>0.15</v>
      </c>
    </row>
    <row r="98" ht="15" customHeight="1" s="95">
      <c r="A98" s="143" t="n">
        <v>43966</v>
      </c>
      <c r="B98" s="177" t="n">
        <v>0.09</v>
      </c>
      <c r="C98" s="177" t="n">
        <v>0.12</v>
      </c>
      <c r="D98" s="177" t="n">
        <v>0.15</v>
      </c>
      <c r="E98" s="177" t="n">
        <v>0.15</v>
      </c>
    </row>
    <row r="99" ht="15" customHeight="1" s="95">
      <c r="A99" s="143" t="n">
        <v>43969</v>
      </c>
      <c r="B99" s="177" t="n">
        <v>0.1</v>
      </c>
      <c r="C99" s="177" t="n">
        <v>0.13</v>
      </c>
      <c r="D99" s="177" t="n">
        <v>0.15</v>
      </c>
      <c r="E99" s="177" t="n">
        <v>0.17</v>
      </c>
    </row>
    <row r="100" ht="15" customHeight="1" s="95">
      <c r="A100" s="143" t="n">
        <v>43970</v>
      </c>
      <c r="B100" s="177" t="n">
        <v>0.09</v>
      </c>
      <c r="C100" s="177" t="n">
        <v>0.13</v>
      </c>
      <c r="D100" s="177" t="n">
        <v>0.15</v>
      </c>
      <c r="E100" s="177" t="n">
        <v>0.16</v>
      </c>
    </row>
    <row r="101" ht="15" customHeight="1" s="95">
      <c r="A101" s="143" t="n">
        <v>43971</v>
      </c>
      <c r="B101" s="177" t="n">
        <v>0.08</v>
      </c>
      <c r="C101" s="177" t="n">
        <v>0.12</v>
      </c>
      <c r="D101" s="177" t="n">
        <v>0.14</v>
      </c>
      <c r="E101" s="177" t="n">
        <v>0.16</v>
      </c>
    </row>
    <row r="102" ht="15" customHeight="1" s="95">
      <c r="A102" s="143" t="n">
        <v>43972</v>
      </c>
      <c r="B102" s="177" t="n">
        <v>0.09</v>
      </c>
      <c r="C102" s="177" t="n">
        <v>0.12</v>
      </c>
      <c r="D102" s="177" t="n">
        <v>0.14</v>
      </c>
      <c r="E102" s="177" t="n">
        <v>0.16</v>
      </c>
    </row>
    <row r="103" ht="15" customHeight="1" s="95">
      <c r="A103" s="143" t="n">
        <v>43973</v>
      </c>
      <c r="B103" s="177" t="n">
        <v>0.09</v>
      </c>
      <c r="C103" s="177" t="n">
        <v>0.12</v>
      </c>
      <c r="D103" s="177" t="n">
        <v>0.16</v>
      </c>
      <c r="E103" s="177" t="n">
        <v>0.17</v>
      </c>
    </row>
    <row r="104" ht="15" customHeight="1" s="95">
      <c r="A104" s="143" t="n">
        <v>43976</v>
      </c>
    </row>
    <row r="105" ht="15" customHeight="1" s="95">
      <c r="A105" s="143" t="n">
        <v>43977</v>
      </c>
      <c r="B105" s="177" t="n">
        <v>0.1</v>
      </c>
      <c r="C105" s="177" t="n">
        <v>0.14</v>
      </c>
      <c r="D105" s="177" t="n">
        <v>0.17</v>
      </c>
      <c r="E105" s="177" t="n">
        <v>0.17</v>
      </c>
    </row>
    <row r="106" ht="15" customHeight="1" s="95">
      <c r="A106" s="143" t="n">
        <v>43978</v>
      </c>
      <c r="B106" s="177" t="n">
        <v>0.11</v>
      </c>
      <c r="C106" s="177" t="n">
        <v>0.15</v>
      </c>
      <c r="D106" s="177" t="n">
        <v>0.17</v>
      </c>
      <c r="E106" s="177" t="n">
        <v>0.18</v>
      </c>
    </row>
    <row r="107" ht="15" customHeight="1" s="95">
      <c r="A107" s="143" t="n">
        <v>43979</v>
      </c>
      <c r="B107" s="177" t="n">
        <v>0.14</v>
      </c>
      <c r="C107" s="177" t="n">
        <v>0.15</v>
      </c>
      <c r="D107" s="177" t="n">
        <v>0.18</v>
      </c>
      <c r="E107" s="177" t="n">
        <v>0.17</v>
      </c>
    </row>
    <row r="108" ht="15" customHeight="1" s="95">
      <c r="A108" s="143" t="n">
        <v>43980</v>
      </c>
      <c r="B108" s="177" t="n">
        <v>0.13</v>
      </c>
      <c r="C108" s="177" t="n">
        <v>0.14</v>
      </c>
      <c r="D108" s="177" t="n">
        <v>0.18</v>
      </c>
      <c r="E108" s="177" t="n">
        <v>0.17</v>
      </c>
    </row>
    <row r="109" ht="15" customHeight="1" s="95">
      <c r="A109" s="143" t="n">
        <v>43983</v>
      </c>
      <c r="B109" s="177" t="n">
        <v>0.12</v>
      </c>
      <c r="C109" s="177" t="n">
        <v>0.14</v>
      </c>
      <c r="D109" s="177" t="n">
        <v>0.18</v>
      </c>
      <c r="E109" s="177" t="n">
        <v>0.17</v>
      </c>
    </row>
    <row r="110" ht="15" customHeight="1" s="95">
      <c r="A110" s="143" t="n">
        <v>43984</v>
      </c>
      <c r="B110" s="177" t="n">
        <v>0.12</v>
      </c>
      <c r="C110" s="177" t="n">
        <v>0.15</v>
      </c>
      <c r="D110" s="177" t="n">
        <v>0.18</v>
      </c>
      <c r="E110" s="177" t="n">
        <v>0.17</v>
      </c>
    </row>
    <row r="111" ht="15" customHeight="1" s="95">
      <c r="A111" s="143" t="n">
        <v>43985</v>
      </c>
      <c r="B111" s="177" t="n">
        <v>0.12</v>
      </c>
      <c r="C111" s="177" t="n">
        <v>0.16</v>
      </c>
      <c r="D111" s="177" t="n">
        <v>0.19</v>
      </c>
      <c r="E111" s="177" t="n">
        <v>0.17</v>
      </c>
    </row>
    <row r="112" ht="15" customHeight="1" s="95">
      <c r="A112" s="143" t="n">
        <v>43986</v>
      </c>
      <c r="B112" s="177" t="n">
        <v>0.13</v>
      </c>
      <c r="C112" s="177" t="n">
        <v>0.15</v>
      </c>
      <c r="D112" s="177" t="n">
        <v>0.18</v>
      </c>
      <c r="E112" s="177" t="n">
        <v>0.17</v>
      </c>
    </row>
    <row r="113" ht="15" customHeight="1" s="95">
      <c r="A113" s="143" t="n">
        <v>43987</v>
      </c>
      <c r="B113" s="177" t="n">
        <v>0.13</v>
      </c>
      <c r="C113" s="177" t="n">
        <v>0.15</v>
      </c>
      <c r="D113" s="177" t="n">
        <v>0.18</v>
      </c>
      <c r="E113" s="177" t="n">
        <v>0.18</v>
      </c>
    </row>
    <row r="114" ht="15" customHeight="1" s="95">
      <c r="A114" s="143" t="n">
        <v>43990</v>
      </c>
      <c r="B114" s="177" t="n">
        <v>0.15</v>
      </c>
      <c r="C114" s="177" t="n">
        <v>0.17</v>
      </c>
      <c r="D114" s="177" t="n">
        <v>0.19</v>
      </c>
      <c r="E114" s="177" t="n">
        <v>0.19</v>
      </c>
    </row>
    <row r="115" ht="15" customHeight="1" s="95">
      <c r="A115" s="143" t="n">
        <v>43991</v>
      </c>
      <c r="B115" s="177" t="n">
        <v>0.14</v>
      </c>
      <c r="C115" s="177" t="n">
        <v>0.19</v>
      </c>
      <c r="D115" s="177" t="n">
        <v>0.19</v>
      </c>
      <c r="E115" s="177" t="n">
        <v>0.19</v>
      </c>
    </row>
    <row r="116" ht="15" customHeight="1" s="95">
      <c r="A116" s="143" t="n">
        <v>43992</v>
      </c>
      <c r="B116" s="177" t="n">
        <v>0.13</v>
      </c>
      <c r="C116" s="177" t="n">
        <v>0.17</v>
      </c>
      <c r="D116" s="177" t="n">
        <v>0.19</v>
      </c>
      <c r="E116" s="177" t="n">
        <v>0.18</v>
      </c>
    </row>
    <row r="117" ht="15" customHeight="1" s="95">
      <c r="A117" s="143" t="n">
        <v>43993</v>
      </c>
      <c r="B117" s="177" t="n">
        <v>0.14</v>
      </c>
      <c r="C117" s="177" t="n">
        <v>0.17</v>
      </c>
      <c r="D117" s="177" t="n">
        <v>0.18</v>
      </c>
      <c r="E117" s="177" t="n">
        <v>0.19</v>
      </c>
    </row>
    <row r="118" ht="15" customHeight="1" s="95">
      <c r="A118" s="143" t="n">
        <v>43994</v>
      </c>
      <c r="B118" s="177" t="n">
        <v>0.14</v>
      </c>
      <c r="C118" s="177" t="n">
        <v>0.16</v>
      </c>
      <c r="D118" s="177" t="n">
        <v>0.18</v>
      </c>
      <c r="E118" s="177" t="n">
        <v>0.18</v>
      </c>
    </row>
    <row r="119" ht="15" customHeight="1" s="95">
      <c r="A119" s="143" t="n">
        <v>43997</v>
      </c>
      <c r="B119" s="177" t="n">
        <v>0.15</v>
      </c>
      <c r="C119" s="177" t="n">
        <v>0.18</v>
      </c>
      <c r="D119" s="177" t="n">
        <v>0.19</v>
      </c>
      <c r="E119" s="177" t="n">
        <v>0.17</v>
      </c>
    </row>
    <row r="120" ht="15" customHeight="1" s="95">
      <c r="A120" s="143" t="n">
        <v>43998</v>
      </c>
      <c r="B120" s="177" t="n">
        <v>0.14</v>
      </c>
      <c r="C120" s="177" t="n">
        <v>0.17</v>
      </c>
      <c r="D120" s="177" t="n">
        <v>0.19</v>
      </c>
      <c r="E120" s="177" t="n">
        <v>0.18</v>
      </c>
    </row>
    <row r="121" ht="15" customHeight="1" s="95">
      <c r="A121" s="143" t="n">
        <v>43999</v>
      </c>
      <c r="B121" s="177" t="n">
        <v>0.13</v>
      </c>
      <c r="C121" s="177" t="n">
        <v>0.17</v>
      </c>
      <c r="D121" s="177" t="n">
        <v>0.18</v>
      </c>
      <c r="E121" s="177" t="n">
        <v>0.19</v>
      </c>
    </row>
    <row r="122" ht="15" customHeight="1" s="95">
      <c r="A122" s="143" t="n">
        <v>44000</v>
      </c>
      <c r="B122" s="177" t="n">
        <v>0.13</v>
      </c>
      <c r="C122" s="177" t="n">
        <v>0.16</v>
      </c>
      <c r="D122" s="177" t="n">
        <v>0.17</v>
      </c>
      <c r="E122" s="177" t="n">
        <v>0.19</v>
      </c>
    </row>
    <row r="123" ht="15" customHeight="1" s="95">
      <c r="A123" s="143" t="n">
        <v>44001</v>
      </c>
      <c r="B123" s="177" t="n">
        <v>0.13</v>
      </c>
      <c r="C123" s="177" t="n">
        <v>0.15</v>
      </c>
      <c r="D123" s="177" t="n">
        <v>0.17</v>
      </c>
      <c r="E123" s="177" t="n">
        <v>0.18</v>
      </c>
    </row>
    <row r="124" ht="15" customHeight="1" s="95">
      <c r="A124" s="143" t="n">
        <v>44004</v>
      </c>
      <c r="B124" s="177" t="n">
        <v>0.14</v>
      </c>
      <c r="C124" s="177" t="n">
        <v>0.16</v>
      </c>
      <c r="D124" s="177" t="n">
        <v>0.18</v>
      </c>
      <c r="E124" s="177" t="n">
        <v>0.17</v>
      </c>
    </row>
    <row r="125" ht="15" customHeight="1" s="95">
      <c r="A125" s="143" t="n">
        <v>44005</v>
      </c>
      <c r="B125" s="177" t="n">
        <v>0.12</v>
      </c>
      <c r="C125" s="177" t="n">
        <v>0.16</v>
      </c>
      <c r="D125" s="177" t="n">
        <v>0.17</v>
      </c>
      <c r="E125" s="177" t="n">
        <v>0.18</v>
      </c>
    </row>
    <row r="126" ht="15" customHeight="1" s="95">
      <c r="A126" s="143" t="n">
        <v>44006</v>
      </c>
      <c r="B126" s="177" t="n">
        <v>0.11</v>
      </c>
      <c r="C126" s="177" t="n">
        <v>0.15</v>
      </c>
      <c r="D126" s="177" t="n">
        <v>0.17</v>
      </c>
      <c r="E126" s="177" t="n">
        <v>0.17</v>
      </c>
    </row>
    <row r="127" ht="15" customHeight="1" s="95">
      <c r="A127" s="143" t="n">
        <v>44007</v>
      </c>
      <c r="B127" s="177" t="n">
        <v>0.13</v>
      </c>
      <c r="C127" s="177" t="n">
        <v>0.16</v>
      </c>
      <c r="D127" s="177" t="n">
        <v>0.17</v>
      </c>
      <c r="E127" s="177" t="n">
        <v>0.17</v>
      </c>
    </row>
    <row r="128" ht="15" customHeight="1" s="95">
      <c r="A128" s="143" t="n">
        <v>44008</v>
      </c>
      <c r="B128" s="177" t="n">
        <v>0.12</v>
      </c>
      <c r="C128" s="177" t="n">
        <v>0.14</v>
      </c>
      <c r="D128" s="177" t="n">
        <v>0.17</v>
      </c>
      <c r="E128" s="177" t="n">
        <v>0.17</v>
      </c>
    </row>
    <row r="129" ht="15" customHeight="1" s="95">
      <c r="A129" s="143" t="n">
        <v>44011</v>
      </c>
      <c r="B129" s="177" t="n">
        <v>0.11</v>
      </c>
      <c r="C129" s="177" t="n">
        <v>0.14</v>
      </c>
      <c r="D129" s="177" t="n">
        <v>0.18</v>
      </c>
      <c r="E129" s="177" t="n">
        <v>0.16</v>
      </c>
    </row>
    <row r="130" ht="15" customHeight="1" s="95">
      <c r="A130" s="143" t="n">
        <v>44012</v>
      </c>
      <c r="B130" s="177" t="n">
        <v>0.13</v>
      </c>
      <c r="C130" s="177" t="n">
        <v>0.16</v>
      </c>
      <c r="D130" s="177" t="n">
        <v>0.18</v>
      </c>
      <c r="E130" s="177" t="n">
        <v>0.16</v>
      </c>
    </row>
    <row r="131" ht="15" customHeight="1" s="95">
      <c r="A131" s="143" t="n">
        <v>44013</v>
      </c>
      <c r="B131" s="177" t="n">
        <v>0.12</v>
      </c>
      <c r="C131" s="177" t="n">
        <v>0.14</v>
      </c>
      <c r="D131" s="177" t="n">
        <v>0.17</v>
      </c>
      <c r="E131" s="177" t="n">
        <v>0.16</v>
      </c>
    </row>
    <row r="132" ht="15" customHeight="1" s="95">
      <c r="A132" s="143" t="n">
        <v>44014</v>
      </c>
      <c r="B132" s="177" t="n">
        <v>0.13</v>
      </c>
      <c r="C132" s="177" t="n">
        <v>0.14</v>
      </c>
      <c r="D132" s="177" t="n">
        <v>0.16</v>
      </c>
      <c r="E132" s="177" t="n">
        <v>0.16</v>
      </c>
    </row>
    <row r="133" ht="15" customHeight="1" s="95">
      <c r="A133" s="143" t="n">
        <v>44015</v>
      </c>
    </row>
    <row r="134" ht="15" customHeight="1" s="95">
      <c r="A134" s="143" t="n">
        <v>44018</v>
      </c>
      <c r="B134" s="177" t="n">
        <v>0.12</v>
      </c>
      <c r="C134" s="177" t="n">
        <v>0.15</v>
      </c>
      <c r="D134" s="177" t="n">
        <v>0.16</v>
      </c>
      <c r="E134" s="177" t="n">
        <v>0.16</v>
      </c>
    </row>
    <row r="135" ht="15" customHeight="1" s="95">
      <c r="A135" s="143" t="n">
        <v>44019</v>
      </c>
      <c r="B135" s="177" t="n">
        <v>0.12</v>
      </c>
      <c r="C135" s="177" t="n">
        <v>0.15</v>
      </c>
      <c r="D135" s="177" t="n">
        <v>0.17</v>
      </c>
      <c r="E135" s="177" t="n">
        <v>0.15</v>
      </c>
    </row>
    <row r="136" ht="15" customHeight="1" s="95">
      <c r="A136" s="143" t="n">
        <v>44020</v>
      </c>
      <c r="B136" s="177" t="n">
        <v>0.11</v>
      </c>
      <c r="C136" s="177" t="n">
        <v>0.15</v>
      </c>
      <c r="D136" s="177" t="n">
        <v>0.17</v>
      </c>
      <c r="E136" s="177" t="n">
        <v>0.15</v>
      </c>
    </row>
    <row r="137" ht="15" customHeight="1" s="95">
      <c r="A137" s="143" t="n">
        <v>44021</v>
      </c>
      <c r="B137" s="177" t="n">
        <v>0.11</v>
      </c>
      <c r="C137" s="177" t="n">
        <v>0.13</v>
      </c>
      <c r="D137" s="177" t="n">
        <v>0.16</v>
      </c>
      <c r="E137" s="177" t="n">
        <v>0.15</v>
      </c>
    </row>
    <row r="138" ht="15" customHeight="1" s="95">
      <c r="A138" s="143" t="n">
        <v>44022</v>
      </c>
      <c r="B138" s="177" t="n">
        <v>0.1</v>
      </c>
      <c r="C138" s="177" t="n">
        <v>0.13</v>
      </c>
      <c r="D138" s="177" t="n">
        <v>0.15</v>
      </c>
      <c r="E138" s="177" t="n">
        <v>0.15</v>
      </c>
    </row>
    <row r="139" ht="15" customHeight="1" s="95">
      <c r="A139" s="143" t="n">
        <v>44025</v>
      </c>
      <c r="B139" s="177" t="n">
        <v>0.11</v>
      </c>
      <c r="C139" s="177" t="n">
        <v>0.14</v>
      </c>
      <c r="D139" s="177" t="n">
        <v>0.15</v>
      </c>
      <c r="E139" s="177" t="n">
        <v>0.16</v>
      </c>
    </row>
    <row r="140" ht="15" customHeight="1" s="95">
      <c r="A140" s="143" t="n">
        <v>44026</v>
      </c>
      <c r="B140" s="177" t="n">
        <v>0.11</v>
      </c>
      <c r="C140" s="177" t="n">
        <v>0.15</v>
      </c>
      <c r="D140" s="177" t="n">
        <v>0.14</v>
      </c>
      <c r="E140" s="177" t="n">
        <v>0.17</v>
      </c>
    </row>
    <row r="141" ht="15" customHeight="1" s="95">
      <c r="A141" s="143" t="n">
        <v>44027</v>
      </c>
      <c r="B141" s="177" t="n">
        <v>0.12</v>
      </c>
      <c r="C141" s="177" t="n">
        <v>0.16</v>
      </c>
      <c r="D141" s="177" t="n">
        <v>0.15</v>
      </c>
      <c r="E141" s="177" t="n">
        <v>0.15</v>
      </c>
    </row>
    <row r="142" ht="15" customHeight="1" s="95">
      <c r="A142" s="143" t="n">
        <v>44028</v>
      </c>
      <c r="B142" s="177" t="n">
        <v>0.12</v>
      </c>
      <c r="C142" s="177" t="n">
        <v>0.11</v>
      </c>
      <c r="D142" s="177" t="n">
        <v>0.13</v>
      </c>
      <c r="E142" s="177" t="n">
        <v>0.14</v>
      </c>
    </row>
    <row r="143" ht="15" customHeight="1" s="95">
      <c r="A143" s="143" t="n">
        <v>44029</v>
      </c>
      <c r="B143" s="177" t="n">
        <v>0.11</v>
      </c>
      <c r="C143" s="177" t="n">
        <v>0.11</v>
      </c>
      <c r="D143" s="177" t="n">
        <v>0.13</v>
      </c>
      <c r="E143" s="177" t="n">
        <v>0.14</v>
      </c>
    </row>
    <row r="144" ht="15" customHeight="1" s="95">
      <c r="A144" s="143" t="n">
        <v>44032</v>
      </c>
      <c r="B144" s="177" t="n">
        <v>0.11</v>
      </c>
      <c r="C144" s="177" t="n">
        <v>0.13</v>
      </c>
      <c r="D144" s="177" t="n">
        <v>0.14</v>
      </c>
      <c r="E144" s="177" t="n">
        <v>0.14</v>
      </c>
    </row>
    <row r="145" ht="15" customHeight="1" s="95">
      <c r="A145" s="143" t="n">
        <v>44033</v>
      </c>
      <c r="B145" s="177" t="n">
        <v>0.09</v>
      </c>
      <c r="C145" s="177" t="n">
        <v>0.13</v>
      </c>
      <c r="D145" s="177" t="n">
        <v>0.13</v>
      </c>
      <c r="E145" s="177" t="n">
        <v>0.15</v>
      </c>
    </row>
    <row r="146" ht="15" customHeight="1" s="95">
      <c r="A146" s="143" t="n">
        <v>44034</v>
      </c>
      <c r="B146" s="177" t="n">
        <v>0.09</v>
      </c>
      <c r="C146" s="177" t="n">
        <v>0.13</v>
      </c>
      <c r="D146" s="177" t="n">
        <v>0.14</v>
      </c>
      <c r="E146" s="177" t="n">
        <v>0.14</v>
      </c>
    </row>
    <row r="147" ht="15" customHeight="1" s="95">
      <c r="A147" s="143" t="n">
        <v>44035</v>
      </c>
      <c r="B147" s="177" t="n">
        <v>0.09</v>
      </c>
      <c r="C147" s="177" t="n">
        <v>0.12</v>
      </c>
      <c r="D147" s="177" t="n">
        <v>0.13</v>
      </c>
      <c r="E147" s="177" t="n">
        <v>0.14</v>
      </c>
    </row>
    <row r="148" ht="15" customHeight="1" s="95">
      <c r="A148" s="143" t="n">
        <v>44036</v>
      </c>
      <c r="B148" s="177" t="n">
        <v>0.1</v>
      </c>
      <c r="C148" s="177" t="n">
        <v>0.11</v>
      </c>
      <c r="D148" s="177" t="n">
        <v>0.14</v>
      </c>
      <c r="E148" s="177" t="n">
        <v>0.16</v>
      </c>
    </row>
    <row r="149" ht="15" customHeight="1" s="95">
      <c r="A149" s="143" t="n">
        <v>44039</v>
      </c>
      <c r="B149" s="177" t="n">
        <v>0.1</v>
      </c>
      <c r="C149" s="177" t="n">
        <v>0.11</v>
      </c>
      <c r="D149" s="177" t="n">
        <v>0.14</v>
      </c>
      <c r="E149" s="177" t="n">
        <v>0.14</v>
      </c>
    </row>
    <row r="150" ht="15" customHeight="1" s="95">
      <c r="A150" s="143" t="n">
        <v>44040</v>
      </c>
      <c r="B150" s="177" t="n">
        <v>0.09</v>
      </c>
      <c r="C150" s="177" t="n">
        <v>0.11</v>
      </c>
      <c r="D150" s="177" t="n">
        <v>0.12</v>
      </c>
      <c r="E150" s="177" t="n">
        <v>0.14</v>
      </c>
    </row>
    <row r="151" ht="15" customHeight="1" s="95">
      <c r="A151" s="143" t="n">
        <v>44041</v>
      </c>
      <c r="B151" s="177" t="n">
        <v>0.09</v>
      </c>
      <c r="C151" s="177" t="n">
        <v>0.11</v>
      </c>
      <c r="D151" s="177" t="n">
        <v>0.12</v>
      </c>
      <c r="E151" s="177" t="n">
        <v>0.13</v>
      </c>
    </row>
    <row r="152" ht="15" customHeight="1" s="95">
      <c r="A152" s="143" t="n">
        <v>44042</v>
      </c>
      <c r="B152" s="177" t="n">
        <v>0.1</v>
      </c>
      <c r="C152" s="177" t="n">
        <v>0.09</v>
      </c>
      <c r="D152" s="177" t="n">
        <v>0.11</v>
      </c>
      <c r="E152" s="177" t="n">
        <v>0.11</v>
      </c>
    </row>
    <row r="153" ht="15" customHeight="1" s="95">
      <c r="A153" s="143" t="n">
        <v>44043</v>
      </c>
      <c r="B153" s="177" t="n">
        <v>0.09</v>
      </c>
      <c r="C153" s="177" t="n">
        <v>0.09</v>
      </c>
      <c r="D153" s="177" t="n">
        <v>0.1</v>
      </c>
      <c r="E153" s="177" t="n">
        <v>0.11</v>
      </c>
    </row>
    <row r="154" ht="15" customHeight="1" s="95">
      <c r="A154" s="143" t="n">
        <v>44046</v>
      </c>
      <c r="B154" s="177" t="n">
        <v>0.09</v>
      </c>
      <c r="C154" s="177" t="n">
        <v>0.1</v>
      </c>
      <c r="D154" s="177" t="n">
        <v>0.11</v>
      </c>
      <c r="E154" s="177" t="n">
        <v>0.12</v>
      </c>
    </row>
    <row r="155" ht="15" customHeight="1" s="95">
      <c r="A155" s="143" t="n">
        <v>44047</v>
      </c>
      <c r="B155" s="177" t="n">
        <v>0.09</v>
      </c>
      <c r="C155" s="177" t="n">
        <v>0.09</v>
      </c>
      <c r="D155" s="177" t="n">
        <v>0.11</v>
      </c>
      <c r="E155" s="177" t="n">
        <v>0.14</v>
      </c>
    </row>
    <row r="156" ht="15" customHeight="1" s="95">
      <c r="A156" s="143" t="n">
        <v>44048</v>
      </c>
      <c r="B156" s="177" t="n">
        <v>0.08</v>
      </c>
      <c r="C156" s="177" t="n">
        <v>0.1</v>
      </c>
      <c r="D156" s="177" t="n">
        <v>0.12</v>
      </c>
      <c r="E156" s="177" t="n">
        <v>0.12</v>
      </c>
    </row>
    <row r="157" ht="15" customHeight="1" s="95">
      <c r="A157" s="143" t="n">
        <v>44049</v>
      </c>
      <c r="B157" s="177" t="n">
        <v>0.07000000000000001</v>
      </c>
      <c r="C157" s="177" t="n">
        <v>0.1</v>
      </c>
      <c r="D157" s="177" t="n">
        <v>0.11</v>
      </c>
      <c r="E157" s="177" t="n">
        <v>0.14</v>
      </c>
    </row>
    <row r="158" ht="15" customHeight="1" s="95">
      <c r="A158" s="143" t="n">
        <v>44050</v>
      </c>
      <c r="B158" s="177" t="n">
        <v>0.08</v>
      </c>
      <c r="C158" s="177" t="n">
        <v>0.1</v>
      </c>
      <c r="D158" s="177" t="n">
        <v>0.12</v>
      </c>
      <c r="E158" s="177" t="n">
        <v>0.14</v>
      </c>
    </row>
    <row r="159" ht="15" customHeight="1" s="95">
      <c r="A159" s="143" t="n">
        <v>44053</v>
      </c>
      <c r="B159" s="177" t="n">
        <v>0.09</v>
      </c>
      <c r="C159" s="177" t="n">
        <v>0.11</v>
      </c>
      <c r="D159" s="177" t="n">
        <v>0.13</v>
      </c>
      <c r="E159" s="177" t="n">
        <v>0.13</v>
      </c>
    </row>
    <row r="160" ht="15" customHeight="1" s="95">
      <c r="A160" s="143" t="n">
        <v>44054</v>
      </c>
      <c r="B160" s="177" t="n">
        <v>0.08</v>
      </c>
      <c r="C160" s="177" t="n">
        <v>0.11</v>
      </c>
      <c r="D160" s="177" t="n">
        <v>0.12</v>
      </c>
      <c r="E160" s="177" t="n">
        <v>0.15</v>
      </c>
    </row>
    <row r="161" ht="15" customHeight="1" s="95">
      <c r="A161" s="143" t="n">
        <v>44055</v>
      </c>
      <c r="B161" s="177" t="n">
        <v>0.08</v>
      </c>
      <c r="C161" s="177" t="n">
        <v>0.11</v>
      </c>
      <c r="D161" s="177" t="n">
        <v>0.12</v>
      </c>
      <c r="E161" s="177" t="n">
        <v>0.13</v>
      </c>
    </row>
    <row r="162" ht="15" customHeight="1" s="95">
      <c r="A162" s="143" t="n">
        <v>44056</v>
      </c>
      <c r="B162" s="177" t="n">
        <v>0.08</v>
      </c>
      <c r="C162" s="177" t="n">
        <v>0.1</v>
      </c>
      <c r="D162" s="177" t="n">
        <v>0.12</v>
      </c>
      <c r="E162" s="177" t="n">
        <v>0.14</v>
      </c>
    </row>
    <row r="163" ht="15" customHeight="1" s="95">
      <c r="A163" s="143" t="n">
        <v>44057</v>
      </c>
      <c r="B163" s="177" t="n">
        <v>0.09</v>
      </c>
      <c r="C163" s="177" t="n">
        <v>0.1</v>
      </c>
      <c r="D163" s="177" t="n">
        <v>0.12</v>
      </c>
      <c r="E163" s="177" t="n">
        <v>0.13</v>
      </c>
    </row>
    <row r="164" ht="15" customHeight="1" s="95">
      <c r="A164" s="143" t="n">
        <v>44060</v>
      </c>
      <c r="B164" s="177" t="n">
        <v>0.09</v>
      </c>
      <c r="C164" s="177" t="n">
        <v>0.1</v>
      </c>
      <c r="D164" s="177" t="n">
        <v>0.12</v>
      </c>
      <c r="E164" s="177" t="n">
        <v>0.13</v>
      </c>
    </row>
    <row r="165" ht="15" customHeight="1" s="95">
      <c r="A165" s="143" t="n">
        <v>44061</v>
      </c>
      <c r="B165" s="177" t="n">
        <v>0.08</v>
      </c>
      <c r="C165" s="177" t="n">
        <v>0.09</v>
      </c>
      <c r="D165" s="177" t="n">
        <v>0.13</v>
      </c>
      <c r="E165" s="177" t="n">
        <v>0.13</v>
      </c>
    </row>
    <row r="166" ht="15" customHeight="1" s="95">
      <c r="A166" s="143" t="n">
        <v>44062</v>
      </c>
      <c r="B166" s="177" t="n">
        <v>0.07000000000000001</v>
      </c>
      <c r="C166" s="177" t="n">
        <v>0.11</v>
      </c>
      <c r="D166" s="177" t="n">
        <v>0.12</v>
      </c>
      <c r="E166" s="177" t="n">
        <v>0.13</v>
      </c>
    </row>
    <row r="167" ht="15" customHeight="1" s="95">
      <c r="A167" s="143" t="n">
        <v>44063</v>
      </c>
      <c r="B167" s="177" t="n">
        <v>0.08</v>
      </c>
      <c r="C167" s="177" t="n">
        <v>0.11</v>
      </c>
      <c r="D167" s="177" t="n">
        <v>0.13</v>
      </c>
      <c r="E167" s="177" t="n">
        <v>0.12</v>
      </c>
    </row>
    <row r="168" ht="15" customHeight="1" s="95">
      <c r="A168" s="143" t="n">
        <v>44064</v>
      </c>
      <c r="B168" s="177" t="n">
        <v>0.07000000000000001</v>
      </c>
      <c r="C168" s="177" t="n">
        <v>0.1</v>
      </c>
      <c r="D168" s="177" t="n">
        <v>0.12</v>
      </c>
      <c r="E168" s="177" t="n">
        <v>0.13</v>
      </c>
    </row>
    <row r="169" ht="15" customHeight="1" s="95">
      <c r="A169" s="143" t="n">
        <v>44067</v>
      </c>
      <c r="B169" s="177" t="n">
        <v>0.09</v>
      </c>
      <c r="C169" s="177" t="n">
        <v>0.12</v>
      </c>
      <c r="D169" s="177" t="n">
        <v>0.12</v>
      </c>
      <c r="E169" s="177" t="n">
        <v>0.14</v>
      </c>
    </row>
    <row r="170" ht="15" customHeight="1" s="95">
      <c r="A170" s="143" t="n">
        <v>44068</v>
      </c>
      <c r="B170" s="177" t="n">
        <v>0.08</v>
      </c>
      <c r="C170" s="177" t="n">
        <v>0.11</v>
      </c>
      <c r="D170" s="177" t="n">
        <v>0.12</v>
      </c>
      <c r="E170" s="177" t="n">
        <v>0.13</v>
      </c>
    </row>
    <row r="171" ht="15" customHeight="1" s="95">
      <c r="A171" s="143" t="n">
        <v>44069</v>
      </c>
      <c r="B171" s="177" t="n">
        <v>0.08</v>
      </c>
      <c r="C171" s="177" t="n">
        <v>0.11</v>
      </c>
      <c r="D171" s="177" t="n">
        <v>0.12</v>
      </c>
      <c r="E171" s="177" t="n">
        <v>0.12</v>
      </c>
    </row>
    <row r="172" ht="15" customHeight="1" s="95">
      <c r="A172" s="143" t="n">
        <v>44070</v>
      </c>
      <c r="B172" s="177" t="n">
        <v>0.09</v>
      </c>
      <c r="C172" s="177" t="n">
        <v>0.11</v>
      </c>
      <c r="D172" s="177" t="n">
        <v>0.11</v>
      </c>
      <c r="E172" s="177" t="n">
        <v>0.13</v>
      </c>
    </row>
    <row r="173" ht="15" customHeight="1" s="95">
      <c r="A173" s="143" t="n">
        <v>44071</v>
      </c>
      <c r="B173" s="177" t="n">
        <v>0.09</v>
      </c>
      <c r="C173" s="177" t="n">
        <v>0.1</v>
      </c>
      <c r="D173" s="177" t="n">
        <v>0.11</v>
      </c>
      <c r="E173" s="177" t="n">
        <v>0.12</v>
      </c>
    </row>
    <row r="174" ht="15" customHeight="1" s="95">
      <c r="A174" s="143" t="n">
        <v>44074</v>
      </c>
      <c r="B174" s="177" t="n">
        <v>0.08</v>
      </c>
      <c r="C174" s="177" t="n">
        <v>0.11</v>
      </c>
      <c r="D174" s="177" t="n">
        <v>0.13</v>
      </c>
      <c r="E174" s="177" t="n">
        <v>0.12</v>
      </c>
    </row>
    <row r="175" ht="15" customHeight="1" s="95">
      <c r="A175" s="143" t="n">
        <v>44075</v>
      </c>
      <c r="B175" s="177" t="n">
        <v>0.09</v>
      </c>
      <c r="C175" s="177" t="n">
        <v>0.12</v>
      </c>
      <c r="D175" s="177" t="n">
        <v>0.13</v>
      </c>
      <c r="E175" s="177" t="n">
        <v>0.12</v>
      </c>
    </row>
    <row r="176" ht="15" customHeight="1" s="95">
      <c r="A176" s="143" t="n">
        <v>44076</v>
      </c>
      <c r="B176" s="177" t="n">
        <v>0.1</v>
      </c>
      <c r="C176" s="177" t="n">
        <v>0.12</v>
      </c>
      <c r="D176" s="177" t="n">
        <v>0.12</v>
      </c>
      <c r="E176" s="177" t="n">
        <v>0.13</v>
      </c>
    </row>
    <row r="177" ht="15" customHeight="1" s="95">
      <c r="A177" s="143" t="n">
        <v>44077</v>
      </c>
      <c r="B177" s="177" t="n">
        <v>0.1</v>
      </c>
      <c r="C177" s="177" t="n">
        <v>0.11</v>
      </c>
      <c r="D177" s="177" t="n">
        <v>0.12</v>
      </c>
      <c r="E177" s="177" t="n">
        <v>0.12</v>
      </c>
    </row>
    <row r="178" ht="15" customHeight="1" s="95">
      <c r="A178" s="143" t="n">
        <v>44078</v>
      </c>
      <c r="B178" s="177" t="n">
        <v>0.09</v>
      </c>
      <c r="C178" s="177" t="n">
        <v>0.11</v>
      </c>
      <c r="D178" s="177" t="n">
        <v>0.12</v>
      </c>
      <c r="E178" s="177" t="n">
        <v>0.13</v>
      </c>
    </row>
    <row r="179" ht="15" customHeight="1" s="95">
      <c r="A179" s="143" t="n">
        <v>44081</v>
      </c>
    </row>
    <row r="180" ht="15" customHeight="1" s="95">
      <c r="A180" s="143" t="n">
        <v>44082</v>
      </c>
      <c r="B180" s="177" t="n">
        <v>0.1</v>
      </c>
      <c r="C180" s="177" t="n">
        <v>0.13</v>
      </c>
      <c r="D180" s="177" t="n">
        <v>0.14</v>
      </c>
      <c r="E180" s="177" t="n">
        <v>0.15</v>
      </c>
    </row>
    <row r="181" ht="15" customHeight="1" s="95">
      <c r="A181" s="143" t="n">
        <v>44083</v>
      </c>
      <c r="B181" s="177" t="n">
        <v>0.1</v>
      </c>
      <c r="C181" s="177" t="n">
        <v>0.12</v>
      </c>
      <c r="D181" s="177" t="n">
        <v>0.14</v>
      </c>
      <c r="E181" s="177" t="n">
        <v>0.14</v>
      </c>
    </row>
    <row r="182" ht="15" customHeight="1" s="95">
      <c r="A182" s="143" t="n">
        <v>44084</v>
      </c>
      <c r="B182" s="177" t="n">
        <v>0.1</v>
      </c>
      <c r="C182" s="177" t="n">
        <v>0.12</v>
      </c>
      <c r="D182" s="177" t="n">
        <v>0.12</v>
      </c>
      <c r="E182" s="177" t="n">
        <v>0.15</v>
      </c>
    </row>
    <row r="183" ht="15" customHeight="1" s="95">
      <c r="A183" s="143" t="n">
        <v>44085</v>
      </c>
      <c r="B183" s="177" t="n">
        <v>0.1</v>
      </c>
      <c r="C183" s="177" t="n">
        <v>0.11</v>
      </c>
      <c r="D183" s="177" t="n">
        <v>0.12</v>
      </c>
      <c r="E183" s="177" t="n">
        <v>0.13</v>
      </c>
    </row>
    <row r="184" ht="15" customHeight="1" s="95">
      <c r="A184" s="143" t="n">
        <v>44088</v>
      </c>
      <c r="B184" s="177" t="n">
        <v>0.1</v>
      </c>
      <c r="C184" s="177" t="n">
        <v>0.11</v>
      </c>
      <c r="D184" s="177" t="n">
        <v>0.13</v>
      </c>
      <c r="E184" s="177" t="n">
        <v>0.14</v>
      </c>
    </row>
    <row r="185" ht="15" customHeight="1" s="95">
      <c r="A185" s="143" t="n">
        <v>44089</v>
      </c>
      <c r="B185" s="177" t="n">
        <v>0.09</v>
      </c>
      <c r="C185" s="177" t="n">
        <v>0.11</v>
      </c>
      <c r="D185" s="177" t="n">
        <v>0.12</v>
      </c>
      <c r="E185" s="177" t="n">
        <v>0.13</v>
      </c>
    </row>
    <row r="186" ht="15" customHeight="1" s="95">
      <c r="A186" s="143" t="n">
        <v>44090</v>
      </c>
      <c r="B186" s="177" t="n">
        <v>0.08</v>
      </c>
      <c r="C186" s="177" t="n">
        <v>0.12</v>
      </c>
      <c r="D186" s="177" t="n">
        <v>0.12</v>
      </c>
      <c r="E186" s="177" t="n">
        <v>0.12</v>
      </c>
    </row>
    <row r="187" ht="15" customHeight="1" s="95">
      <c r="A187" s="143" t="n">
        <v>44091</v>
      </c>
      <c r="B187" s="177" t="n">
        <v>0.09</v>
      </c>
      <c r="C187" s="177" t="n">
        <v>0.09</v>
      </c>
      <c r="D187" s="177" t="n">
        <v>0.11</v>
      </c>
      <c r="E187" s="177" t="n">
        <v>0.12</v>
      </c>
    </row>
    <row r="188" ht="15" customHeight="1" s="95">
      <c r="A188" s="143" t="n">
        <v>44092</v>
      </c>
      <c r="B188" s="177" t="n">
        <v>0.09</v>
      </c>
      <c r="C188" s="177" t="n">
        <v>0.1</v>
      </c>
      <c r="D188" s="177" t="n">
        <v>0.12</v>
      </c>
      <c r="E188" s="177" t="n">
        <v>0.13</v>
      </c>
    </row>
    <row r="189" ht="15" customHeight="1" s="95">
      <c r="A189" s="143" t="n">
        <v>44095</v>
      </c>
      <c r="B189" s="177" t="n">
        <v>0.09</v>
      </c>
      <c r="C189" s="177" t="n">
        <v>0.1</v>
      </c>
      <c r="D189" s="177" t="n">
        <v>0.11</v>
      </c>
      <c r="E189" s="177" t="n">
        <v>0.12</v>
      </c>
    </row>
    <row r="190" ht="15" customHeight="1" s="95">
      <c r="A190" s="143" t="n">
        <v>44096</v>
      </c>
      <c r="B190" s="177" t="n">
        <v>0.08</v>
      </c>
      <c r="C190" s="177" t="n">
        <v>0.1</v>
      </c>
      <c r="D190" s="177" t="n">
        <v>0.11</v>
      </c>
      <c r="E190" s="177" t="n">
        <v>0.12</v>
      </c>
    </row>
    <row r="191" ht="15" customHeight="1" s="95">
      <c r="A191" s="143" t="n">
        <v>44097</v>
      </c>
      <c r="B191" s="177" t="n">
        <v>0.08</v>
      </c>
      <c r="C191" s="177" t="n">
        <v>0.11</v>
      </c>
      <c r="D191" s="177" t="n">
        <v>0.11</v>
      </c>
      <c r="E191" s="177" t="n">
        <v>0.13</v>
      </c>
    </row>
    <row r="192" ht="15" customHeight="1" s="95">
      <c r="A192" s="143" t="n">
        <v>44098</v>
      </c>
      <c r="B192" s="177" t="n">
        <v>0.08</v>
      </c>
      <c r="C192" s="177" t="n">
        <v>0.1</v>
      </c>
      <c r="D192" s="177" t="n">
        <v>0.11</v>
      </c>
      <c r="E192" s="177" t="n">
        <v>0.12</v>
      </c>
    </row>
    <row r="193" ht="15" customHeight="1" s="95">
      <c r="A193" s="143" t="n">
        <v>44099</v>
      </c>
      <c r="B193" s="177" t="n">
        <v>0.08</v>
      </c>
      <c r="C193" s="177" t="n">
        <v>0.1</v>
      </c>
      <c r="D193" s="177" t="n">
        <v>0.11</v>
      </c>
      <c r="E193" s="177" t="n">
        <v>0.12</v>
      </c>
    </row>
    <row r="194" ht="15" customHeight="1" s="95">
      <c r="A194" s="143" t="n">
        <v>44102</v>
      </c>
      <c r="B194" s="177" t="n">
        <v>0.09</v>
      </c>
      <c r="C194" s="177" t="n">
        <v>0.11</v>
      </c>
      <c r="D194" s="177" t="n">
        <v>0.11</v>
      </c>
      <c r="E194" s="177" t="n">
        <v>0.12</v>
      </c>
    </row>
    <row r="195" ht="15" customHeight="1" s="95">
      <c r="A195" s="143" t="n">
        <v>44103</v>
      </c>
      <c r="B195" s="177" t="n">
        <v>0.07000000000000001</v>
      </c>
      <c r="C195" s="177" t="n">
        <v>0.09</v>
      </c>
      <c r="D195" s="177" t="n">
        <v>0.11</v>
      </c>
      <c r="E195" s="177" t="n">
        <v>0.12</v>
      </c>
    </row>
    <row r="196" ht="15" customHeight="1" s="95">
      <c r="A196" s="143" t="n">
        <v>44104</v>
      </c>
      <c r="B196" s="177" t="n">
        <v>0.08</v>
      </c>
      <c r="C196" s="177" t="n">
        <v>0.1</v>
      </c>
      <c r="D196" s="177" t="n">
        <v>0.11</v>
      </c>
      <c r="E196" s="177" t="n">
        <v>0.12</v>
      </c>
    </row>
    <row r="197" ht="15" customHeight="1" s="95">
      <c r="A197" s="143" t="n">
        <v>44105</v>
      </c>
      <c r="B197" s="177" t="n">
        <v>0.09</v>
      </c>
      <c r="C197" s="177" t="n">
        <v>0.09</v>
      </c>
      <c r="D197" s="177" t="n">
        <v>0.1</v>
      </c>
      <c r="E197" s="177" t="n">
        <v>0.12</v>
      </c>
    </row>
    <row r="198" ht="15" customHeight="1" s="95">
      <c r="A198" s="143" t="n">
        <v>44106</v>
      </c>
      <c r="B198" s="177" t="n">
        <v>0.1</v>
      </c>
      <c r="C198" s="177" t="n">
        <v>0.09</v>
      </c>
      <c r="D198" s="177" t="n">
        <v>0.11</v>
      </c>
      <c r="E198" s="177" t="n">
        <v>0.12</v>
      </c>
    </row>
    <row r="199" ht="15" customHeight="1" s="95">
      <c r="A199" s="143" t="n">
        <v>44109</v>
      </c>
      <c r="B199" s="177" t="n">
        <v>0.09</v>
      </c>
      <c r="C199" s="177" t="n">
        <v>0.1</v>
      </c>
      <c r="D199" s="177" t="n">
        <v>0.11</v>
      </c>
      <c r="E199" s="177" t="n">
        <v>0.12</v>
      </c>
    </row>
    <row r="200" ht="15" customHeight="1" s="95">
      <c r="A200" s="143" t="n">
        <v>44110</v>
      </c>
      <c r="B200" s="177" t="n">
        <v>0.08</v>
      </c>
      <c r="C200" s="177" t="n">
        <v>0.1</v>
      </c>
      <c r="D200" s="177" t="n">
        <v>0.11</v>
      </c>
      <c r="E200" s="177" t="n">
        <v>0.14</v>
      </c>
    </row>
    <row r="201" ht="15" customHeight="1" s="95">
      <c r="A201" s="143" t="n">
        <v>44111</v>
      </c>
      <c r="B201" s="177" t="n">
        <v>0.08</v>
      </c>
      <c r="C201" s="177" t="n">
        <v>0.1</v>
      </c>
      <c r="D201" s="177" t="n">
        <v>0.12</v>
      </c>
      <c r="E201" s="177" t="n">
        <v>0.13</v>
      </c>
    </row>
    <row r="202" ht="15" customHeight="1" s="95">
      <c r="A202" s="143" t="n">
        <v>44112</v>
      </c>
      <c r="B202" s="177" t="n">
        <v>0.09</v>
      </c>
      <c r="C202" s="177" t="n">
        <v>0.09</v>
      </c>
      <c r="D202" s="177" t="n">
        <v>0.12</v>
      </c>
      <c r="E202" s="177" t="n">
        <v>0.13</v>
      </c>
    </row>
    <row r="203" ht="15" customHeight="1" s="95">
      <c r="A203" s="143" t="n">
        <v>44113</v>
      </c>
      <c r="B203" s="177" t="n">
        <v>0.1</v>
      </c>
      <c r="C203" s="177" t="n">
        <v>0.1</v>
      </c>
      <c r="D203" s="177" t="n">
        <v>0.12</v>
      </c>
      <c r="E203" s="177" t="n">
        <v>0.15</v>
      </c>
    </row>
    <row r="204" ht="15" customHeight="1" s="95">
      <c r="A204" s="143" t="n">
        <v>44116</v>
      </c>
    </row>
    <row r="205" ht="15" customHeight="1" s="95">
      <c r="A205" s="143" t="n">
        <v>44117</v>
      </c>
      <c r="B205" s="177" t="n">
        <v>0.09</v>
      </c>
      <c r="C205" s="177" t="n">
        <v>0.11</v>
      </c>
      <c r="D205" s="177" t="n">
        <v>0.12</v>
      </c>
      <c r="E205" s="177" t="n">
        <v>0.13</v>
      </c>
    </row>
    <row r="206" ht="15" customHeight="1" s="95">
      <c r="A206" s="143" t="n">
        <v>44118</v>
      </c>
      <c r="B206" s="177" t="n">
        <v>0.1</v>
      </c>
      <c r="C206" s="177" t="n">
        <v>0.12</v>
      </c>
      <c r="D206" s="177" t="n">
        <v>0.12</v>
      </c>
      <c r="E206" s="177" t="n">
        <v>0.13</v>
      </c>
    </row>
    <row r="207" ht="15" customHeight="1" s="95">
      <c r="A207" s="143" t="n">
        <v>44119</v>
      </c>
      <c r="B207" s="177" t="n">
        <v>0.1</v>
      </c>
      <c r="C207" s="177" t="n">
        <v>0.11</v>
      </c>
      <c r="D207" s="177" t="n">
        <v>0.12</v>
      </c>
      <c r="E207" s="177" t="n">
        <v>0.12</v>
      </c>
    </row>
    <row r="208" ht="15" customHeight="1" s="95">
      <c r="A208" s="143" t="n">
        <v>44120</v>
      </c>
      <c r="B208" s="177" t="n">
        <v>0.09</v>
      </c>
      <c r="C208" s="177" t="n">
        <v>0.11</v>
      </c>
      <c r="D208" s="177" t="n">
        <v>0.12</v>
      </c>
      <c r="E208" s="177" t="n">
        <v>0.12</v>
      </c>
    </row>
    <row r="209" ht="15" customHeight="1" s="95">
      <c r="A209" s="143" t="n">
        <v>44123</v>
      </c>
      <c r="B209" s="177" t="n">
        <v>0.09</v>
      </c>
      <c r="C209" s="177" t="n">
        <v>0.11</v>
      </c>
      <c r="D209" s="177" t="n">
        <v>0.11</v>
      </c>
      <c r="E209" s="177" t="n">
        <v>0.13</v>
      </c>
    </row>
    <row r="210" ht="15" customHeight="1" s="95">
      <c r="A210" s="143" t="n">
        <v>44124</v>
      </c>
      <c r="B210" s="177" t="n">
        <v>0.08</v>
      </c>
      <c r="C210" s="177" t="n">
        <v>0.1</v>
      </c>
      <c r="D210" s="177" t="n">
        <v>0.12</v>
      </c>
      <c r="E210" s="177" t="n">
        <v>0.13</v>
      </c>
    </row>
    <row r="211" ht="15" customHeight="1" s="95">
      <c r="A211" s="143" t="n">
        <v>44125</v>
      </c>
      <c r="B211" s="177" t="n">
        <v>0.08</v>
      </c>
      <c r="C211" s="177" t="n">
        <v>0.1</v>
      </c>
      <c r="D211" s="177" t="n">
        <v>0.12</v>
      </c>
      <c r="E211" s="177" t="n">
        <v>0.13</v>
      </c>
    </row>
    <row r="212" ht="15" customHeight="1" s="95">
      <c r="A212" s="143" t="n">
        <v>44126</v>
      </c>
      <c r="B212" s="177" t="n">
        <v>0.09</v>
      </c>
      <c r="C212" s="177" t="n">
        <v>0.09</v>
      </c>
      <c r="D212" s="177" t="n">
        <v>0.11</v>
      </c>
      <c r="E212" s="177" t="n">
        <v>0.13</v>
      </c>
    </row>
    <row r="213" ht="15" customHeight="1" s="95">
      <c r="A213" s="143" t="n">
        <v>44127</v>
      </c>
      <c r="B213" s="177" t="n">
        <v>0.08</v>
      </c>
      <c r="C213" s="177" t="n">
        <v>0.1</v>
      </c>
      <c r="D213" s="177" t="n">
        <v>0.11</v>
      </c>
      <c r="E213" s="177" t="n">
        <v>0.12</v>
      </c>
    </row>
    <row r="214" ht="15" customHeight="1" s="95">
      <c r="A214" s="143" t="n">
        <v>44130</v>
      </c>
      <c r="B214" s="177" t="n">
        <v>0.08</v>
      </c>
      <c r="C214" s="177" t="n">
        <v>0.11</v>
      </c>
      <c r="D214" s="177" t="n">
        <v>0.12</v>
      </c>
      <c r="E214" s="177" t="n">
        <v>0.12</v>
      </c>
    </row>
    <row r="215" ht="15" customHeight="1" s="95">
      <c r="A215" s="143" t="n">
        <v>44131</v>
      </c>
      <c r="B215" s="177" t="n">
        <v>0.08</v>
      </c>
      <c r="C215" s="177" t="n">
        <v>0.1</v>
      </c>
      <c r="D215" s="177" t="n">
        <v>0.11</v>
      </c>
      <c r="E215" s="177" t="n">
        <v>0.12</v>
      </c>
    </row>
    <row r="216" ht="15" customHeight="1" s="95">
      <c r="A216" s="143" t="n">
        <v>44132</v>
      </c>
      <c r="B216" s="177" t="n">
        <v>0.07000000000000001</v>
      </c>
      <c r="C216" s="177" t="n">
        <v>0.1</v>
      </c>
      <c r="D216" s="177" t="n">
        <v>0.11</v>
      </c>
      <c r="E216" s="177" t="n">
        <v>0.12</v>
      </c>
    </row>
    <row r="217" ht="15" customHeight="1" s="95">
      <c r="A217" s="143" t="n">
        <v>44133</v>
      </c>
      <c r="B217" s="177" t="n">
        <v>0.08</v>
      </c>
      <c r="C217" s="177" t="n">
        <v>0.09</v>
      </c>
      <c r="D217" s="177" t="n">
        <v>0.1</v>
      </c>
      <c r="E217" s="177" t="n">
        <v>0.12</v>
      </c>
    </row>
    <row r="218" ht="15" customHeight="1" s="95">
      <c r="A218" s="143" t="n">
        <v>44134</v>
      </c>
      <c r="B218" s="177" t="n">
        <v>0.08</v>
      </c>
      <c r="C218" s="177" t="n">
        <v>0.09</v>
      </c>
      <c r="D218" s="177" t="n">
        <v>0.11</v>
      </c>
      <c r="E218" s="177" t="n">
        <v>0.13</v>
      </c>
    </row>
    <row r="219" ht="15" customHeight="1" s="95">
      <c r="A219" s="143" t="n">
        <v>44137</v>
      </c>
      <c r="B219" s="177" t="n">
        <v>0.09</v>
      </c>
      <c r="C219" s="177" t="n">
        <v>0.09</v>
      </c>
      <c r="D219" s="177" t="n">
        <v>0.11</v>
      </c>
      <c r="E219" s="177" t="n">
        <v>0.13</v>
      </c>
    </row>
    <row r="220" ht="15" customHeight="1" s="95">
      <c r="A220" s="143" t="n">
        <v>44138</v>
      </c>
      <c r="B220" s="177" t="n">
        <v>0.09</v>
      </c>
      <c r="C220" s="177" t="n">
        <v>0.1</v>
      </c>
      <c r="D220" s="177" t="n">
        <v>0.12</v>
      </c>
      <c r="E220" s="177" t="n">
        <v>0.14</v>
      </c>
    </row>
    <row r="221" ht="15" customHeight="1" s="95">
      <c r="A221" s="143" t="n">
        <v>44139</v>
      </c>
      <c r="B221" s="177" t="n">
        <v>0.08</v>
      </c>
      <c r="C221" s="177" t="n">
        <v>0.1</v>
      </c>
      <c r="D221" s="177" t="n">
        <v>0.1</v>
      </c>
      <c r="E221" s="177" t="n">
        <v>0.12</v>
      </c>
    </row>
    <row r="222" ht="15" customHeight="1" s="95">
      <c r="A222" s="143" t="n">
        <v>44140</v>
      </c>
      <c r="B222" s="177" t="n">
        <v>0.09</v>
      </c>
      <c r="C222" s="177" t="n">
        <v>0.1</v>
      </c>
      <c r="D222" s="177" t="n">
        <v>0.1</v>
      </c>
      <c r="E222" s="177" t="n">
        <v>0.12</v>
      </c>
    </row>
    <row r="223" ht="15" customHeight="1" s="95">
      <c r="A223" s="143" t="n">
        <v>44141</v>
      </c>
      <c r="B223" s="177" t="n">
        <v>0.1</v>
      </c>
      <c r="C223" s="177" t="n">
        <v>0.1</v>
      </c>
      <c r="D223" s="177" t="n">
        <v>0.11</v>
      </c>
      <c r="E223" s="177" t="n">
        <v>0.12</v>
      </c>
    </row>
    <row r="224" ht="15" customHeight="1" s="95">
      <c r="A224" s="143" t="n">
        <v>44144</v>
      </c>
      <c r="B224" s="177" t="n">
        <v>0.1</v>
      </c>
      <c r="C224" s="177" t="n">
        <v>0.11</v>
      </c>
      <c r="D224" s="177" t="n">
        <v>0.11</v>
      </c>
      <c r="E224" s="177" t="n">
        <v>0.12</v>
      </c>
    </row>
    <row r="225" ht="15" customHeight="1" s="95">
      <c r="A225" s="143" t="n">
        <v>44145</v>
      </c>
      <c r="B225" s="177" t="n">
        <v>0.09</v>
      </c>
      <c r="C225" s="177" t="n">
        <v>0.1</v>
      </c>
      <c r="D225" s="177" t="n">
        <v>0.11</v>
      </c>
      <c r="E225" s="177" t="n">
        <v>0.12</v>
      </c>
    </row>
    <row r="226" ht="15" customHeight="1" s="95">
      <c r="A226" s="143" t="n">
        <v>44146</v>
      </c>
    </row>
    <row r="227" ht="15" customHeight="1" s="95">
      <c r="A227" s="143" t="n">
        <v>44147</v>
      </c>
      <c r="B227" s="177" t="n">
        <v>0.1</v>
      </c>
      <c r="C227" s="177" t="n">
        <v>0.1</v>
      </c>
      <c r="D227" s="177" t="n">
        <v>0.1</v>
      </c>
      <c r="E227" s="177" t="n">
        <v>0.13</v>
      </c>
    </row>
    <row r="228" ht="15" customHeight="1" s="95">
      <c r="A228" s="143" t="n">
        <v>44148</v>
      </c>
      <c r="B228" s="177" t="n">
        <v>0.1</v>
      </c>
      <c r="C228" s="177" t="n">
        <v>0.09</v>
      </c>
      <c r="D228" s="177" t="n">
        <v>0.1</v>
      </c>
      <c r="E228" s="177" t="n">
        <v>0.12</v>
      </c>
    </row>
    <row r="229" ht="15" customHeight="1" s="95">
      <c r="A229" s="143" t="n">
        <v>44151</v>
      </c>
      <c r="B229" s="177" t="n">
        <v>0.09</v>
      </c>
      <c r="C229" s="177" t="n">
        <v>0.09</v>
      </c>
      <c r="D229" s="177" t="n">
        <v>0.12</v>
      </c>
      <c r="E229" s="177" t="n">
        <v>0.12</v>
      </c>
    </row>
    <row r="230" ht="15" customHeight="1" s="95">
      <c r="A230" s="143" t="n">
        <v>44152</v>
      </c>
      <c r="B230" s="177" t="n">
        <v>0.08</v>
      </c>
      <c r="C230" s="177" t="n">
        <v>0.09</v>
      </c>
      <c r="D230" s="177" t="n">
        <v>0.1</v>
      </c>
      <c r="E230" s="177" t="n">
        <v>0.12</v>
      </c>
    </row>
    <row r="231" ht="15" customHeight="1" s="95">
      <c r="A231" s="143" t="n">
        <v>44153</v>
      </c>
      <c r="B231" s="177" t="n">
        <v>0.07000000000000001</v>
      </c>
      <c r="C231" s="177" t="n">
        <v>0.09</v>
      </c>
      <c r="D231" s="177" t="n">
        <v>0.1</v>
      </c>
      <c r="E231" s="177" t="n">
        <v>0.11</v>
      </c>
    </row>
    <row r="232" ht="15" customHeight="1" s="95">
      <c r="A232" s="143" t="n">
        <v>44154</v>
      </c>
      <c r="B232" s="177" t="n">
        <v>0.08</v>
      </c>
      <c r="C232" s="177" t="n">
        <v>0.07000000000000001</v>
      </c>
      <c r="D232" s="177" t="n">
        <v>0.1</v>
      </c>
      <c r="E232" s="177" t="n">
        <v>0.11</v>
      </c>
    </row>
    <row r="233" ht="15" customHeight="1" s="95">
      <c r="A233" s="143" t="n">
        <v>44155</v>
      </c>
      <c r="B233" s="177" t="n">
        <v>0.09</v>
      </c>
      <c r="C233" s="177" t="n">
        <v>0.07000000000000001</v>
      </c>
      <c r="D233" s="177" t="n">
        <v>0.1</v>
      </c>
      <c r="E233" s="177" t="n">
        <v>0.11</v>
      </c>
    </row>
    <row r="234" ht="15" customHeight="1" s="95">
      <c r="A234" s="143" t="n">
        <v>44158</v>
      </c>
      <c r="B234" s="177" t="n">
        <v>0.08</v>
      </c>
      <c r="C234" s="177" t="n">
        <v>0.08</v>
      </c>
      <c r="D234" s="177" t="n">
        <v>0.08</v>
      </c>
      <c r="E234" s="177" t="n">
        <v>0.1</v>
      </c>
    </row>
    <row r="235" ht="15" customHeight="1" s="95">
      <c r="A235" s="143" t="n">
        <v>44159</v>
      </c>
      <c r="B235" s="177" t="n">
        <v>0.08</v>
      </c>
      <c r="C235" s="177" t="n">
        <v>0.09</v>
      </c>
      <c r="D235" s="177" t="n">
        <v>0.1</v>
      </c>
      <c r="E235" s="177" t="n">
        <v>0.11</v>
      </c>
    </row>
    <row r="236" ht="15" customHeight="1" s="95">
      <c r="A236" s="143" t="n">
        <v>44160</v>
      </c>
      <c r="B236" s="177" t="n">
        <v>0.07000000000000001</v>
      </c>
      <c r="C236" s="177" t="n">
        <v>0.09</v>
      </c>
      <c r="D236" s="177" t="n">
        <v>0.09</v>
      </c>
      <c r="E236" s="177" t="n">
        <v>0.11</v>
      </c>
    </row>
    <row r="237" ht="15" customHeight="1" s="95">
      <c r="A237" s="143" t="n">
        <v>44161</v>
      </c>
    </row>
    <row r="238" ht="15" customHeight="1" s="95">
      <c r="A238" s="143" t="n">
        <v>44162</v>
      </c>
      <c r="B238" s="177" t="n">
        <v>0.09</v>
      </c>
      <c r="C238" s="177" t="n">
        <v>0.09</v>
      </c>
      <c r="D238" s="177" t="n">
        <v>0.1</v>
      </c>
      <c r="E238" s="177" t="n">
        <v>0.11</v>
      </c>
    </row>
    <row r="239" ht="15" customHeight="1" s="95">
      <c r="A239" s="143" t="n">
        <v>44165</v>
      </c>
      <c r="B239" s="177" t="n">
        <v>0.08</v>
      </c>
      <c r="C239" s="177" t="n">
        <v>0.08</v>
      </c>
      <c r="D239" s="177" t="n">
        <v>0.09</v>
      </c>
      <c r="E239" s="177" t="n">
        <v>0.11</v>
      </c>
    </row>
    <row r="240" ht="15" customHeight="1" s="95">
      <c r="A240" s="143" t="n">
        <v>44166</v>
      </c>
      <c r="B240" s="177" t="n">
        <v>0.07000000000000001</v>
      </c>
      <c r="C240" s="177" t="n">
        <v>0.09</v>
      </c>
      <c r="D240" s="177" t="n">
        <v>0.1</v>
      </c>
      <c r="E240" s="177" t="n">
        <v>0.12</v>
      </c>
    </row>
    <row r="241" ht="15" customHeight="1" s="95">
      <c r="A241" s="143" t="n">
        <v>44167</v>
      </c>
      <c r="B241" s="177" t="n">
        <v>0.07000000000000001</v>
      </c>
      <c r="C241" s="177" t="n">
        <v>0.09</v>
      </c>
      <c r="D241" s="177" t="n">
        <v>0.1</v>
      </c>
      <c r="E241" s="177" t="n">
        <v>0.11</v>
      </c>
    </row>
    <row r="242" ht="15" customHeight="1" s="95">
      <c r="A242" s="143" t="n">
        <v>44168</v>
      </c>
      <c r="B242" s="177" t="n">
        <v>0.08</v>
      </c>
      <c r="C242" s="177" t="n">
        <v>0.08</v>
      </c>
      <c r="D242" s="177" t="n">
        <v>0.09</v>
      </c>
      <c r="E242" s="177" t="n">
        <v>0.1</v>
      </c>
    </row>
    <row r="243" ht="15" customHeight="1" s="95">
      <c r="A243" s="143" t="n">
        <v>44169</v>
      </c>
      <c r="B243" s="177" t="n">
        <v>0.07000000000000001</v>
      </c>
      <c r="C243" s="177" t="n">
        <v>0.09</v>
      </c>
      <c r="D243" s="177" t="n">
        <v>0.1</v>
      </c>
      <c r="E243" s="177" t="n">
        <v>0.11</v>
      </c>
    </row>
    <row r="244" ht="15" customHeight="1" s="95">
      <c r="A244" s="143" t="n">
        <v>44172</v>
      </c>
      <c r="B244" s="177" t="n">
        <v>0.09</v>
      </c>
      <c r="C244" s="177" t="n">
        <v>0.08</v>
      </c>
      <c r="D244" s="177" t="n">
        <v>0.1</v>
      </c>
      <c r="E244" s="177" t="n">
        <v>0.1</v>
      </c>
    </row>
    <row r="245" ht="15" customHeight="1" s="95">
      <c r="A245" s="143" t="n">
        <v>44173</v>
      </c>
      <c r="B245" s="177" t="n">
        <v>0.08</v>
      </c>
      <c r="C245" s="177" t="n">
        <v>0.09</v>
      </c>
      <c r="D245" s="177" t="n">
        <v>0.09</v>
      </c>
      <c r="E245" s="177" t="n">
        <v>0.1</v>
      </c>
    </row>
    <row r="246" ht="15" customHeight="1" s="95">
      <c r="A246" s="143" t="n">
        <v>44174</v>
      </c>
      <c r="B246" s="177" t="n">
        <v>0.07000000000000001</v>
      </c>
      <c r="C246" s="177" t="n">
        <v>0.08</v>
      </c>
      <c r="D246" s="177" t="n">
        <v>0.09</v>
      </c>
      <c r="E246" s="177" t="n">
        <v>0.1</v>
      </c>
    </row>
    <row r="247" ht="15" customHeight="1" s="95">
      <c r="A247" s="143" t="n">
        <v>44175</v>
      </c>
      <c r="B247" s="177" t="n">
        <v>0.07000000000000001</v>
      </c>
      <c r="C247" s="177" t="n">
        <v>0.08</v>
      </c>
      <c r="D247" s="177" t="n">
        <v>0.09</v>
      </c>
      <c r="E247" s="177" t="n">
        <v>0.1</v>
      </c>
    </row>
    <row r="248" ht="15" customHeight="1" s="95">
      <c r="A248" s="143" t="n">
        <v>44176</v>
      </c>
      <c r="B248" s="177" t="n">
        <v>0.08</v>
      </c>
      <c r="C248" s="177" t="n">
        <v>0.08</v>
      </c>
      <c r="D248" s="177" t="n">
        <v>0.08</v>
      </c>
      <c r="E248" s="177" t="n">
        <v>0.1</v>
      </c>
    </row>
    <row r="249" ht="15" customHeight="1" s="95">
      <c r="A249" s="143" t="n">
        <v>44179</v>
      </c>
      <c r="B249" s="177" t="n">
        <v>0.07000000000000001</v>
      </c>
      <c r="C249" s="177" t="n">
        <v>0.09</v>
      </c>
      <c r="D249" s="177" t="n">
        <v>0.08</v>
      </c>
      <c r="E249" s="177" t="n">
        <v>0.1</v>
      </c>
    </row>
    <row r="250" ht="15" customHeight="1" s="95">
      <c r="A250" s="143" t="n">
        <v>44180</v>
      </c>
      <c r="B250" s="177" t="n">
        <v>0.07000000000000001</v>
      </c>
      <c r="C250" s="177" t="n">
        <v>0.08</v>
      </c>
      <c r="D250" s="177" t="n">
        <v>0.08</v>
      </c>
      <c r="E250" s="177" t="n">
        <v>0.09</v>
      </c>
    </row>
    <row r="251" ht="15" customHeight="1" s="95">
      <c r="A251" s="143" t="n">
        <v>44181</v>
      </c>
      <c r="B251" s="177" t="n">
        <v>0.08</v>
      </c>
      <c r="C251" s="177" t="n">
        <v>0.09</v>
      </c>
      <c r="D251" s="177" t="n">
        <v>0.09</v>
      </c>
      <c r="E251" s="177" t="n">
        <v>0.09</v>
      </c>
    </row>
    <row r="252" ht="15" customHeight="1" s="95">
      <c r="A252" s="143" t="n">
        <v>44182</v>
      </c>
      <c r="B252" s="177" t="n">
        <v>0.08</v>
      </c>
      <c r="C252" s="177" t="n">
        <v>0.08</v>
      </c>
      <c r="D252" s="177" t="n">
        <v>0.09</v>
      </c>
      <c r="E252" s="177" t="n">
        <v>0.09</v>
      </c>
    </row>
    <row r="253" ht="15" customHeight="1" s="95">
      <c r="A253" s="143" t="n">
        <v>44183</v>
      </c>
      <c r="B253" s="177" t="n">
        <v>0.08</v>
      </c>
      <c r="C253" s="177" t="n">
        <v>0.08</v>
      </c>
      <c r="D253" s="177" t="n">
        <v>0.09</v>
      </c>
      <c r="E253" s="177" t="n">
        <v>0.09</v>
      </c>
    </row>
    <row r="254" ht="15" customHeight="1" s="95">
      <c r="A254" s="143" t="n">
        <v>44186</v>
      </c>
      <c r="B254" s="177" t="n">
        <v>0.08</v>
      </c>
      <c r="C254" s="177" t="n">
        <v>0.09</v>
      </c>
      <c r="D254" s="177" t="n">
        <v>0.09</v>
      </c>
      <c r="E254" s="177" t="n">
        <v>0.09</v>
      </c>
    </row>
    <row r="255" ht="15" customHeight="1" s="95">
      <c r="A255" s="143" t="n">
        <v>44187</v>
      </c>
      <c r="B255" s="177" t="n">
        <v>0.07000000000000001</v>
      </c>
      <c r="C255" s="177" t="n">
        <v>0.09</v>
      </c>
      <c r="D255" s="177" t="n">
        <v>0.09</v>
      </c>
      <c r="E255" s="177" t="n">
        <v>0.09</v>
      </c>
    </row>
    <row r="256" ht="15" customHeight="1" s="95">
      <c r="A256" s="143" t="n">
        <v>44188</v>
      </c>
      <c r="B256" s="177" t="n">
        <v>0.07000000000000001</v>
      </c>
      <c r="C256" s="177" t="n">
        <v>0.09</v>
      </c>
      <c r="D256" s="177" t="n">
        <v>0.09</v>
      </c>
      <c r="E256" s="177" t="n">
        <v>0.09</v>
      </c>
    </row>
    <row r="257" ht="15" customHeight="1" s="95">
      <c r="A257" s="143" t="n">
        <v>44189</v>
      </c>
      <c r="B257" s="177" t="n">
        <v>0.09</v>
      </c>
      <c r="C257" s="177" t="n">
        <v>0.09</v>
      </c>
      <c r="D257" s="177" t="n">
        <v>0.09</v>
      </c>
      <c r="E257" s="177" t="n">
        <v>0.1</v>
      </c>
    </row>
    <row r="258" ht="15" customHeight="1" s="95">
      <c r="A258" s="143" t="n">
        <v>44190</v>
      </c>
    </row>
    <row r="259" ht="15" customHeight="1" s="95">
      <c r="A259" s="143" t="n">
        <v>44193</v>
      </c>
      <c r="B259" s="177" t="n">
        <v>0.09</v>
      </c>
      <c r="C259" s="177" t="n">
        <v>0.11</v>
      </c>
      <c r="D259" s="177" t="n">
        <v>0.11</v>
      </c>
      <c r="E259" s="177" t="n">
        <v>0.11</v>
      </c>
    </row>
    <row r="260" ht="15" customHeight="1" s="95">
      <c r="A260" s="143" t="n">
        <v>44194</v>
      </c>
      <c r="B260" s="177" t="n">
        <v>0.08</v>
      </c>
      <c r="C260" s="177" t="n">
        <v>0.1</v>
      </c>
      <c r="D260" s="177" t="n">
        <v>0.12</v>
      </c>
      <c r="E260" s="177" t="n">
        <v>0.11</v>
      </c>
    </row>
    <row r="261" ht="15" customHeight="1" s="95">
      <c r="A261" s="143" t="n">
        <v>44195</v>
      </c>
      <c r="B261" s="177" t="n">
        <v>0.06</v>
      </c>
      <c r="C261" s="177" t="n">
        <v>0.08</v>
      </c>
      <c r="D261" s="177" t="n">
        <v>0.09</v>
      </c>
      <c r="E261" s="177" t="n">
        <v>0.12</v>
      </c>
    </row>
    <row r="262" ht="15" customHeight="1" s="95">
      <c r="A262" s="143" t="n">
        <v>44196</v>
      </c>
      <c r="B262" s="177" t="n">
        <v>0.08</v>
      </c>
      <c r="C262" s="177" t="n">
        <v>0.09</v>
      </c>
      <c r="D262" s="177" t="n">
        <v>0.09</v>
      </c>
      <c r="E262" s="177" t="n">
        <v>0.1</v>
      </c>
    </row>
    <row r="263" ht="15" customHeight="1" s="95">
      <c r="A263" s="143" t="n">
        <v>44197</v>
      </c>
    </row>
    <row r="264" ht="15" customHeight="1" s="95">
      <c r="A264" s="143" t="n">
        <v>44200</v>
      </c>
      <c r="B264" s="177" t="n">
        <v>0.09</v>
      </c>
      <c r="C264" s="177" t="n">
        <v>0.09</v>
      </c>
      <c r="D264" s="177" t="n">
        <v>0.09</v>
      </c>
      <c r="E264" s="177" t="n">
        <v>0.1</v>
      </c>
    </row>
    <row r="265" ht="15" customHeight="1" s="95">
      <c r="A265" s="143" t="n">
        <v>44201</v>
      </c>
      <c r="B265" s="177" t="n">
        <v>0.08</v>
      </c>
      <c r="C265" s="177" t="n">
        <v>0.09</v>
      </c>
      <c r="D265" s="177" t="n">
        <v>0.09</v>
      </c>
      <c r="E265" s="177" t="n">
        <v>0.1</v>
      </c>
    </row>
    <row r="266" ht="15" customHeight="1" s="95">
      <c r="A266" s="143" t="n">
        <v>44202</v>
      </c>
      <c r="B266" s="177" t="n">
        <v>0.09</v>
      </c>
      <c r="C266" s="177" t="n">
        <v>0.09</v>
      </c>
      <c r="D266" s="177" t="n">
        <v>0.09</v>
      </c>
      <c r="E266" s="177" t="n">
        <v>0.11</v>
      </c>
    </row>
    <row r="267" ht="15" customHeight="1" s="95">
      <c r="A267" s="143" t="n">
        <v>44203</v>
      </c>
      <c r="B267" s="177" t="n">
        <v>0.09</v>
      </c>
      <c r="C267" s="177" t="n">
        <v>0.09</v>
      </c>
      <c r="D267" s="177" t="n">
        <v>0.09</v>
      </c>
      <c r="E267" s="177" t="n">
        <v>0.11</v>
      </c>
    </row>
    <row r="268" ht="15" customHeight="1" s="95">
      <c r="A268" s="143" t="n">
        <v>44204</v>
      </c>
      <c r="B268" s="177" t="n">
        <v>0.08</v>
      </c>
      <c r="C268" s="177" t="n">
        <v>0.08</v>
      </c>
      <c r="D268" s="177" t="n">
        <v>0.09</v>
      </c>
      <c r="E268" s="177" t="n">
        <v>0.1</v>
      </c>
    </row>
    <row r="269" ht="15" customHeight="1" s="95">
      <c r="A269" s="143" t="n">
        <v>44207</v>
      </c>
      <c r="B269" s="177" t="n">
        <v>0.09</v>
      </c>
      <c r="C269" s="177" t="n">
        <v>0.08</v>
      </c>
      <c r="D269" s="177" t="n">
        <v>0.1</v>
      </c>
      <c r="E269" s="177" t="n">
        <v>0.1</v>
      </c>
    </row>
    <row r="270" ht="15" customHeight="1" s="95">
      <c r="A270" s="143" t="n">
        <v>44208</v>
      </c>
      <c r="B270" s="177" t="n">
        <v>0.09</v>
      </c>
      <c r="C270" s="177" t="n">
        <v>0.09</v>
      </c>
      <c r="D270" s="177" t="n">
        <v>0.09</v>
      </c>
      <c r="E270" s="177" t="n">
        <v>0.11</v>
      </c>
    </row>
    <row r="271" ht="15" customHeight="1" s="95">
      <c r="A271" s="143" t="n">
        <v>44209</v>
      </c>
      <c r="B271" s="177" t="n">
        <v>0.09</v>
      </c>
      <c r="C271" s="177" t="n">
        <v>0.09</v>
      </c>
      <c r="D271" s="177" t="n">
        <v>0.1</v>
      </c>
      <c r="E271" s="177" t="n">
        <v>0.12</v>
      </c>
    </row>
    <row r="272" ht="15" customHeight="1" s="95">
      <c r="A272" s="143" t="n">
        <v>44210</v>
      </c>
      <c r="B272" s="177" t="n">
        <v>0.09</v>
      </c>
      <c r="C272" s="177" t="n">
        <v>0.09</v>
      </c>
      <c r="D272" s="177" t="n">
        <v>0.09</v>
      </c>
      <c r="E272" s="177" t="n">
        <v>0.1</v>
      </c>
    </row>
    <row r="273" ht="15" customHeight="1" s="95">
      <c r="A273" s="143" t="n">
        <v>44211</v>
      </c>
      <c r="B273" s="177" t="n">
        <v>0.08</v>
      </c>
      <c r="C273" s="177" t="n">
        <v>0.09</v>
      </c>
      <c r="D273" s="177" t="n">
        <v>0.1</v>
      </c>
      <c r="E273" s="177" t="n">
        <v>0.1</v>
      </c>
    </row>
    <row r="274" ht="15" customHeight="1" s="95">
      <c r="A274" s="143" t="n">
        <v>44214</v>
      </c>
    </row>
    <row r="275" ht="15" customHeight="1" s="95">
      <c r="A275" s="143" t="n">
        <v>44215</v>
      </c>
      <c r="B275" s="177" t="n">
        <v>0.07000000000000001</v>
      </c>
      <c r="C275" s="177" t="n">
        <v>0.09</v>
      </c>
      <c r="D275" s="177" t="n">
        <v>0.11</v>
      </c>
      <c r="E275" s="177" t="n">
        <v>0.1</v>
      </c>
    </row>
    <row r="276" ht="15" customHeight="1" s="95">
      <c r="A276" s="143" t="n">
        <v>44216</v>
      </c>
      <c r="B276" s="177" t="n">
        <v>0.08</v>
      </c>
      <c r="C276" s="177" t="n">
        <v>0.08</v>
      </c>
      <c r="D276" s="177" t="n">
        <v>0.1</v>
      </c>
      <c r="E276" s="177" t="n">
        <v>0.1</v>
      </c>
    </row>
    <row r="277" ht="15" customHeight="1" s="95">
      <c r="A277" s="143" t="n">
        <v>44217</v>
      </c>
      <c r="B277" s="177" t="n">
        <v>0.07000000000000001</v>
      </c>
      <c r="C277" s="177" t="n">
        <v>0.09</v>
      </c>
      <c r="D277" s="177" t="n">
        <v>0.09</v>
      </c>
      <c r="E277" s="177" t="n">
        <v>0.1</v>
      </c>
    </row>
    <row r="278" ht="15" customHeight="1" s="95">
      <c r="A278" s="143" t="n">
        <v>44218</v>
      </c>
      <c r="B278" s="177" t="n">
        <v>0.07000000000000001</v>
      </c>
      <c r="C278" s="177" t="n">
        <v>0.08</v>
      </c>
      <c r="D278" s="177" t="n">
        <v>0.1</v>
      </c>
      <c r="E278" s="177" t="n">
        <v>0.1</v>
      </c>
    </row>
    <row r="279" ht="15" customHeight="1" s="95">
      <c r="A279" s="143" t="n">
        <v>44221</v>
      </c>
      <c r="B279" s="177" t="n">
        <v>0.07000000000000001</v>
      </c>
      <c r="C279" s="177" t="n">
        <v>0.09</v>
      </c>
      <c r="D279" s="177" t="n">
        <v>0.09</v>
      </c>
      <c r="E279" s="177" t="n">
        <v>0.1</v>
      </c>
    </row>
    <row r="280" ht="15" customHeight="1" s="95">
      <c r="A280" s="143" t="n">
        <v>44222</v>
      </c>
      <c r="B280" s="177" t="n">
        <v>0.05</v>
      </c>
      <c r="C280" s="177" t="n">
        <v>0.07000000000000001</v>
      </c>
      <c r="D280" s="177" t="n">
        <v>0.09</v>
      </c>
      <c r="E280" s="177" t="n">
        <v>0.09</v>
      </c>
    </row>
    <row r="281" ht="15" customHeight="1" s="95">
      <c r="A281" s="143" t="n">
        <v>44223</v>
      </c>
      <c r="B281" s="177" t="n">
        <v>0.05</v>
      </c>
      <c r="C281" s="177" t="n">
        <v>0.08</v>
      </c>
      <c r="D281" s="177" t="n">
        <v>0.09</v>
      </c>
      <c r="E281" s="177" t="n">
        <v>0.09</v>
      </c>
    </row>
    <row r="282" ht="15" customHeight="1" s="95">
      <c r="A282" s="143" t="n">
        <v>44224</v>
      </c>
      <c r="B282" s="177" t="n">
        <v>0.05</v>
      </c>
      <c r="C282" s="177" t="n">
        <v>0.07000000000000001</v>
      </c>
      <c r="D282" s="177" t="n">
        <v>0.08</v>
      </c>
      <c r="E282" s="177" t="n">
        <v>0.08</v>
      </c>
    </row>
    <row r="283" ht="15" customHeight="1" s="95">
      <c r="A283" s="143" t="n">
        <v>44225</v>
      </c>
      <c r="B283" s="177" t="n">
        <v>0.07000000000000001</v>
      </c>
      <c r="C283" s="177" t="n">
        <v>0.06</v>
      </c>
      <c r="D283" s="177" t="n">
        <v>0.07000000000000001</v>
      </c>
      <c r="E283" s="177" t="n">
        <v>0.1</v>
      </c>
    </row>
    <row r="284" ht="15" customHeight="1" s="95">
      <c r="A284" s="143" t="n">
        <v>44228</v>
      </c>
      <c r="B284" s="177" t="n">
        <v>0.06</v>
      </c>
      <c r="C284" s="177" t="n">
        <v>0.07000000000000001</v>
      </c>
      <c r="D284" s="177" t="n">
        <v>0.08</v>
      </c>
      <c r="E284" s="177" t="n">
        <v>0.08</v>
      </c>
    </row>
    <row r="285" ht="15" customHeight="1" s="95">
      <c r="A285" s="143" t="n">
        <v>44229</v>
      </c>
      <c r="B285" s="177" t="n">
        <v>0.04</v>
      </c>
      <c r="C285" s="177" t="n">
        <v>0.07000000000000001</v>
      </c>
      <c r="D285" s="177" t="n">
        <v>0.08</v>
      </c>
      <c r="E285" s="177" t="n">
        <v>0.08</v>
      </c>
    </row>
    <row r="286" ht="15" customHeight="1" s="95">
      <c r="A286" s="143" t="n">
        <v>44230</v>
      </c>
      <c r="B286" s="177" t="n">
        <v>0.03</v>
      </c>
      <c r="C286" s="177" t="n">
        <v>0.04</v>
      </c>
      <c r="D286" s="177" t="n">
        <v>0.06</v>
      </c>
      <c r="E286" s="177" t="n">
        <v>0.08</v>
      </c>
    </row>
    <row r="287" ht="15" customHeight="1" s="95">
      <c r="A287" s="143" t="n">
        <v>44231</v>
      </c>
      <c r="B287" s="177" t="n">
        <v>0.03</v>
      </c>
      <c r="C287" s="177" t="n">
        <v>0.04</v>
      </c>
      <c r="D287" s="177" t="n">
        <v>0.06</v>
      </c>
      <c r="E287" s="177" t="n">
        <v>0.07000000000000001</v>
      </c>
    </row>
    <row r="288" ht="15" customHeight="1" s="95">
      <c r="A288" s="143" t="n">
        <v>44232</v>
      </c>
      <c r="B288" s="177" t="n">
        <v>0.02</v>
      </c>
      <c r="C288" s="177" t="n">
        <v>0.03</v>
      </c>
      <c r="D288" s="177" t="n">
        <v>0.05</v>
      </c>
      <c r="E288" s="177" t="n">
        <v>0.06</v>
      </c>
    </row>
    <row r="289" ht="15" customHeight="1" s="95">
      <c r="A289" s="143" t="n">
        <v>44235</v>
      </c>
      <c r="B289" s="177" t="n">
        <v>0.04</v>
      </c>
      <c r="C289" s="177" t="n">
        <v>0.05</v>
      </c>
      <c r="D289" s="177" t="n">
        <v>0.05</v>
      </c>
      <c r="E289" s="177" t="n">
        <v>0.07000000000000001</v>
      </c>
    </row>
    <row r="290" ht="15" customHeight="1" s="95">
      <c r="A290" s="143" t="n">
        <v>44236</v>
      </c>
      <c r="B290" s="177" t="n">
        <v>0.04</v>
      </c>
      <c r="C290" s="177" t="n">
        <v>0.04</v>
      </c>
      <c r="D290" s="177" t="n">
        <v>0.06</v>
      </c>
      <c r="E290" s="177" t="n">
        <v>0.07000000000000001</v>
      </c>
    </row>
    <row r="291" ht="15" customHeight="1" s="95">
      <c r="A291" s="143" t="n">
        <v>44237</v>
      </c>
      <c r="B291" s="177" t="n">
        <v>0.05</v>
      </c>
      <c r="C291" s="177" t="n">
        <v>0.05</v>
      </c>
      <c r="D291" s="177" t="n">
        <v>0.06</v>
      </c>
      <c r="E291" s="177" t="n">
        <v>0.07000000000000001</v>
      </c>
    </row>
    <row r="292" ht="15" customHeight="1" s="95">
      <c r="A292" s="143" t="n">
        <v>44238</v>
      </c>
      <c r="B292" s="177" t="n">
        <v>0.05</v>
      </c>
      <c r="C292" s="177" t="n">
        <v>0.05</v>
      </c>
      <c r="D292" s="177" t="n">
        <v>0.06</v>
      </c>
      <c r="E292" s="177" t="n">
        <v>0.07000000000000001</v>
      </c>
    </row>
    <row r="293" ht="15" customHeight="1" s="95">
      <c r="A293" s="143" t="n">
        <v>44239</v>
      </c>
      <c r="B293" s="177" t="n">
        <v>0.03</v>
      </c>
      <c r="C293" s="177" t="n">
        <v>0.04</v>
      </c>
      <c r="D293" s="177" t="n">
        <v>0.05</v>
      </c>
      <c r="E293" s="177" t="n">
        <v>0.06</v>
      </c>
    </row>
    <row r="294" ht="15" customHeight="1" s="95">
      <c r="A294" s="143" t="n">
        <v>44242</v>
      </c>
    </row>
    <row r="295" ht="15" customHeight="1" s="95">
      <c r="A295" s="143" t="n">
        <v>44243</v>
      </c>
      <c r="B295" s="177" t="n">
        <v>0.03</v>
      </c>
      <c r="C295" s="177" t="n">
        <v>0.04</v>
      </c>
      <c r="D295" s="177" t="n">
        <v>0.06</v>
      </c>
      <c r="E295" s="177" t="n">
        <v>0.08</v>
      </c>
    </row>
    <row r="296" ht="15" customHeight="1" s="95">
      <c r="A296" s="143" t="n">
        <v>44244</v>
      </c>
      <c r="B296" s="177" t="n">
        <v>0.03</v>
      </c>
      <c r="C296" s="177" t="n">
        <v>0.04</v>
      </c>
      <c r="D296" s="177" t="n">
        <v>0.06</v>
      </c>
      <c r="E296" s="177" t="n">
        <v>0.07000000000000001</v>
      </c>
    </row>
    <row r="297" ht="15" customHeight="1" s="95">
      <c r="A297" s="143" t="n">
        <v>44245</v>
      </c>
      <c r="B297" s="177" t="n">
        <v>0.03</v>
      </c>
      <c r="C297" s="177" t="n">
        <v>0.03</v>
      </c>
      <c r="D297" s="177" t="n">
        <v>0.04</v>
      </c>
      <c r="E297" s="177" t="n">
        <v>0.06</v>
      </c>
    </row>
    <row r="298" ht="15" customHeight="1" s="95">
      <c r="A298" s="143" t="n">
        <v>44246</v>
      </c>
      <c r="B298" s="177" t="n">
        <v>0.03</v>
      </c>
      <c r="C298" s="177" t="n">
        <v>0.04</v>
      </c>
      <c r="D298" s="177" t="n">
        <v>0.06</v>
      </c>
      <c r="E298" s="177" t="n">
        <v>0.07000000000000001</v>
      </c>
    </row>
    <row r="299" ht="15" customHeight="1" s="95">
      <c r="A299" s="143" t="n">
        <v>44249</v>
      </c>
      <c r="B299" s="177" t="n">
        <v>0.03</v>
      </c>
      <c r="C299" s="177" t="n">
        <v>0.03</v>
      </c>
      <c r="D299" s="177" t="n">
        <v>0.04</v>
      </c>
      <c r="E299" s="177" t="n">
        <v>0.06</v>
      </c>
    </row>
    <row r="300" ht="15" customHeight="1" s="95">
      <c r="A300" s="143" t="n">
        <v>44250</v>
      </c>
      <c r="B300" s="177" t="n">
        <v>0.03</v>
      </c>
      <c r="C300" s="177" t="n">
        <v>0.04</v>
      </c>
      <c r="D300" s="177" t="n">
        <v>0.05</v>
      </c>
      <c r="E300" s="177" t="n">
        <v>0.08</v>
      </c>
    </row>
    <row r="301" ht="15" customHeight="1" s="95">
      <c r="A301" s="143" t="n">
        <v>44251</v>
      </c>
      <c r="B301" s="177" t="n">
        <v>0.03</v>
      </c>
      <c r="C301" s="177" t="n">
        <v>0.03</v>
      </c>
      <c r="D301" s="177" t="n">
        <v>0.05</v>
      </c>
      <c r="E301" s="177" t="n">
        <v>0.08</v>
      </c>
    </row>
    <row r="302" ht="15" customHeight="1" s="95">
      <c r="A302" s="143" t="n">
        <v>44252</v>
      </c>
      <c r="B302" s="177" t="n">
        <v>0.04</v>
      </c>
      <c r="C302" s="177" t="n">
        <v>0.04</v>
      </c>
      <c r="D302" s="177" t="n">
        <v>0.06</v>
      </c>
      <c r="E302" s="177" t="n">
        <v>0.09</v>
      </c>
    </row>
    <row r="303" ht="15" customHeight="1" s="95">
      <c r="A303" s="143" t="n">
        <v>44253</v>
      </c>
      <c r="B303" s="177" t="n">
        <v>0.04</v>
      </c>
      <c r="C303" s="177" t="n">
        <v>0.04</v>
      </c>
      <c r="D303" s="177" t="n">
        <v>0.05</v>
      </c>
      <c r="E303" s="177" t="n">
        <v>0.08</v>
      </c>
    </row>
    <row r="304" ht="15" customHeight="1" s="95">
      <c r="A304" s="143" t="n">
        <v>44256</v>
      </c>
      <c r="B304" s="177" t="n">
        <v>0.03</v>
      </c>
      <c r="C304" s="177" t="n">
        <v>0.05</v>
      </c>
      <c r="D304" s="177" t="n">
        <v>0.07000000000000001</v>
      </c>
      <c r="E304" s="177" t="n">
        <v>0.08</v>
      </c>
    </row>
    <row r="305" ht="15" customHeight="1" s="95">
      <c r="A305" s="143" t="n">
        <v>44257</v>
      </c>
      <c r="B305" s="177" t="n">
        <v>0.04</v>
      </c>
      <c r="C305" s="177" t="n">
        <v>0.04</v>
      </c>
      <c r="D305" s="177" t="n">
        <v>0.06</v>
      </c>
      <c r="E305" s="177" t="n">
        <v>0.08</v>
      </c>
    </row>
    <row r="306" ht="15" customHeight="1" s="95">
      <c r="A306" s="143" t="n">
        <v>44258</v>
      </c>
      <c r="B306" s="177" t="n">
        <v>0.04</v>
      </c>
      <c r="C306" s="177" t="n">
        <v>0.05</v>
      </c>
      <c r="D306" s="177" t="n">
        <v>0.07000000000000001</v>
      </c>
      <c r="E306" s="177" t="n">
        <v>0.08</v>
      </c>
    </row>
    <row r="307" ht="15" customHeight="1" s="95">
      <c r="A307" s="143" t="n">
        <v>44259</v>
      </c>
      <c r="B307" s="177" t="n">
        <v>0.03</v>
      </c>
      <c r="C307" s="177" t="n">
        <v>0.04</v>
      </c>
      <c r="D307" s="177" t="n">
        <v>0.07000000000000001</v>
      </c>
      <c r="E307" s="177" t="n">
        <v>0.08</v>
      </c>
    </row>
    <row r="308" ht="15" customHeight="1" s="95">
      <c r="A308" s="143" t="n">
        <v>44260</v>
      </c>
      <c r="B308" s="177" t="n">
        <v>0.04</v>
      </c>
      <c r="C308" s="177" t="n">
        <v>0.04</v>
      </c>
      <c r="D308" s="177" t="n">
        <v>0.07000000000000001</v>
      </c>
      <c r="E308" s="177" t="n">
        <v>0.08</v>
      </c>
    </row>
    <row r="309" ht="15" customHeight="1" s="95">
      <c r="A309" s="143" t="n">
        <v>44263</v>
      </c>
      <c r="B309" s="177" t="n">
        <v>0.04</v>
      </c>
      <c r="C309" s="177" t="n">
        <v>0.05</v>
      </c>
      <c r="D309" s="177" t="n">
        <v>0.06</v>
      </c>
      <c r="E309" s="177" t="n">
        <v>0.09</v>
      </c>
    </row>
    <row r="310" ht="15" customHeight="1" s="95">
      <c r="A310" s="143" t="n">
        <v>44264</v>
      </c>
      <c r="B310" s="177" t="n">
        <v>0.04</v>
      </c>
      <c r="C310" s="177" t="n">
        <v>0.05</v>
      </c>
      <c r="D310" s="177" t="n">
        <v>0.07000000000000001</v>
      </c>
      <c r="E310" s="177" t="n">
        <v>0.1</v>
      </c>
    </row>
    <row r="311" ht="15" customHeight="1" s="95">
      <c r="A311" s="143" t="n">
        <v>44265</v>
      </c>
      <c r="B311" s="177" t="n">
        <v>0.03</v>
      </c>
      <c r="C311" s="177" t="n">
        <v>0.04</v>
      </c>
      <c r="D311" s="177" t="n">
        <v>0.06</v>
      </c>
      <c r="E311" s="177" t="n">
        <v>0.08</v>
      </c>
    </row>
    <row r="312" ht="15" customHeight="1" s="95">
      <c r="A312" s="143" t="n">
        <v>44266</v>
      </c>
      <c r="B312" s="177" t="n">
        <v>0.04</v>
      </c>
      <c r="C312" s="177" t="n">
        <v>0.04</v>
      </c>
      <c r="D312" s="177" t="n">
        <v>0.05</v>
      </c>
      <c r="E312" s="177" t="n">
        <v>0.08</v>
      </c>
    </row>
    <row r="313" ht="15" customHeight="1" s="95">
      <c r="A313" s="143" t="n">
        <v>44267</v>
      </c>
      <c r="B313" s="177" t="n">
        <v>0.03</v>
      </c>
      <c r="C313" s="177" t="n">
        <v>0.04</v>
      </c>
      <c r="D313" s="177" t="n">
        <v>0.06</v>
      </c>
      <c r="E313" s="177" t="n">
        <v>0.09</v>
      </c>
    </row>
    <row r="314" ht="15" customHeight="1" s="95">
      <c r="A314" s="143" t="n">
        <v>44270</v>
      </c>
      <c r="B314" s="177" t="n">
        <v>0.02</v>
      </c>
      <c r="C314" s="177" t="n">
        <v>0.04</v>
      </c>
      <c r="D314" s="177" t="n">
        <v>0.06</v>
      </c>
      <c r="E314" s="177" t="n">
        <v>0.08</v>
      </c>
    </row>
    <row r="315" ht="15" customHeight="1" s="95">
      <c r="A315" s="143" t="n">
        <v>44271</v>
      </c>
      <c r="B315" s="177" t="n">
        <v>0.01</v>
      </c>
      <c r="C315" s="177" t="n">
        <v>0.02</v>
      </c>
      <c r="D315" s="177" t="n">
        <v>0.06</v>
      </c>
      <c r="E315" s="177" t="n">
        <v>0.07000000000000001</v>
      </c>
    </row>
    <row r="316" ht="15" customHeight="1" s="95">
      <c r="A316" s="143" t="n">
        <v>44272</v>
      </c>
      <c r="B316" s="177" t="n">
        <v>0.01</v>
      </c>
      <c r="C316" s="177" t="n">
        <v>0.02</v>
      </c>
      <c r="D316" s="177" t="n">
        <v>0.05</v>
      </c>
      <c r="E316" s="177" t="n">
        <v>0.07000000000000001</v>
      </c>
    </row>
    <row r="317" ht="15" customHeight="1" s="95">
      <c r="A317" s="143" t="n">
        <v>44273</v>
      </c>
      <c r="B317" s="177" t="n">
        <v>0.01</v>
      </c>
      <c r="C317" s="177" t="n">
        <v>0.01</v>
      </c>
      <c r="D317" s="177" t="n">
        <v>0.03</v>
      </c>
      <c r="E317" s="177" t="n">
        <v>0.08</v>
      </c>
    </row>
    <row r="318" ht="15" customHeight="1" s="95">
      <c r="A318" s="143" t="n">
        <v>44274</v>
      </c>
      <c r="B318" s="177" t="n">
        <v>0.01</v>
      </c>
      <c r="C318" s="177" t="n">
        <v>0.01</v>
      </c>
      <c r="D318" s="177" t="n">
        <v>0.03</v>
      </c>
      <c r="E318" s="177" t="n">
        <v>0.07000000000000001</v>
      </c>
    </row>
    <row r="319" ht="15" customHeight="1" s="95">
      <c r="A319" s="143" t="n">
        <v>44277</v>
      </c>
      <c r="B319" s="177" t="n">
        <v>0.02</v>
      </c>
      <c r="C319" s="177" t="n">
        <v>0.03</v>
      </c>
      <c r="D319" s="177" t="n">
        <v>0.05</v>
      </c>
      <c r="E319" s="177" t="n">
        <v>0.06</v>
      </c>
    </row>
    <row r="320" ht="15" customHeight="1" s="95">
      <c r="A320" s="143" t="n">
        <v>44278</v>
      </c>
      <c r="B320" s="177" t="n">
        <v>0.02</v>
      </c>
      <c r="C320" s="177" t="n">
        <v>0.01</v>
      </c>
      <c r="D320" s="177" t="n">
        <v>0.04</v>
      </c>
      <c r="E320" s="177" t="n">
        <v>0.08</v>
      </c>
    </row>
    <row r="321" ht="15" customHeight="1" s="95">
      <c r="A321" s="143" t="n">
        <v>44279</v>
      </c>
      <c r="B321" s="177" t="n">
        <v>0.02</v>
      </c>
      <c r="C321" s="177" t="n">
        <v>0.02</v>
      </c>
      <c r="D321" s="177" t="n">
        <v>0.04</v>
      </c>
      <c r="E321" s="177" t="n">
        <v>0.07000000000000001</v>
      </c>
    </row>
    <row r="322" ht="15" customHeight="1" s="95">
      <c r="A322" s="143" t="n">
        <v>44280</v>
      </c>
      <c r="B322" s="177" t="n">
        <v>0.02</v>
      </c>
      <c r="C322" s="177" t="n">
        <v>0.02</v>
      </c>
      <c r="D322" s="177" t="n">
        <v>0.04</v>
      </c>
      <c r="E322" s="177" t="n">
        <v>0.07000000000000001</v>
      </c>
    </row>
    <row r="323" ht="15" customHeight="1" s="95">
      <c r="A323" s="143" t="n">
        <v>44281</v>
      </c>
      <c r="B323" s="177" t="n">
        <v>0.02</v>
      </c>
      <c r="C323" s="177" t="n">
        <v>0.02</v>
      </c>
      <c r="D323" s="177" t="n">
        <v>0.04</v>
      </c>
      <c r="E323" s="177" t="n">
        <v>0.06</v>
      </c>
    </row>
    <row r="324" ht="15" customHeight="1" s="95">
      <c r="A324" s="143" t="n">
        <v>44284</v>
      </c>
      <c r="B324" s="177" t="n">
        <v>0.02</v>
      </c>
      <c r="C324" s="177" t="n">
        <v>0.03</v>
      </c>
      <c r="D324" s="177" t="n">
        <v>0.04</v>
      </c>
      <c r="E324" s="177" t="n">
        <v>0.06</v>
      </c>
    </row>
    <row r="325" ht="15" customHeight="1" s="95">
      <c r="A325" s="143" t="n">
        <v>44285</v>
      </c>
      <c r="B325" s="177" t="n">
        <v>0.01</v>
      </c>
      <c r="C325" s="177" t="n">
        <v>0.02</v>
      </c>
      <c r="D325" s="177" t="n">
        <v>0.04</v>
      </c>
      <c r="E325" s="177" t="n">
        <v>0.06</v>
      </c>
    </row>
    <row r="326" ht="15" customHeight="1" s="95">
      <c r="A326" s="143" t="n">
        <v>44286</v>
      </c>
      <c r="B326" s="177" t="n">
        <v>0.01</v>
      </c>
      <c r="C326" s="177" t="n">
        <v>0.03</v>
      </c>
      <c r="D326" s="177" t="n">
        <v>0.05</v>
      </c>
      <c r="E326" s="177" t="n">
        <v>0.07000000000000001</v>
      </c>
    </row>
    <row r="327" ht="15" customHeight="1" s="95">
      <c r="A327" s="143" t="n">
        <v>44287</v>
      </c>
      <c r="B327" s="177" t="n">
        <v>0.02</v>
      </c>
      <c r="C327" s="177" t="n">
        <v>0.02</v>
      </c>
      <c r="D327" s="177" t="n">
        <v>0.04</v>
      </c>
      <c r="E327" s="177" t="n">
        <v>0.06</v>
      </c>
    </row>
    <row r="328" ht="15" customHeight="1" s="95">
      <c r="A328" s="143" t="n">
        <v>44288</v>
      </c>
      <c r="B328" s="177" t="n">
        <v>0.02</v>
      </c>
      <c r="C328" s="177" t="n">
        <v>0.02</v>
      </c>
      <c r="D328" s="177" t="n">
        <v>0.04</v>
      </c>
      <c r="E328" s="177" t="n">
        <v>0.07000000000000001</v>
      </c>
    </row>
    <row r="329" ht="15" customHeight="1" s="95">
      <c r="A329" s="143" t="n">
        <v>44291</v>
      </c>
      <c r="B329" s="177" t="n">
        <v>0.03</v>
      </c>
      <c r="C329" s="177" t="n">
        <v>0.03</v>
      </c>
      <c r="D329" s="177" t="n">
        <v>0.04</v>
      </c>
      <c r="E329" s="177" t="n">
        <v>0.06</v>
      </c>
    </row>
    <row r="330" ht="15" customHeight="1" s="95">
      <c r="A330" s="143" t="n">
        <v>44292</v>
      </c>
      <c r="B330" s="177" t="n">
        <v>0.02</v>
      </c>
      <c r="C330" s="177" t="n">
        <v>0.02</v>
      </c>
      <c r="D330" s="177" t="n">
        <v>0.04</v>
      </c>
      <c r="E330" s="177" t="n">
        <v>0.06</v>
      </c>
    </row>
    <row r="331" ht="15" customHeight="1" s="95">
      <c r="A331" s="143" t="n">
        <v>44293</v>
      </c>
      <c r="B331" s="177" t="n">
        <v>0.01</v>
      </c>
      <c r="C331" s="177" t="n">
        <v>0.02</v>
      </c>
      <c r="D331" s="177" t="n">
        <v>0.04</v>
      </c>
      <c r="E331" s="177" t="n">
        <v>0.06</v>
      </c>
    </row>
    <row r="332" ht="15" customHeight="1" s="95">
      <c r="A332" s="143" t="n">
        <v>44294</v>
      </c>
      <c r="B332" s="177" t="n">
        <v>0.02</v>
      </c>
      <c r="C332" s="177" t="n">
        <v>0.01</v>
      </c>
      <c r="D332" s="177" t="n">
        <v>0.04</v>
      </c>
      <c r="E332" s="177" t="n">
        <v>0.05</v>
      </c>
    </row>
    <row r="333" ht="15" customHeight="1" s="95">
      <c r="A333" s="143" t="n">
        <v>44295</v>
      </c>
      <c r="B333" s="177" t="n">
        <v>0.02</v>
      </c>
      <c r="C333" s="177" t="n">
        <v>0.02</v>
      </c>
      <c r="D333" s="177" t="n">
        <v>0.03</v>
      </c>
      <c r="E333" s="177" t="n">
        <v>0.06</v>
      </c>
    </row>
    <row r="334" ht="15" customHeight="1" s="95">
      <c r="A334" s="143" t="n">
        <v>44298</v>
      </c>
      <c r="B334" s="177" t="n">
        <v>0.02</v>
      </c>
      <c r="C334" s="177" t="n">
        <v>0.02</v>
      </c>
      <c r="D334" s="177" t="n">
        <v>0.04</v>
      </c>
      <c r="E334" s="177" t="n">
        <v>0.06</v>
      </c>
    </row>
    <row r="335" ht="15" customHeight="1" s="95">
      <c r="A335" s="143" t="n">
        <v>44299</v>
      </c>
      <c r="B335" s="177" t="n">
        <v>0.03</v>
      </c>
      <c r="C335" s="177" t="n">
        <v>0.03</v>
      </c>
      <c r="D335" s="177" t="n">
        <v>0.05</v>
      </c>
      <c r="E335" s="177" t="n">
        <v>0.06</v>
      </c>
    </row>
    <row r="336" ht="15" customHeight="1" s="95">
      <c r="A336" s="143" t="n">
        <v>44300</v>
      </c>
      <c r="B336" s="177" t="n">
        <v>0.02</v>
      </c>
      <c r="C336" s="177" t="n">
        <v>0.02</v>
      </c>
      <c r="D336" s="177" t="n">
        <v>0.04</v>
      </c>
      <c r="E336" s="177" t="n">
        <v>0.06</v>
      </c>
    </row>
    <row r="337" ht="15" customHeight="1" s="95">
      <c r="A337" s="143" t="n">
        <v>44301</v>
      </c>
      <c r="B337" s="177" t="n">
        <v>0.02</v>
      </c>
      <c r="C337" s="177" t="n">
        <v>0.02</v>
      </c>
      <c r="D337" s="177" t="n">
        <v>0.04</v>
      </c>
      <c r="E337" s="177" t="n">
        <v>0.06</v>
      </c>
    </row>
    <row r="338" ht="15" customHeight="1" s="95">
      <c r="A338" s="143" t="n">
        <v>44302</v>
      </c>
      <c r="B338" s="177" t="n">
        <v>0.02</v>
      </c>
      <c r="C338" s="177" t="n">
        <v>0.02</v>
      </c>
      <c r="D338" s="177" t="n">
        <v>0.04</v>
      </c>
      <c r="E338" s="177" t="n">
        <v>0.06</v>
      </c>
    </row>
    <row r="339" ht="15" customHeight="1" s="95">
      <c r="A339" s="143" t="n">
        <v>44305</v>
      </c>
      <c r="B339" s="177" t="n">
        <v>0.01</v>
      </c>
      <c r="C339" s="177" t="n">
        <v>0.02</v>
      </c>
      <c r="D339" s="177" t="n">
        <v>0.04</v>
      </c>
      <c r="E339" s="177" t="n">
        <v>0.08</v>
      </c>
    </row>
    <row r="340" ht="15" customHeight="1" s="95">
      <c r="A340" s="143" t="n">
        <v>44306</v>
      </c>
      <c r="B340" s="177" t="n">
        <v>0.01</v>
      </c>
      <c r="C340" s="177" t="n">
        <v>0.03</v>
      </c>
      <c r="D340" s="177" t="n">
        <v>0.04</v>
      </c>
      <c r="E340" s="177" t="n">
        <v>0.07000000000000001</v>
      </c>
    </row>
    <row r="341" ht="15" customHeight="1" s="95">
      <c r="A341" s="143" t="n">
        <v>44307</v>
      </c>
      <c r="B341" s="177" t="n">
        <v>0</v>
      </c>
      <c r="C341" s="177" t="n">
        <v>0.03</v>
      </c>
      <c r="D341" s="177" t="n">
        <v>0.04</v>
      </c>
      <c r="E341" s="177" t="n">
        <v>0.07000000000000001</v>
      </c>
    </row>
    <row r="342" ht="15" customHeight="1" s="95">
      <c r="A342" s="143" t="n">
        <v>44308</v>
      </c>
      <c r="B342" s="177" t="n">
        <v>0.02</v>
      </c>
      <c r="C342" s="177" t="n">
        <v>0.03</v>
      </c>
      <c r="D342" s="177" t="n">
        <v>0.04</v>
      </c>
      <c r="E342" s="177" t="n">
        <v>0.06</v>
      </c>
    </row>
    <row r="343" ht="15" customHeight="1" s="95">
      <c r="A343" s="143" t="n">
        <v>44309</v>
      </c>
      <c r="B343" s="177" t="n">
        <v>0.01</v>
      </c>
      <c r="C343" s="177" t="n">
        <v>0.03</v>
      </c>
      <c r="D343" s="177" t="n">
        <v>0.03</v>
      </c>
      <c r="E343" s="177" t="n">
        <v>0.07000000000000001</v>
      </c>
    </row>
    <row r="344" ht="15" customHeight="1" s="95">
      <c r="A344" s="143" t="n">
        <v>44312</v>
      </c>
      <c r="B344" s="177" t="n">
        <v>0.02</v>
      </c>
      <c r="C344" s="177" t="n">
        <v>0.03</v>
      </c>
      <c r="D344" s="177" t="n">
        <v>0.04</v>
      </c>
      <c r="E344" s="177" t="n">
        <v>0.06</v>
      </c>
    </row>
    <row r="345" ht="15" customHeight="1" s="95">
      <c r="A345" s="143" t="n">
        <v>44313</v>
      </c>
      <c r="B345" s="177" t="n">
        <v>0.01</v>
      </c>
      <c r="C345" s="177" t="n">
        <v>0.01</v>
      </c>
      <c r="D345" s="177" t="n">
        <v>0.04</v>
      </c>
      <c r="E345" s="177" t="n">
        <v>0.06</v>
      </c>
    </row>
    <row r="346" ht="15" customHeight="1" s="95">
      <c r="A346" s="143" t="n">
        <v>44314</v>
      </c>
      <c r="B346" s="177" t="n">
        <v>0.01</v>
      </c>
      <c r="C346" s="177" t="n">
        <v>0.01</v>
      </c>
      <c r="D346" s="177" t="n">
        <v>0.04</v>
      </c>
      <c r="E346" s="177" t="n">
        <v>0.05</v>
      </c>
    </row>
    <row r="347" ht="15" customHeight="1" s="95">
      <c r="A347" s="143" t="n">
        <v>44315</v>
      </c>
      <c r="B347" s="177" t="n">
        <v>0.01</v>
      </c>
      <c r="C347" s="177" t="n">
        <v>0.01</v>
      </c>
      <c r="D347" s="177" t="n">
        <v>0.04</v>
      </c>
      <c r="E347" s="177" t="n">
        <v>0.05</v>
      </c>
    </row>
    <row r="348" ht="15" customHeight="1" s="95">
      <c r="A348" s="143" t="n">
        <v>44316</v>
      </c>
      <c r="B348" s="177" t="n">
        <v>0.01</v>
      </c>
      <c r="C348" s="177" t="n">
        <v>0.01</v>
      </c>
      <c r="D348" s="177" t="n">
        <v>0.03</v>
      </c>
      <c r="E348" s="177" t="n">
        <v>0.05</v>
      </c>
    </row>
    <row r="349" ht="15" customHeight="1" s="95">
      <c r="A349" s="143" t="n">
        <v>44319</v>
      </c>
      <c r="B349" s="177" t="n">
        <v>0.02</v>
      </c>
      <c r="C349" s="177" t="n">
        <v>0.04</v>
      </c>
      <c r="D349" s="177" t="n">
        <v>0.04</v>
      </c>
      <c r="E349" s="177" t="n">
        <v>0.06</v>
      </c>
    </row>
    <row r="350" ht="15" customHeight="1" s="95">
      <c r="A350" s="143" t="n">
        <v>44320</v>
      </c>
      <c r="B350" s="177" t="n">
        <v>0.01</v>
      </c>
      <c r="C350" s="177" t="n">
        <v>0.02</v>
      </c>
      <c r="D350" s="177" t="n">
        <v>0.04</v>
      </c>
      <c r="E350" s="177" t="n">
        <v>0.06</v>
      </c>
    </row>
    <row r="351" ht="15" customHeight="1" s="95">
      <c r="A351" s="143" t="n">
        <v>44321</v>
      </c>
      <c r="B351" s="177" t="n">
        <v>0.01</v>
      </c>
      <c r="C351" s="177" t="n">
        <v>0.02</v>
      </c>
      <c r="D351" s="177" t="n">
        <v>0.04</v>
      </c>
      <c r="E351" s="177" t="n">
        <v>0.06</v>
      </c>
    </row>
    <row r="352" ht="15" customHeight="1" s="95">
      <c r="A352" s="143" t="n">
        <v>44322</v>
      </c>
      <c r="B352" s="177" t="n">
        <v>0.01</v>
      </c>
      <c r="C352" s="177" t="n">
        <v>0.02</v>
      </c>
      <c r="D352" s="177" t="n">
        <v>0.04</v>
      </c>
      <c r="E352" s="177" t="n">
        <v>0.05</v>
      </c>
    </row>
    <row r="353" ht="15" customHeight="1" s="95">
      <c r="A353" s="143" t="n">
        <v>44323</v>
      </c>
      <c r="B353" s="177" t="n">
        <v>0.01</v>
      </c>
      <c r="C353" s="177" t="n">
        <v>0.02</v>
      </c>
      <c r="D353" s="177" t="n">
        <v>0.04</v>
      </c>
      <c r="E353" s="177" t="n">
        <v>0.05</v>
      </c>
    </row>
    <row r="354" ht="15" customHeight="1" s="95">
      <c r="A354" s="143" t="n">
        <v>44326</v>
      </c>
      <c r="B354" s="177" t="n">
        <v>0.02</v>
      </c>
      <c r="C354" s="177" t="n">
        <v>0.02</v>
      </c>
      <c r="D354" s="177" t="n">
        <v>0.04</v>
      </c>
      <c r="E354" s="177" t="n">
        <v>0.05</v>
      </c>
    </row>
    <row r="355" ht="15" customHeight="1" s="95">
      <c r="A355" s="143" t="n">
        <v>44327</v>
      </c>
      <c r="B355" s="177" t="n">
        <v>0.01</v>
      </c>
      <c r="C355" s="177" t="n">
        <v>0.01</v>
      </c>
      <c r="D355" s="177" t="n">
        <v>0.04</v>
      </c>
      <c r="E355" s="177" t="n">
        <v>0.05</v>
      </c>
    </row>
    <row r="356" ht="15" customHeight="1" s="95">
      <c r="A356" s="143" t="n">
        <v>44328</v>
      </c>
      <c r="B356" s="177" t="n">
        <v>0.01</v>
      </c>
      <c r="C356" s="177" t="n">
        <v>0.02</v>
      </c>
      <c r="D356" s="177" t="n">
        <v>0.04</v>
      </c>
      <c r="E356" s="177" t="n">
        <v>0.05</v>
      </c>
    </row>
    <row r="357" ht="15" customHeight="1" s="95">
      <c r="A357" s="143" t="n">
        <v>44329</v>
      </c>
      <c r="B357" s="177" t="n">
        <v>0</v>
      </c>
      <c r="C357" s="177" t="n">
        <v>0.02</v>
      </c>
      <c r="D357" s="177" t="n">
        <v>0.03</v>
      </c>
      <c r="E357" s="177" t="n">
        <v>0.05</v>
      </c>
    </row>
    <row r="358" ht="15" customHeight="1" s="95">
      <c r="A358" s="143" t="n">
        <v>44330</v>
      </c>
      <c r="B358" s="177" t="n">
        <v>0.01</v>
      </c>
      <c r="C358" s="177" t="n">
        <v>0.01</v>
      </c>
      <c r="D358" s="177" t="n">
        <v>0.03</v>
      </c>
      <c r="E358" s="177" t="n">
        <v>0.06</v>
      </c>
    </row>
    <row r="359" ht="15" customHeight="1" s="95">
      <c r="A359" s="143" t="n">
        <v>44333</v>
      </c>
      <c r="B359" s="177" t="n">
        <v>0</v>
      </c>
      <c r="C359" s="177" t="n">
        <v>0.02</v>
      </c>
      <c r="D359" s="177" t="n">
        <v>0.04</v>
      </c>
      <c r="E359" s="177" t="n">
        <v>0.06</v>
      </c>
    </row>
    <row r="360" ht="15" customHeight="1" s="95">
      <c r="A360" s="143" t="n">
        <v>44334</v>
      </c>
      <c r="B360" s="177" t="n">
        <v>0</v>
      </c>
      <c r="C360" s="177" t="n">
        <v>0.02</v>
      </c>
      <c r="D360" s="177" t="n">
        <v>0.03</v>
      </c>
      <c r="E360" s="177" t="n">
        <v>0.06</v>
      </c>
    </row>
    <row r="361" ht="15" customHeight="1" s="95">
      <c r="A361" s="143" t="n">
        <v>44335</v>
      </c>
      <c r="B361" s="177" t="n">
        <v>0</v>
      </c>
      <c r="C361" s="177" t="n">
        <v>0.01</v>
      </c>
      <c r="D361" s="177" t="n">
        <v>0.03</v>
      </c>
      <c r="E361" s="177" t="n">
        <v>0.05</v>
      </c>
    </row>
    <row r="362" ht="15" customHeight="1" s="95">
      <c r="A362" s="143" t="n">
        <v>44336</v>
      </c>
      <c r="B362" s="177" t="n">
        <v>0.01</v>
      </c>
      <c r="C362" s="177" t="n">
        <v>0.01</v>
      </c>
      <c r="D362" s="177" t="n">
        <v>0.03</v>
      </c>
      <c r="E362" s="177" t="n">
        <v>0.05</v>
      </c>
    </row>
    <row r="363" ht="15" customHeight="1" s="95">
      <c r="A363" s="143" t="n">
        <v>44337</v>
      </c>
      <c r="B363" s="177" t="n">
        <v>0</v>
      </c>
      <c r="C363" s="177" t="n">
        <v>0.01</v>
      </c>
      <c r="D363" s="177" t="n">
        <v>0.02</v>
      </c>
      <c r="E363" s="177" t="n">
        <v>0.04</v>
      </c>
    </row>
    <row r="364" ht="15" customHeight="1" s="95">
      <c r="A364" s="143" t="n">
        <v>44340</v>
      </c>
      <c r="B364" s="177" t="n">
        <v>0.01</v>
      </c>
      <c r="C364" s="177" t="n">
        <v>0.02</v>
      </c>
      <c r="D364" s="177" t="n">
        <v>0.03</v>
      </c>
      <c r="E364" s="177" t="n">
        <v>0.04</v>
      </c>
    </row>
    <row r="365" ht="15" customHeight="1" s="95">
      <c r="A365" s="143" t="n">
        <v>44341</v>
      </c>
      <c r="B365" s="177" t="n">
        <v>0.01</v>
      </c>
      <c r="C365" s="177" t="n">
        <v>0.02</v>
      </c>
      <c r="D365" s="177" t="n">
        <v>0.04</v>
      </c>
      <c r="E365" s="177" t="n">
        <v>0.04</v>
      </c>
    </row>
    <row r="366" ht="15" customHeight="1" s="95">
      <c r="A366" s="143" t="n">
        <v>44342</v>
      </c>
      <c r="B366" s="177" t="n">
        <v>0</v>
      </c>
      <c r="C366" s="177" t="n">
        <v>0.02</v>
      </c>
      <c r="D366" s="177" t="n">
        <v>0.04</v>
      </c>
      <c r="E366" s="177" t="n">
        <v>0.04</v>
      </c>
    </row>
    <row r="367" ht="15" customHeight="1" s="95">
      <c r="A367" s="143" t="n">
        <v>44343</v>
      </c>
      <c r="B367" s="177" t="n">
        <v>0</v>
      </c>
      <c r="C367" s="177" t="n">
        <v>0.02</v>
      </c>
      <c r="D367" s="177" t="n">
        <v>0.04</v>
      </c>
      <c r="E367" s="177" t="n">
        <v>0.04</v>
      </c>
    </row>
    <row r="368" ht="15" customHeight="1" s="95">
      <c r="A368" s="143" t="n">
        <v>44344</v>
      </c>
      <c r="B368" s="177" t="n">
        <v>0.01</v>
      </c>
      <c r="C368" s="177" t="n">
        <v>0.01</v>
      </c>
      <c r="D368" s="177" t="n">
        <v>0.03</v>
      </c>
      <c r="E368" s="177" t="n">
        <v>0.05</v>
      </c>
    </row>
    <row r="369" ht="15" customHeight="1" s="95">
      <c r="A369" s="143" t="n">
        <v>44347</v>
      </c>
    </row>
    <row r="370" ht="15" customHeight="1" s="95">
      <c r="A370" s="143" t="n">
        <v>44348</v>
      </c>
      <c r="B370" s="177" t="n">
        <v>0.01</v>
      </c>
      <c r="C370" s="177" t="n">
        <v>0.02</v>
      </c>
      <c r="D370" s="177" t="n">
        <v>0.04</v>
      </c>
      <c r="E370" s="177" t="n">
        <v>0.04</v>
      </c>
    </row>
    <row r="371" ht="15" customHeight="1" s="95">
      <c r="A371" s="143" t="n">
        <v>44349</v>
      </c>
      <c r="B371" s="177" t="n">
        <v>0.01</v>
      </c>
      <c r="C371" s="177" t="n">
        <v>0.02</v>
      </c>
      <c r="D371" s="177" t="n">
        <v>0.04</v>
      </c>
      <c r="E371" s="177" t="n">
        <v>0.05</v>
      </c>
    </row>
    <row r="372" ht="15" customHeight="1" s="95">
      <c r="A372" s="143" t="n">
        <v>44350</v>
      </c>
      <c r="B372" s="177" t="n">
        <v>0</v>
      </c>
      <c r="C372" s="177" t="n">
        <v>0.02</v>
      </c>
      <c r="D372" s="177" t="n">
        <v>0.04</v>
      </c>
      <c r="E372" s="177" t="n">
        <v>0.04</v>
      </c>
    </row>
    <row r="373" ht="15" customHeight="1" s="95">
      <c r="A373" s="143" t="n">
        <v>44351</v>
      </c>
      <c r="B373" s="177" t="n">
        <v>0.01</v>
      </c>
      <c r="C373" s="177" t="n">
        <v>0.02</v>
      </c>
      <c r="D373" s="177" t="n">
        <v>0.04</v>
      </c>
      <c r="E373" s="177" t="n">
        <v>0.05</v>
      </c>
    </row>
    <row r="374" ht="15" customHeight="1" s="95">
      <c r="A374" s="143" t="n">
        <v>44354</v>
      </c>
      <c r="B374" s="177" t="n">
        <v>0.01</v>
      </c>
      <c r="C374" s="177" t="n">
        <v>0.02</v>
      </c>
      <c r="D374" s="177" t="n">
        <v>0.04</v>
      </c>
      <c r="E374" s="177" t="n">
        <v>0.05</v>
      </c>
    </row>
    <row r="375" ht="15" customHeight="1" s="95">
      <c r="A375" s="143" t="n">
        <v>44355</v>
      </c>
      <c r="B375" s="177" t="n">
        <v>0.01</v>
      </c>
      <c r="C375" s="177" t="n">
        <v>0.02</v>
      </c>
      <c r="D375" s="177" t="n">
        <v>0.04</v>
      </c>
      <c r="E375" s="177" t="n">
        <v>0.05</v>
      </c>
    </row>
    <row r="376" ht="15" customHeight="1" s="95">
      <c r="A376" s="143" t="n">
        <v>44356</v>
      </c>
      <c r="B376" s="177" t="n">
        <v>0.01</v>
      </c>
      <c r="C376" s="177" t="n">
        <v>0.03</v>
      </c>
      <c r="D376" s="177" t="n">
        <v>0.04</v>
      </c>
      <c r="E376" s="177" t="n">
        <v>0.05</v>
      </c>
    </row>
    <row r="377" ht="15" customHeight="1" s="95">
      <c r="A377" s="143" t="n">
        <v>44357</v>
      </c>
      <c r="B377" s="177" t="n">
        <v>0.01</v>
      </c>
      <c r="C377" s="177" t="n">
        <v>0.03</v>
      </c>
      <c r="D377" s="177" t="n">
        <v>0.04</v>
      </c>
      <c r="E377" s="177" t="n">
        <v>0.05</v>
      </c>
    </row>
    <row r="378" ht="15" customHeight="1" s="95">
      <c r="A378" s="143" t="n">
        <v>44358</v>
      </c>
      <c r="B378" s="177" t="n">
        <v>0.01</v>
      </c>
      <c r="C378" s="177" t="n">
        <v>0.03</v>
      </c>
      <c r="D378" s="177" t="n">
        <v>0.04</v>
      </c>
      <c r="E378" s="177" t="n">
        <v>0.05</v>
      </c>
    </row>
    <row r="379" ht="15" customHeight="1" s="95">
      <c r="A379" s="143" t="n">
        <v>44361</v>
      </c>
      <c r="B379" s="177" t="n">
        <v>0.01</v>
      </c>
      <c r="C379" s="177" t="n">
        <v>0.03</v>
      </c>
      <c r="D379" s="177" t="n">
        <v>0.05</v>
      </c>
      <c r="E379" s="177" t="n">
        <v>0.05</v>
      </c>
    </row>
    <row r="380" ht="15" customHeight="1" s="95">
      <c r="A380" s="143" t="n">
        <v>44362</v>
      </c>
      <c r="B380" s="177" t="n">
        <v>0.02</v>
      </c>
      <c r="C380" s="177" t="n">
        <v>0.03</v>
      </c>
      <c r="D380" s="177" t="n">
        <v>0.05</v>
      </c>
      <c r="E380" s="177" t="n">
        <v>0.08</v>
      </c>
    </row>
    <row r="381" ht="15" customHeight="1" s="95">
      <c r="A381" s="143" t="n">
        <v>44363</v>
      </c>
      <c r="B381" s="177" t="n">
        <v>0.04</v>
      </c>
      <c r="C381" s="177" t="n">
        <v>0.04</v>
      </c>
      <c r="D381" s="177" t="n">
        <v>0.06</v>
      </c>
      <c r="E381" s="177" t="n">
        <v>0.08</v>
      </c>
    </row>
    <row r="382" ht="15" customHeight="1" s="95">
      <c r="A382" s="143" t="n">
        <v>44364</v>
      </c>
      <c r="B382" s="177" t="n">
        <v>0.05</v>
      </c>
      <c r="C382" s="177" t="n">
        <v>0.04</v>
      </c>
      <c r="D382" s="177" t="n">
        <v>0.06</v>
      </c>
      <c r="E382" s="177" t="n">
        <v>0.08</v>
      </c>
    </row>
    <row r="383" ht="15" customHeight="1" s="95">
      <c r="A383" s="143" t="n">
        <v>44365</v>
      </c>
      <c r="B383" s="177" t="n">
        <v>0.05</v>
      </c>
      <c r="C383" s="177" t="n">
        <v>0.05</v>
      </c>
      <c r="D383" s="177" t="n">
        <v>0.06</v>
      </c>
      <c r="E383" s="177" t="n">
        <v>0.09</v>
      </c>
    </row>
    <row r="384" ht="15" customHeight="1" s="95">
      <c r="A384" s="143" t="n">
        <v>44368</v>
      </c>
      <c r="B384" s="177" t="n">
        <v>0.04</v>
      </c>
      <c r="C384" s="177" t="n">
        <v>0.05</v>
      </c>
      <c r="D384" s="177" t="n">
        <v>0.06</v>
      </c>
      <c r="E384" s="177" t="n">
        <v>0.09</v>
      </c>
    </row>
    <row r="385" ht="15" customHeight="1" s="95">
      <c r="A385" s="143" t="n">
        <v>44369</v>
      </c>
      <c r="B385" s="177" t="n">
        <v>0.04</v>
      </c>
      <c r="C385" s="177" t="n">
        <v>0.04</v>
      </c>
      <c r="D385" s="177" t="n">
        <v>0.06</v>
      </c>
      <c r="E385" s="177" t="n">
        <v>0.09</v>
      </c>
    </row>
    <row r="386" ht="15" customHeight="1" s="95">
      <c r="A386" s="143" t="n">
        <v>44370</v>
      </c>
      <c r="B386" s="177" t="n">
        <v>0.04</v>
      </c>
      <c r="C386" s="177" t="n">
        <v>0.05</v>
      </c>
      <c r="D386" s="177" t="n">
        <v>0.05</v>
      </c>
      <c r="E386" s="177" t="n">
        <v>0.08</v>
      </c>
    </row>
    <row r="387" ht="15" customHeight="1" s="95">
      <c r="A387" s="143" t="n">
        <v>44371</v>
      </c>
      <c r="B387" s="177" t="n">
        <v>0.05</v>
      </c>
      <c r="C387" s="177" t="n">
        <v>0.05</v>
      </c>
      <c r="D387" s="177" t="n">
        <v>0.05</v>
      </c>
      <c r="E387" s="177" t="n">
        <v>0.08</v>
      </c>
    </row>
    <row r="388" ht="15" customHeight="1" s="95">
      <c r="A388" s="143" t="n">
        <v>44372</v>
      </c>
      <c r="B388" s="177" t="n">
        <v>0.05</v>
      </c>
      <c r="C388" s="177" t="n">
        <v>0.06</v>
      </c>
      <c r="D388" s="177" t="n">
        <v>0.06</v>
      </c>
      <c r="E388" s="177" t="n">
        <v>0.09</v>
      </c>
    </row>
    <row r="389" ht="15" customHeight="1" s="95">
      <c r="A389" s="143" t="n">
        <v>44375</v>
      </c>
      <c r="B389" s="177" t="n">
        <v>0.04</v>
      </c>
      <c r="C389" s="177" t="n">
        <v>0.05</v>
      </c>
      <c r="D389" s="177" t="n">
        <v>0.06</v>
      </c>
      <c r="E389" s="177" t="n">
        <v>0.08</v>
      </c>
    </row>
    <row r="390" ht="15" customHeight="1" s="95">
      <c r="A390" s="143" t="n">
        <v>44376</v>
      </c>
      <c r="B390" s="177" t="n">
        <v>0.04</v>
      </c>
      <c r="C390" s="177" t="n">
        <v>0.04</v>
      </c>
      <c r="D390" s="177" t="n">
        <v>0.06</v>
      </c>
      <c r="E390" s="177" t="n">
        <v>0.08</v>
      </c>
    </row>
    <row r="391" ht="15" customHeight="1" s="95">
      <c r="A391" s="143" t="n">
        <v>44377</v>
      </c>
      <c r="B391" s="177" t="n">
        <v>0.05</v>
      </c>
      <c r="C391" s="177" t="n">
        <v>0.05</v>
      </c>
      <c r="D391" s="177" t="n">
        <v>0.06</v>
      </c>
      <c r="E391" s="177" t="n">
        <v>0.07000000000000001</v>
      </c>
    </row>
    <row r="392" ht="15" customHeight="1" s="95">
      <c r="A392" s="143" t="n">
        <v>44378</v>
      </c>
      <c r="B392" s="177" t="n">
        <v>0.05</v>
      </c>
      <c r="C392" s="177" t="n">
        <v>0.05</v>
      </c>
      <c r="D392" s="177" t="n">
        <v>0.05</v>
      </c>
      <c r="E392" s="177" t="n">
        <v>0.09</v>
      </c>
    </row>
    <row r="393" ht="15" customHeight="1" s="95">
      <c r="A393" s="143" t="n">
        <v>44379</v>
      </c>
      <c r="B393" s="177" t="n">
        <v>0.05</v>
      </c>
      <c r="C393" s="177" t="n">
        <v>0.05</v>
      </c>
      <c r="D393" s="177" t="n">
        <v>0.05</v>
      </c>
      <c r="E393" s="177" t="n">
        <v>0.08</v>
      </c>
    </row>
    <row r="394" ht="15" customHeight="1" s="95">
      <c r="A394" s="143" t="n">
        <v>44382</v>
      </c>
    </row>
    <row r="395" ht="15" customHeight="1" s="95">
      <c r="A395" s="143" t="n">
        <v>44383</v>
      </c>
      <c r="B395" s="177" t="n">
        <v>0.05</v>
      </c>
      <c r="C395" s="177" t="n">
        <v>0.05</v>
      </c>
      <c r="D395" s="177" t="n">
        <v>0.06</v>
      </c>
      <c r="E395" s="177" t="n">
        <v>0.07000000000000001</v>
      </c>
    </row>
    <row r="396" ht="15" customHeight="1" s="95">
      <c r="A396" s="143" t="n">
        <v>44384</v>
      </c>
      <c r="B396" s="177" t="n">
        <v>0.05</v>
      </c>
      <c r="C396" s="177" t="n">
        <v>0.05</v>
      </c>
      <c r="D396" s="177" t="n">
        <v>0.05</v>
      </c>
      <c r="E396" s="177" t="n">
        <v>0.08</v>
      </c>
    </row>
    <row r="397" ht="15" customHeight="1" s="95">
      <c r="A397" s="143" t="n">
        <v>44385</v>
      </c>
      <c r="B397" s="177" t="n">
        <v>0.06</v>
      </c>
      <c r="C397" s="177" t="n">
        <v>0.06</v>
      </c>
      <c r="D397" s="177" t="n">
        <v>0.06</v>
      </c>
      <c r="E397" s="177" t="n">
        <v>0.07000000000000001</v>
      </c>
    </row>
    <row r="398" ht="15" customHeight="1" s="95">
      <c r="A398" s="143" t="n">
        <v>44386</v>
      </c>
      <c r="B398" s="177" t="n">
        <v>0.06</v>
      </c>
      <c r="C398" s="177" t="n">
        <v>0.06</v>
      </c>
      <c r="D398" s="177" t="n">
        <v>0.05</v>
      </c>
      <c r="E398" s="177" t="n">
        <v>0.08</v>
      </c>
    </row>
    <row r="399" ht="15" customHeight="1" s="95">
      <c r="A399" s="143" t="n">
        <v>44389</v>
      </c>
      <c r="B399" s="177" t="n">
        <v>0.05</v>
      </c>
      <c r="C399" s="177" t="n">
        <v>0.05</v>
      </c>
      <c r="D399" s="177" t="n">
        <v>0.06</v>
      </c>
      <c r="E399" s="177" t="n">
        <v>0.08</v>
      </c>
    </row>
    <row r="400" ht="15" customHeight="1" s="95">
      <c r="A400" s="143" t="n">
        <v>44390</v>
      </c>
      <c r="B400" s="177" t="n">
        <v>0.05</v>
      </c>
      <c r="C400" s="177" t="n">
        <v>0.05</v>
      </c>
      <c r="D400" s="177" t="n">
        <v>0.06</v>
      </c>
      <c r="E400" s="177" t="n">
        <v>0.08</v>
      </c>
    </row>
    <row r="401" ht="15" customHeight="1" s="95">
      <c r="A401" s="143" t="n">
        <v>44391</v>
      </c>
      <c r="B401" s="177" t="n">
        <v>0.06</v>
      </c>
      <c r="C401" s="177" t="n">
        <v>0.06</v>
      </c>
      <c r="D401" s="177" t="n">
        <v>0.05</v>
      </c>
      <c r="E401" s="177" t="n">
        <v>0.08</v>
      </c>
    </row>
    <row r="402" ht="15" customHeight="1" s="95">
      <c r="A402" s="143" t="n">
        <v>44392</v>
      </c>
      <c r="B402" s="177" t="n">
        <v>0.05</v>
      </c>
      <c r="C402" s="177" t="n">
        <v>0.05</v>
      </c>
      <c r="D402" s="177" t="n">
        <v>0.05</v>
      </c>
      <c r="E402" s="177" t="n">
        <v>0.07000000000000001</v>
      </c>
    </row>
    <row r="403" ht="15" customHeight="1" s="95">
      <c r="A403" s="143" t="n">
        <v>44393</v>
      </c>
      <c r="B403" s="177" t="n">
        <v>0.05</v>
      </c>
      <c r="C403" s="177" t="n">
        <v>0.05</v>
      </c>
      <c r="D403" s="177" t="n">
        <v>0.05</v>
      </c>
      <c r="E403" s="177" t="n">
        <v>0.08</v>
      </c>
    </row>
    <row r="404" ht="15" customHeight="1" s="95">
      <c r="A404" s="143" t="n">
        <v>44396</v>
      </c>
      <c r="B404" s="177" t="n">
        <v>0.05</v>
      </c>
      <c r="C404" s="177" t="n">
        <v>0.05</v>
      </c>
      <c r="D404" s="177" t="n">
        <v>0.06</v>
      </c>
      <c r="E404" s="177" t="n">
        <v>0.07000000000000001</v>
      </c>
    </row>
    <row r="405" ht="15" customHeight="1" s="95">
      <c r="A405" s="143" t="n">
        <v>44397</v>
      </c>
      <c r="B405" s="177" t="n">
        <v>0.05</v>
      </c>
      <c r="C405" s="177" t="n">
        <v>0.05</v>
      </c>
      <c r="D405" s="177" t="n">
        <v>0.06</v>
      </c>
      <c r="E405" s="177" t="n">
        <v>0.08</v>
      </c>
    </row>
    <row r="406" ht="15" customHeight="1" s="95">
      <c r="A406" s="143" t="n">
        <v>44398</v>
      </c>
      <c r="B406" s="177" t="n">
        <v>0.04</v>
      </c>
      <c r="C406" s="177" t="n">
        <v>0.05</v>
      </c>
      <c r="D406" s="177" t="n">
        <v>0.05</v>
      </c>
      <c r="E406" s="177" t="n">
        <v>0.07000000000000001</v>
      </c>
    </row>
    <row r="407" ht="15" customHeight="1" s="95">
      <c r="A407" s="143" t="n">
        <v>44399</v>
      </c>
      <c r="B407" s="177" t="n">
        <v>0.04</v>
      </c>
      <c r="C407" s="177" t="n">
        <v>0.05</v>
      </c>
      <c r="D407" s="177" t="n">
        <v>0.05</v>
      </c>
      <c r="E407" s="177" t="n">
        <v>0.07000000000000001</v>
      </c>
    </row>
    <row r="408" ht="15" customHeight="1" s="95">
      <c r="A408" s="143" t="n">
        <v>44400</v>
      </c>
      <c r="B408" s="177" t="n">
        <v>0.05</v>
      </c>
      <c r="C408" s="177" t="n">
        <v>0.05</v>
      </c>
      <c r="D408" s="177" t="n">
        <v>0.05</v>
      </c>
      <c r="E408" s="177" t="n">
        <v>0.07000000000000001</v>
      </c>
    </row>
    <row r="409" ht="15" customHeight="1" s="95">
      <c r="A409" s="143" t="n">
        <v>44403</v>
      </c>
      <c r="B409" s="177" t="n">
        <v>0.05</v>
      </c>
      <c r="C409" s="177" t="n">
        <v>0.05</v>
      </c>
      <c r="D409" s="177" t="n">
        <v>0.06</v>
      </c>
      <c r="E409" s="177" t="n">
        <v>0.08</v>
      </c>
    </row>
    <row r="410" ht="15" customHeight="1" s="95">
      <c r="A410" s="143" t="n">
        <v>44404</v>
      </c>
      <c r="B410" s="177" t="n">
        <v>0.04</v>
      </c>
      <c r="C410" s="177" t="n">
        <v>0.05</v>
      </c>
      <c r="D410" s="177" t="n">
        <v>0.05</v>
      </c>
      <c r="E410" s="177" t="n">
        <v>0.07000000000000001</v>
      </c>
    </row>
    <row r="411" ht="15" customHeight="1" s="95">
      <c r="A411" s="143" t="n">
        <v>44405</v>
      </c>
      <c r="B411" s="177" t="n">
        <v>0.04</v>
      </c>
      <c r="C411" s="177" t="n">
        <v>0.05</v>
      </c>
      <c r="D411" s="177" t="n">
        <v>0.05</v>
      </c>
      <c r="E411" s="177" t="n">
        <v>0.07000000000000001</v>
      </c>
    </row>
    <row r="412" ht="15" customHeight="1" s="95">
      <c r="A412" s="143" t="n">
        <v>44406</v>
      </c>
      <c r="B412" s="177" t="n">
        <v>0.05</v>
      </c>
      <c r="C412" s="177" t="n">
        <v>0.06</v>
      </c>
      <c r="D412" s="177" t="n">
        <v>0.05</v>
      </c>
      <c r="E412" s="177" t="n">
        <v>0.08</v>
      </c>
    </row>
    <row r="413" ht="15" customHeight="1" s="95">
      <c r="A413" s="143" t="n">
        <v>44407</v>
      </c>
      <c r="B413" s="177" t="n">
        <v>0.05</v>
      </c>
      <c r="C413" s="177" t="n">
        <v>0.06</v>
      </c>
      <c r="D413" s="177" t="n">
        <v>0.05</v>
      </c>
      <c r="E413" s="177" t="n">
        <v>0.07000000000000001</v>
      </c>
    </row>
    <row r="414" ht="15" customHeight="1" s="95">
      <c r="A414" s="143" t="n">
        <v>44410</v>
      </c>
      <c r="B414" s="177" t="n">
        <v>0.05</v>
      </c>
      <c r="C414" s="177" t="n">
        <v>0.05</v>
      </c>
      <c r="D414" s="177" t="n">
        <v>0.06</v>
      </c>
      <c r="E414" s="177" t="n">
        <v>0.07000000000000001</v>
      </c>
    </row>
    <row r="415" ht="15" customHeight="1" s="95">
      <c r="A415" s="143" t="n">
        <v>44411</v>
      </c>
      <c r="B415" s="177" t="n">
        <v>0.05</v>
      </c>
      <c r="C415" s="177" t="n">
        <v>0.05</v>
      </c>
      <c r="D415" s="177" t="n">
        <v>0.06</v>
      </c>
      <c r="E415" s="177" t="n">
        <v>0.07000000000000001</v>
      </c>
    </row>
    <row r="416" ht="15" customHeight="1" s="95">
      <c r="A416" s="143" t="n">
        <v>44412</v>
      </c>
      <c r="B416" s="177" t="n">
        <v>0.05</v>
      </c>
      <c r="C416" s="177" t="n">
        <v>0.05</v>
      </c>
      <c r="D416" s="177" t="n">
        <v>0.05</v>
      </c>
      <c r="E416" s="177" t="n">
        <v>0.07000000000000001</v>
      </c>
    </row>
    <row r="417" ht="15" customHeight="1" s="95">
      <c r="A417" s="143" t="n">
        <v>44413</v>
      </c>
      <c r="B417" s="177" t="n">
        <v>0.05</v>
      </c>
      <c r="C417" s="177" t="n">
        <v>0.05</v>
      </c>
      <c r="D417" s="177" t="n">
        <v>0.06</v>
      </c>
      <c r="E417" s="177" t="n">
        <v>0.08</v>
      </c>
    </row>
    <row r="418" ht="15" customHeight="1" s="95">
      <c r="A418" s="143" t="n">
        <v>44414</v>
      </c>
      <c r="B418" s="177" t="n">
        <v>0.04</v>
      </c>
      <c r="C418" s="177" t="n">
        <v>0.06</v>
      </c>
      <c r="D418" s="177" t="n">
        <v>0.06</v>
      </c>
      <c r="E418" s="177" t="n">
        <v>0.09</v>
      </c>
    </row>
    <row r="419" ht="15" customHeight="1" s="95">
      <c r="A419" s="143" t="n">
        <v>44417</v>
      </c>
      <c r="B419" s="177" t="n">
        <v>0.04</v>
      </c>
      <c r="C419" s="177" t="n">
        <v>0.06</v>
      </c>
      <c r="D419" s="177" t="n">
        <v>0.06</v>
      </c>
      <c r="E419" s="177" t="n">
        <v>0.08</v>
      </c>
    </row>
    <row r="420" ht="15" customHeight="1" s="95">
      <c r="A420" s="143" t="n">
        <v>44418</v>
      </c>
      <c r="B420" s="177" t="n">
        <v>0.05</v>
      </c>
      <c r="C420" s="177" t="n">
        <v>0.05</v>
      </c>
      <c r="D420" s="177" t="n">
        <v>0.05</v>
      </c>
      <c r="E420" s="177" t="n">
        <v>0.08</v>
      </c>
    </row>
    <row r="421" ht="15" customHeight="1" s="95">
      <c r="A421" s="143" t="n">
        <v>44419</v>
      </c>
      <c r="B421" s="177" t="n">
        <v>0.05</v>
      </c>
      <c r="C421" s="177" t="n">
        <v>0.05</v>
      </c>
      <c r="D421" s="177" t="n">
        <v>0.06</v>
      </c>
      <c r="E421" s="177" t="n">
        <v>0.08</v>
      </c>
    </row>
    <row r="422" ht="15" customHeight="1" s="95">
      <c r="A422" s="143" t="n">
        <v>44420</v>
      </c>
      <c r="B422" s="177" t="n">
        <v>0.05</v>
      </c>
      <c r="C422" s="177" t="n">
        <v>0.06</v>
      </c>
      <c r="D422" s="177" t="n">
        <v>0.06</v>
      </c>
      <c r="E422" s="177" t="n">
        <v>0.09</v>
      </c>
    </row>
    <row r="423" ht="15" customHeight="1" s="95">
      <c r="A423" s="143" t="n">
        <v>44421</v>
      </c>
      <c r="B423" s="177" t="n">
        <v>0.04</v>
      </c>
      <c r="C423" s="177" t="n">
        <v>0.06</v>
      </c>
      <c r="D423" s="177" t="n">
        <v>0.05</v>
      </c>
      <c r="E423" s="177" t="n">
        <v>0.08</v>
      </c>
    </row>
    <row r="424" ht="15" customHeight="1" s="95">
      <c r="A424" s="143" t="n">
        <v>44424</v>
      </c>
      <c r="B424" s="177" t="n">
        <v>0.04</v>
      </c>
      <c r="C424" s="177" t="n">
        <v>0.06</v>
      </c>
      <c r="D424" s="177" t="n">
        <v>0.05</v>
      </c>
      <c r="E424" s="177" t="n">
        <v>0.08</v>
      </c>
    </row>
    <row r="425" ht="15" customHeight="1" s="95">
      <c r="A425" s="143" t="n">
        <v>44425</v>
      </c>
      <c r="B425" s="177" t="n">
        <v>0.03</v>
      </c>
      <c r="C425" s="177" t="n">
        <v>0.07000000000000001</v>
      </c>
      <c r="D425" s="177" t="n">
        <v>0.06</v>
      </c>
      <c r="E425" s="177" t="n">
        <v>0.07000000000000001</v>
      </c>
    </row>
    <row r="426" ht="15" customHeight="1" s="95">
      <c r="A426" s="143" t="n">
        <v>44426</v>
      </c>
      <c r="B426" s="177" t="n">
        <v>0.03</v>
      </c>
      <c r="C426" s="177" t="n">
        <v>0.07000000000000001</v>
      </c>
      <c r="D426" s="177" t="n">
        <v>0.05</v>
      </c>
      <c r="E426" s="177" t="n">
        <v>0.07000000000000001</v>
      </c>
    </row>
    <row r="427" ht="15" customHeight="1" s="95">
      <c r="A427" s="143" t="n">
        <v>44427</v>
      </c>
      <c r="B427" s="177" t="n">
        <v>0.04</v>
      </c>
      <c r="C427" s="177" t="n">
        <v>0.06</v>
      </c>
      <c r="D427" s="177" t="n">
        <v>0.05</v>
      </c>
      <c r="E427" s="177" t="n">
        <v>0.06</v>
      </c>
    </row>
    <row r="428" ht="15" customHeight="1" s="95">
      <c r="A428" s="143" t="n">
        <v>44428</v>
      </c>
      <c r="B428" s="177" t="n">
        <v>0.04</v>
      </c>
      <c r="C428" s="177" t="n">
        <v>0.05</v>
      </c>
      <c r="D428" s="177" t="n">
        <v>0.05</v>
      </c>
      <c r="E428" s="177" t="n">
        <v>0.06</v>
      </c>
    </row>
    <row r="429" ht="15" customHeight="1" s="95">
      <c r="A429" s="143" t="n">
        <v>44431</v>
      </c>
      <c r="B429" s="177" t="n">
        <v>0.04</v>
      </c>
      <c r="C429" s="177" t="n">
        <v>0.05</v>
      </c>
      <c r="D429" s="177" t="n">
        <v>0.06</v>
      </c>
      <c r="E429" s="177" t="n">
        <v>0.07000000000000001</v>
      </c>
    </row>
    <row r="430" ht="15" customHeight="1" s="95">
      <c r="A430" s="143" t="n">
        <v>44432</v>
      </c>
      <c r="B430" s="177" t="n">
        <v>0.03</v>
      </c>
      <c r="C430" s="177" t="n">
        <v>0.05</v>
      </c>
      <c r="D430" s="177" t="n">
        <v>0.05</v>
      </c>
      <c r="E430" s="177" t="n">
        <v>0.06</v>
      </c>
    </row>
    <row r="431" ht="15" customHeight="1" s="95">
      <c r="A431" s="143" t="n">
        <v>44433</v>
      </c>
      <c r="B431" s="177" t="n">
        <v>0.04</v>
      </c>
      <c r="C431" s="177" t="n">
        <v>0.06</v>
      </c>
      <c r="D431" s="177" t="n">
        <v>0.06</v>
      </c>
      <c r="E431" s="177" t="n">
        <v>0.07000000000000001</v>
      </c>
    </row>
    <row r="432" ht="15" customHeight="1" s="95">
      <c r="A432" s="143" t="n">
        <v>44434</v>
      </c>
      <c r="B432" s="177" t="n">
        <v>0.04</v>
      </c>
      <c r="C432" s="177" t="n">
        <v>0.05</v>
      </c>
      <c r="D432" s="177" t="n">
        <v>0.06</v>
      </c>
      <c r="E432" s="177" t="n">
        <v>0.07000000000000001</v>
      </c>
    </row>
    <row r="433" ht="15" customHeight="1" s="95">
      <c r="A433" s="143" t="n">
        <v>44435</v>
      </c>
      <c r="B433" s="177" t="n">
        <v>0.04</v>
      </c>
      <c r="C433" s="177" t="n">
        <v>0.05</v>
      </c>
      <c r="D433" s="177" t="n">
        <v>0.05</v>
      </c>
      <c r="E433" s="177" t="n">
        <v>0.07000000000000001</v>
      </c>
    </row>
    <row r="434" ht="15" customHeight="1" s="95">
      <c r="A434" s="143" t="n">
        <v>44438</v>
      </c>
      <c r="B434" s="177" t="n">
        <v>0.04</v>
      </c>
      <c r="C434" s="177" t="n">
        <v>0.05</v>
      </c>
      <c r="D434" s="177" t="n">
        <v>0.05</v>
      </c>
      <c r="E434" s="177" t="n">
        <v>0.08</v>
      </c>
    </row>
    <row r="435" ht="15" customHeight="1" s="95">
      <c r="A435" s="143" t="n">
        <v>44439</v>
      </c>
      <c r="B435" s="177" t="n">
        <v>0.03</v>
      </c>
      <c r="C435" s="177" t="n">
        <v>0.04</v>
      </c>
      <c r="D435" s="177" t="n">
        <v>0.06</v>
      </c>
      <c r="E435" s="177" t="n">
        <v>0.07000000000000001</v>
      </c>
    </row>
    <row r="436" ht="15" customHeight="1" s="95">
      <c r="A436" s="143" t="n">
        <v>44440</v>
      </c>
      <c r="B436" s="177" t="n">
        <v>0.04</v>
      </c>
      <c r="C436" s="177" t="n">
        <v>0.05</v>
      </c>
      <c r="D436" s="177" t="n">
        <v>0.06</v>
      </c>
      <c r="E436" s="177" t="n">
        <v>0.07000000000000001</v>
      </c>
    </row>
    <row r="437" ht="15" customHeight="1" s="95">
      <c r="A437" s="143" t="n">
        <v>44441</v>
      </c>
      <c r="B437" s="177" t="n">
        <v>0.05</v>
      </c>
      <c r="C437" s="177" t="n">
        <v>0.05</v>
      </c>
      <c r="D437" s="177" t="n">
        <v>0.06</v>
      </c>
      <c r="E437" s="177" t="n">
        <v>0.07000000000000001</v>
      </c>
    </row>
    <row r="438" ht="15" customHeight="1" s="95">
      <c r="A438" s="143" t="n">
        <v>44442</v>
      </c>
      <c r="B438" s="177" t="n">
        <v>0.04</v>
      </c>
      <c r="C438" s="177" t="n">
        <v>0.05</v>
      </c>
      <c r="D438" s="177" t="n">
        <v>0.05</v>
      </c>
      <c r="E438" s="177" t="n">
        <v>0.08</v>
      </c>
    </row>
    <row r="439" ht="15" customHeight="1" s="95">
      <c r="A439" s="143" t="n">
        <v>44445</v>
      </c>
    </row>
    <row r="440" ht="15" customHeight="1" s="95">
      <c r="A440" s="143" t="n">
        <v>44446</v>
      </c>
      <c r="B440" s="177" t="n">
        <v>0.04</v>
      </c>
      <c r="C440" s="177" t="n">
        <v>0.05</v>
      </c>
      <c r="D440" s="177" t="n">
        <v>0.06</v>
      </c>
      <c r="E440" s="177" t="n">
        <v>0.08</v>
      </c>
    </row>
    <row r="441" ht="15" customHeight="1" s="95">
      <c r="A441" s="143" t="n">
        <v>44447</v>
      </c>
      <c r="B441" s="177" t="n">
        <v>0.05</v>
      </c>
      <c r="C441" s="177" t="n">
        <v>0.05</v>
      </c>
      <c r="D441" s="177" t="n">
        <v>0.06</v>
      </c>
      <c r="E441" s="177" t="n">
        <v>0.08</v>
      </c>
    </row>
    <row r="442" ht="15" customHeight="1" s="95">
      <c r="A442" s="143" t="n">
        <v>44448</v>
      </c>
      <c r="B442" s="177" t="n">
        <v>0.07000000000000001</v>
      </c>
      <c r="C442" s="177" t="n">
        <v>0.04</v>
      </c>
      <c r="D442" s="177" t="n">
        <v>0.05</v>
      </c>
      <c r="E442" s="177" t="n">
        <v>0.07000000000000001</v>
      </c>
    </row>
    <row r="443" ht="15" customHeight="1" s="95">
      <c r="A443" s="143" t="n">
        <v>44449</v>
      </c>
      <c r="B443" s="177" t="n">
        <v>0.06</v>
      </c>
      <c r="C443" s="177" t="n">
        <v>0.05</v>
      </c>
      <c r="D443" s="177" t="n">
        <v>0.06</v>
      </c>
      <c r="E443" s="177" t="n">
        <v>0.08</v>
      </c>
    </row>
    <row r="444" ht="15" customHeight="1" s="95">
      <c r="A444" s="143" t="n">
        <v>44452</v>
      </c>
      <c r="B444" s="177" t="n">
        <v>0.06</v>
      </c>
      <c r="C444" s="177" t="n">
        <v>0.06</v>
      </c>
      <c r="D444" s="177" t="n">
        <v>0.06</v>
      </c>
      <c r="E444" s="177" t="n">
        <v>0.07000000000000001</v>
      </c>
    </row>
    <row r="445" ht="15" customHeight="1" s="95">
      <c r="A445" s="143" t="n">
        <v>44453</v>
      </c>
      <c r="B445" s="177" t="n">
        <v>0.05</v>
      </c>
      <c r="C445" s="177" t="n">
        <v>0.04</v>
      </c>
      <c r="D445" s="177" t="n">
        <v>0.05</v>
      </c>
      <c r="E445" s="177" t="n">
        <v>0.07000000000000001</v>
      </c>
    </row>
    <row r="446" ht="15" customHeight="1" s="95">
      <c r="A446" s="143" t="n">
        <v>44454</v>
      </c>
      <c r="B446" s="177" t="n">
        <v>0.04</v>
      </c>
      <c r="C446" s="177" t="n">
        <v>0.04</v>
      </c>
      <c r="D446" s="177" t="n">
        <v>0.05</v>
      </c>
      <c r="E446" s="177" t="n">
        <v>0.07000000000000001</v>
      </c>
    </row>
    <row r="447" ht="15" customHeight="1" s="95">
      <c r="A447" s="143" t="n">
        <v>44455</v>
      </c>
      <c r="B447" s="177" t="n">
        <v>0.06</v>
      </c>
      <c r="C447" s="177" t="n">
        <v>0.04</v>
      </c>
      <c r="D447" s="177" t="n">
        <v>0.05</v>
      </c>
      <c r="E447" s="177" t="n">
        <v>0.07000000000000001</v>
      </c>
    </row>
    <row r="448" ht="15" customHeight="1" s="95">
      <c r="A448" s="143" t="n">
        <v>44456</v>
      </c>
      <c r="B448" s="177" t="n">
        <v>0.06</v>
      </c>
      <c r="C448" s="177" t="n">
        <v>0.04</v>
      </c>
      <c r="D448" s="177" t="n">
        <v>0.05</v>
      </c>
      <c r="E448" s="177" t="n">
        <v>0.07000000000000001</v>
      </c>
    </row>
    <row r="449" ht="15" customHeight="1" s="95">
      <c r="A449" s="143" t="n">
        <v>44459</v>
      </c>
      <c r="B449" s="177" t="n">
        <v>0.06</v>
      </c>
      <c r="C449" s="177" t="n">
        <v>0.04</v>
      </c>
      <c r="D449" s="177" t="n">
        <v>0.05</v>
      </c>
      <c r="E449" s="177" t="n">
        <v>0.07000000000000001</v>
      </c>
    </row>
    <row r="450" ht="15" customHeight="1" s="95">
      <c r="A450" s="143" t="n">
        <v>44460</v>
      </c>
      <c r="B450" s="177" t="n">
        <v>0.05</v>
      </c>
      <c r="C450" s="177" t="n">
        <v>0.03</v>
      </c>
      <c r="D450" s="177" t="n">
        <v>0.04</v>
      </c>
      <c r="E450" s="177" t="n">
        <v>0.07000000000000001</v>
      </c>
    </row>
    <row r="451" ht="15" customHeight="1" s="95">
      <c r="A451" s="143" t="n">
        <v>44461</v>
      </c>
      <c r="B451" s="177" t="n">
        <v>0.04</v>
      </c>
      <c r="C451" s="177" t="n">
        <v>0.03</v>
      </c>
      <c r="D451" s="177" t="n">
        <v>0.05</v>
      </c>
      <c r="E451" s="177" t="n">
        <v>0.08</v>
      </c>
    </row>
    <row r="452" ht="15" customHeight="1" s="95">
      <c r="A452" s="143" t="n">
        <v>44462</v>
      </c>
      <c r="B452" s="177" t="n">
        <v>0.05</v>
      </c>
      <c r="C452" s="177" t="n">
        <v>0.03</v>
      </c>
      <c r="D452" s="177" t="n">
        <v>0.04</v>
      </c>
      <c r="E452" s="177" t="n">
        <v>0.08</v>
      </c>
    </row>
    <row r="453" ht="15" customHeight="1" s="95">
      <c r="A453" s="143" t="n">
        <v>44463</v>
      </c>
      <c r="B453" s="177" t="n">
        <v>0.06</v>
      </c>
      <c r="C453" s="177" t="n">
        <v>0.03</v>
      </c>
      <c r="D453" s="177" t="n">
        <v>0.05</v>
      </c>
      <c r="E453" s="177" t="n">
        <v>0.08</v>
      </c>
    </row>
    <row r="454" ht="15" customHeight="1" s="95">
      <c r="A454" s="143" t="n">
        <v>44466</v>
      </c>
      <c r="B454" s="177" t="n">
        <v>0.06</v>
      </c>
      <c r="C454" s="177" t="n">
        <v>0.04</v>
      </c>
      <c r="D454" s="177" t="n">
        <v>0.05</v>
      </c>
      <c r="E454" s="177" t="n">
        <v>0.09</v>
      </c>
    </row>
    <row r="455" ht="15" customHeight="1" s="95">
      <c r="A455" s="143" t="n">
        <v>44467</v>
      </c>
      <c r="B455" s="177" t="n">
        <v>0.07000000000000001</v>
      </c>
      <c r="C455" s="177" t="n">
        <v>0.04</v>
      </c>
      <c r="D455" s="177" t="n">
        <v>0.06</v>
      </c>
      <c r="E455" s="177" t="n">
        <v>0.09</v>
      </c>
    </row>
    <row r="456" ht="15" customHeight="1" s="95">
      <c r="A456" s="143" t="n">
        <v>44468</v>
      </c>
      <c r="B456" s="177" t="n">
        <v>0.05</v>
      </c>
      <c r="C456" s="177" t="n">
        <v>0.04</v>
      </c>
      <c r="D456" s="177" t="n">
        <v>0.05</v>
      </c>
      <c r="E456" s="177" t="n">
        <v>0.09</v>
      </c>
    </row>
    <row r="457" ht="15" customHeight="1" s="95">
      <c r="A457" s="143" t="n">
        <v>44469</v>
      </c>
      <c r="B457" s="177" t="n">
        <v>0.07000000000000001</v>
      </c>
      <c r="C457" s="177" t="n">
        <v>0.04</v>
      </c>
      <c r="D457" s="177" t="n">
        <v>0.05</v>
      </c>
      <c r="E457" s="177" t="n">
        <v>0.09</v>
      </c>
    </row>
    <row r="458" ht="15" customHeight="1" s="95">
      <c r="A458" s="143" t="n">
        <v>44470</v>
      </c>
      <c r="B458" s="177" t="n">
        <v>0.08</v>
      </c>
      <c r="C458" s="177" t="n">
        <v>0.04</v>
      </c>
      <c r="D458" s="177" t="n">
        <v>0.05</v>
      </c>
      <c r="E458" s="177" t="n">
        <v>0.09</v>
      </c>
    </row>
    <row r="459" ht="15" customHeight="1" s="95">
      <c r="A459" s="143" t="n">
        <v>44473</v>
      </c>
      <c r="B459" s="177" t="n">
        <v>0.09</v>
      </c>
      <c r="C459" s="177" t="n">
        <v>0.04</v>
      </c>
      <c r="D459" s="177" t="n">
        <v>0.06</v>
      </c>
      <c r="E459" s="177" t="n">
        <v>0.09</v>
      </c>
    </row>
    <row r="460" ht="15" customHeight="1" s="95">
      <c r="A460" s="143" t="n">
        <v>44474</v>
      </c>
      <c r="B460" s="177" t="n">
        <v>0.1</v>
      </c>
      <c r="C460" s="177" t="n">
        <v>0.04</v>
      </c>
      <c r="D460" s="177" t="n">
        <v>0.06</v>
      </c>
      <c r="E460" s="177" t="n">
        <v>0.09</v>
      </c>
    </row>
    <row r="461" ht="15" customHeight="1" s="95">
      <c r="A461" s="143" t="n">
        <v>44475</v>
      </c>
      <c r="B461" s="177" t="n">
        <v>0.06</v>
      </c>
      <c r="C461" s="177" t="n">
        <v>0.04</v>
      </c>
      <c r="D461" s="177" t="n">
        <v>0.06</v>
      </c>
      <c r="E461" s="177" t="n">
        <v>0.1</v>
      </c>
    </row>
    <row r="462" ht="15" customHeight="1" s="95">
      <c r="A462" s="143" t="n">
        <v>44476</v>
      </c>
      <c r="B462" s="177" t="n">
        <v>0.03</v>
      </c>
      <c r="C462" s="177" t="n">
        <v>0.05</v>
      </c>
      <c r="D462" s="177" t="n">
        <v>0.06</v>
      </c>
      <c r="E462" s="177" t="n">
        <v>0.1</v>
      </c>
    </row>
    <row r="463" ht="15" customHeight="1" s="95">
      <c r="A463" s="143" t="n">
        <v>44477</v>
      </c>
      <c r="B463" s="177" t="n">
        <v>0.02</v>
      </c>
      <c r="C463" s="177" t="n">
        <v>0.05</v>
      </c>
      <c r="D463" s="177" t="n">
        <v>0.07000000000000001</v>
      </c>
      <c r="E463" s="177" t="n">
        <v>0.09</v>
      </c>
    </row>
    <row r="464" ht="15" customHeight="1" s="95">
      <c r="A464" s="143" t="n">
        <v>44480</v>
      </c>
    </row>
    <row r="465" ht="15" customHeight="1" s="95">
      <c r="A465" s="143" t="n">
        <v>44481</v>
      </c>
      <c r="B465" s="177" t="n">
        <v>0.03</v>
      </c>
      <c r="C465" s="177" t="n">
        <v>0.06</v>
      </c>
      <c r="D465" s="177" t="n">
        <v>0.06</v>
      </c>
      <c r="E465" s="177" t="n">
        <v>0.1</v>
      </c>
    </row>
    <row r="466" ht="15" customHeight="1" s="95">
      <c r="A466" s="143" t="n">
        <v>44482</v>
      </c>
      <c r="B466" s="177" t="n">
        <v>0.03</v>
      </c>
      <c r="C466" s="177" t="n">
        <v>0.05</v>
      </c>
      <c r="D466" s="177" t="n">
        <v>0.06</v>
      </c>
      <c r="E466" s="177" t="n">
        <v>0.11</v>
      </c>
    </row>
    <row r="467" ht="15" customHeight="1" s="95">
      <c r="A467" s="143" t="n">
        <v>44483</v>
      </c>
      <c r="B467" s="177" t="n">
        <v>0.05</v>
      </c>
      <c r="C467" s="177" t="n">
        <v>0.05</v>
      </c>
      <c r="D467" s="177" t="n">
        <v>0.06</v>
      </c>
      <c r="E467" s="177" t="n">
        <v>0.1</v>
      </c>
    </row>
    <row r="468" ht="15" customHeight="1" s="95">
      <c r="A468" s="143" t="n">
        <v>44484</v>
      </c>
      <c r="B468" s="177" t="n">
        <v>0.04</v>
      </c>
      <c r="C468" s="177" t="n">
        <v>0.05</v>
      </c>
      <c r="D468" s="177" t="n">
        <v>0.06</v>
      </c>
      <c r="E468" s="177" t="n">
        <v>0.12</v>
      </c>
    </row>
    <row r="469" ht="15" customHeight="1" s="95">
      <c r="A469" s="143" t="n">
        <v>44487</v>
      </c>
      <c r="B469" s="177" t="n">
        <v>0.05</v>
      </c>
      <c r="C469" s="177" t="n">
        <v>0.06</v>
      </c>
      <c r="D469" s="177" t="n">
        <v>0.06</v>
      </c>
      <c r="E469" s="177" t="n">
        <v>0.11</v>
      </c>
    </row>
    <row r="470" ht="15" customHeight="1" s="95">
      <c r="A470" s="143" t="n">
        <v>44488</v>
      </c>
      <c r="B470" s="177" t="n">
        <v>0.06</v>
      </c>
      <c r="C470" s="177" t="n">
        <v>0.05</v>
      </c>
      <c r="D470" s="177" t="n">
        <v>0.06</v>
      </c>
      <c r="E470" s="177" t="n">
        <v>0.11</v>
      </c>
    </row>
    <row r="471" ht="15" customHeight="1" s="95">
      <c r="A471" s="143" t="n">
        <v>44489</v>
      </c>
      <c r="B471" s="177" t="n">
        <v>0.06</v>
      </c>
      <c r="C471" s="177" t="n">
        <v>0.05</v>
      </c>
      <c r="D471" s="177" t="n">
        <v>0.06</v>
      </c>
      <c r="E471" s="177" t="n">
        <v>0.1</v>
      </c>
    </row>
    <row r="472" ht="15" customHeight="1" s="95">
      <c r="A472" s="143" t="n">
        <v>44490</v>
      </c>
      <c r="B472" s="177" t="n">
        <v>0.06</v>
      </c>
      <c r="C472" s="177" t="n">
        <v>0.06</v>
      </c>
      <c r="D472" s="177" t="n">
        <v>0.06</v>
      </c>
      <c r="E472" s="177" t="n">
        <v>0.12</v>
      </c>
    </row>
    <row r="473" ht="15" customHeight="1" s="95">
      <c r="A473" s="143" t="n">
        <v>44491</v>
      </c>
      <c r="B473" s="177" t="n">
        <v>0.05</v>
      </c>
      <c r="C473" s="177" t="n">
        <v>0.06</v>
      </c>
      <c r="D473" s="177" t="n">
        <v>0.07000000000000001</v>
      </c>
      <c r="E473" s="177" t="n">
        <v>0.13</v>
      </c>
    </row>
    <row r="474" ht="15" customHeight="1" s="95">
      <c r="A474" s="143" t="n">
        <v>44494</v>
      </c>
      <c r="B474" s="177" t="n">
        <v>0.07000000000000001</v>
      </c>
      <c r="C474" s="177" t="n">
        <v>0.06</v>
      </c>
      <c r="D474" s="177" t="n">
        <v>0.06</v>
      </c>
      <c r="E474" s="177" t="n">
        <v>0.14</v>
      </c>
    </row>
    <row r="475" ht="15" customHeight="1" s="95">
      <c r="A475" s="143" t="n">
        <v>44495</v>
      </c>
      <c r="B475" s="177" t="n">
        <v>0.06</v>
      </c>
      <c r="C475" s="177" t="n">
        <v>0.06</v>
      </c>
      <c r="D475" s="177" t="n">
        <v>0.06</v>
      </c>
      <c r="E475" s="177" t="n">
        <v>0.14</v>
      </c>
    </row>
    <row r="476" ht="15" customHeight="1" s="95">
      <c r="A476" s="143" t="n">
        <v>44496</v>
      </c>
      <c r="B476" s="177" t="n">
        <v>0.06</v>
      </c>
      <c r="C476" s="177" t="n">
        <v>0.06</v>
      </c>
      <c r="D476" s="177" t="n">
        <v>0.07000000000000001</v>
      </c>
      <c r="E476" s="177" t="n">
        <v>0.12</v>
      </c>
    </row>
    <row r="477" ht="15" customHeight="1" s="95">
      <c r="A477" s="143" t="n">
        <v>44497</v>
      </c>
      <c r="B477" s="177" t="n">
        <v>0.06</v>
      </c>
      <c r="C477" s="177" t="n">
        <v>0.06</v>
      </c>
      <c r="D477" s="177" t="n">
        <v>0.06</v>
      </c>
      <c r="E477" s="177" t="n">
        <v>0.15</v>
      </c>
    </row>
    <row r="478" ht="15" customHeight="1" s="95">
      <c r="A478" s="143" t="n">
        <v>44498</v>
      </c>
      <c r="B478" s="177" t="n">
        <v>0.06</v>
      </c>
      <c r="C478" s="177" t="n">
        <v>0.05</v>
      </c>
      <c r="D478" s="177" t="n">
        <v>0.07000000000000001</v>
      </c>
      <c r="E478" s="177" t="n">
        <v>0.15</v>
      </c>
    </row>
    <row r="479" ht="15" customHeight="1" s="95">
      <c r="A479" s="143" t="n">
        <v>44501</v>
      </c>
      <c r="B479" s="177" t="n">
        <v>0.05</v>
      </c>
      <c r="C479" s="177" t="n">
        <v>0.05</v>
      </c>
      <c r="D479" s="177" t="n">
        <v>0.06</v>
      </c>
      <c r="E479" s="177" t="n">
        <v>0.15</v>
      </c>
    </row>
    <row r="480" ht="15" customHeight="1" s="95">
      <c r="A480" s="143" t="n">
        <v>44502</v>
      </c>
      <c r="B480" s="177" t="n">
        <v>0.05</v>
      </c>
      <c r="C480" s="177" t="n">
        <v>0.05</v>
      </c>
      <c r="D480" s="177" t="n">
        <v>0.07000000000000001</v>
      </c>
      <c r="E480" s="177" t="n">
        <v>0.15</v>
      </c>
    </row>
    <row r="481" ht="15" customHeight="1" s="95">
      <c r="A481" s="143" t="n">
        <v>44503</v>
      </c>
      <c r="B481" s="177" t="n">
        <v>0.05</v>
      </c>
      <c r="C481" s="177" t="n">
        <v>0.05</v>
      </c>
      <c r="D481" s="177" t="n">
        <v>0.07000000000000001</v>
      </c>
      <c r="E481" s="177" t="n">
        <v>0.17</v>
      </c>
    </row>
    <row r="482" ht="15" customHeight="1" s="95">
      <c r="A482" s="143" t="n">
        <v>44504</v>
      </c>
      <c r="B482" s="177" t="n">
        <v>0.05</v>
      </c>
      <c r="C482" s="177" t="n">
        <v>0.04</v>
      </c>
      <c r="D482" s="177" t="n">
        <v>0.07000000000000001</v>
      </c>
      <c r="E482" s="177" t="n">
        <v>0.14</v>
      </c>
    </row>
    <row r="483" ht="15" customHeight="1" s="95">
      <c r="A483" s="143" t="n">
        <v>44505</v>
      </c>
      <c r="B483" s="177" t="n">
        <v>0.05</v>
      </c>
      <c r="C483" s="177" t="n">
        <v>0.05</v>
      </c>
      <c r="D483" s="177" t="n">
        <v>0.07000000000000001</v>
      </c>
      <c r="E483" s="177" t="n">
        <v>0.14</v>
      </c>
    </row>
    <row r="484" ht="15" customHeight="1" s="95">
      <c r="A484" s="143" t="n">
        <v>44508</v>
      </c>
      <c r="B484" s="177" t="n">
        <v>0.04</v>
      </c>
      <c r="C484" s="177" t="n">
        <v>0.06</v>
      </c>
      <c r="D484" s="177" t="n">
        <v>0.07000000000000001</v>
      </c>
      <c r="E484" s="177" t="n">
        <v>0.16</v>
      </c>
    </row>
    <row r="485" ht="15" customHeight="1" s="95">
      <c r="A485" s="143" t="n">
        <v>44509</v>
      </c>
      <c r="B485" s="177" t="n">
        <v>0.04</v>
      </c>
      <c r="C485" s="177" t="n">
        <v>0.04</v>
      </c>
      <c r="D485" s="177" t="n">
        <v>0.06</v>
      </c>
      <c r="E485" s="177" t="n">
        <v>0.14</v>
      </c>
    </row>
    <row r="486" ht="15" customHeight="1" s="95">
      <c r="A486" s="143" t="n">
        <v>44510</v>
      </c>
      <c r="B486" s="177" t="n">
        <v>0.06</v>
      </c>
      <c r="C486" s="177" t="n">
        <v>0.05</v>
      </c>
      <c r="D486" s="177" t="n">
        <v>0.07000000000000001</v>
      </c>
      <c r="E486" s="177" t="n">
        <v>0.17</v>
      </c>
    </row>
    <row r="487" ht="15" customHeight="1" s="95">
      <c r="A487" s="143" t="n">
        <v>44511</v>
      </c>
    </row>
    <row r="488" ht="15" customHeight="1" s="95">
      <c r="A488" s="143" t="n">
        <v>44512</v>
      </c>
      <c r="B488" s="177" t="n">
        <v>0.05</v>
      </c>
      <c r="C488" s="177" t="n">
        <v>0.05</v>
      </c>
      <c r="D488" s="177" t="n">
        <v>0.07000000000000001</v>
      </c>
      <c r="E488" s="177" t="n">
        <v>0.17</v>
      </c>
    </row>
    <row r="489" ht="15" customHeight="1" s="95">
      <c r="A489" s="143" t="n">
        <v>44515</v>
      </c>
      <c r="B489" s="177" t="n">
        <v>0.06</v>
      </c>
      <c r="C489" s="177" t="n">
        <v>0.05</v>
      </c>
      <c r="D489" s="177" t="n">
        <v>0.06</v>
      </c>
      <c r="E489" s="177" t="n">
        <v>0.18</v>
      </c>
    </row>
    <row r="490" ht="15" customHeight="1" s="95">
      <c r="A490" s="143" t="n">
        <v>44516</v>
      </c>
      <c r="B490" s="177" t="n">
        <v>0.06</v>
      </c>
      <c r="C490" s="177" t="n">
        <v>0.05</v>
      </c>
      <c r="D490" s="177" t="n">
        <v>0.07000000000000001</v>
      </c>
      <c r="E490" s="177" t="n">
        <v>0.17</v>
      </c>
    </row>
    <row r="491" ht="15" customHeight="1" s="95">
      <c r="A491" s="143" t="n">
        <v>44517</v>
      </c>
      <c r="B491" s="177" t="n">
        <v>0.06</v>
      </c>
      <c r="C491" s="177" t="n">
        <v>0.05</v>
      </c>
      <c r="D491" s="177" t="n">
        <v>0.06</v>
      </c>
      <c r="E491" s="177" t="n">
        <v>0.18</v>
      </c>
    </row>
    <row r="492" ht="15" customHeight="1" s="95">
      <c r="A492" s="143" t="n">
        <v>44518</v>
      </c>
      <c r="B492" s="177" t="n">
        <v>0.12</v>
      </c>
      <c r="C492" s="177" t="n">
        <v>0.05</v>
      </c>
      <c r="D492" s="177" t="n">
        <v>0.06</v>
      </c>
      <c r="E492" s="177" t="n">
        <v>0.18</v>
      </c>
    </row>
    <row r="493" ht="15" customHeight="1" s="95">
      <c r="A493" s="143" t="n">
        <v>44519</v>
      </c>
      <c r="B493" s="177" t="n">
        <v>0.11</v>
      </c>
      <c r="C493" s="177" t="n">
        <v>0.05</v>
      </c>
      <c r="D493" s="177" t="n">
        <v>0.06</v>
      </c>
      <c r="E493" s="177" t="n">
        <v>0.18</v>
      </c>
    </row>
    <row r="494" ht="15" customHeight="1" s="95">
      <c r="A494" s="143" t="n">
        <v>44522</v>
      </c>
      <c r="B494" s="177" t="n">
        <v>0.07000000000000001</v>
      </c>
      <c r="C494" s="177" t="n">
        <v>0.05</v>
      </c>
      <c r="D494" s="177" t="n">
        <v>0.07000000000000001</v>
      </c>
      <c r="E494" s="177" t="n">
        <v>0.2</v>
      </c>
    </row>
    <row r="495" ht="15" customHeight="1" s="95">
      <c r="A495" s="143" t="n">
        <v>44523</v>
      </c>
      <c r="B495" s="177" t="n">
        <v>0.06</v>
      </c>
      <c r="C495" s="177" t="n">
        <v>0.06</v>
      </c>
      <c r="D495" s="177" t="n">
        <v>0.07000000000000001</v>
      </c>
      <c r="E495" s="177" t="n">
        <v>0.21</v>
      </c>
    </row>
    <row r="496" ht="15" customHeight="1" s="95">
      <c r="A496" s="143" t="n">
        <v>44524</v>
      </c>
      <c r="B496" s="177" t="n">
        <v>0.14</v>
      </c>
      <c r="C496" s="177" t="n">
        <v>0.06</v>
      </c>
      <c r="D496" s="177" t="n">
        <v>0.1</v>
      </c>
      <c r="E496" s="177" t="n">
        <v>0.24</v>
      </c>
    </row>
    <row r="497" ht="15" customHeight="1" s="95">
      <c r="A497" s="143" t="n">
        <v>44525</v>
      </c>
    </row>
    <row r="498" ht="15" customHeight="1" s="95">
      <c r="A498" s="143" t="n">
        <v>44526</v>
      </c>
      <c r="B498" s="177" t="n">
        <v>0.11</v>
      </c>
      <c r="C498" s="177" t="n">
        <v>0.06</v>
      </c>
      <c r="D498" s="177" t="n">
        <v>0.1</v>
      </c>
      <c r="E498" s="177" t="n">
        <v>0.2</v>
      </c>
    </row>
    <row r="499" ht="15" customHeight="1" s="95">
      <c r="A499" s="143" t="n">
        <v>44529</v>
      </c>
      <c r="B499" s="177" t="n">
        <v>0.07000000000000001</v>
      </c>
      <c r="C499" s="177" t="n">
        <v>0.06</v>
      </c>
      <c r="D499" s="177" t="n">
        <v>0.1</v>
      </c>
      <c r="E499" s="177" t="n">
        <v>0.21</v>
      </c>
    </row>
    <row r="500" ht="15" customHeight="1" s="95">
      <c r="A500" s="143" t="n">
        <v>44530</v>
      </c>
      <c r="B500" s="177" t="n">
        <v>0.11</v>
      </c>
      <c r="C500" s="177" t="n">
        <v>0.05</v>
      </c>
      <c r="D500" s="177" t="n">
        <v>0.1</v>
      </c>
      <c r="E500" s="177" t="n">
        <v>0.24</v>
      </c>
    </row>
    <row r="501" ht="15" customHeight="1" s="95">
      <c r="A501" s="143" t="n">
        <v>44531</v>
      </c>
      <c r="B501" s="177" t="n">
        <v>0.09</v>
      </c>
      <c r="C501" s="177" t="n">
        <v>0.06</v>
      </c>
      <c r="D501" s="177" t="n">
        <v>0.1</v>
      </c>
      <c r="E501" s="177" t="n">
        <v>0.25</v>
      </c>
    </row>
    <row r="502" ht="15" customHeight="1" s="95">
      <c r="A502" s="143" t="n">
        <v>44532</v>
      </c>
      <c r="B502" s="177" t="n">
        <v>0.05</v>
      </c>
      <c r="C502" s="177" t="n">
        <v>0.05</v>
      </c>
      <c r="D502" s="177" t="n">
        <v>0.09</v>
      </c>
      <c r="E502" s="177" t="n">
        <v>0.27</v>
      </c>
    </row>
    <row r="503" ht="15" customHeight="1" s="95">
      <c r="A503" s="143" t="n">
        <v>44533</v>
      </c>
      <c r="B503" s="177" t="n">
        <v>0.04</v>
      </c>
      <c r="C503" s="177" t="n">
        <v>0.06</v>
      </c>
      <c r="D503" s="177" t="n">
        <v>0.09</v>
      </c>
      <c r="E503" s="177" t="n">
        <v>0.26</v>
      </c>
    </row>
    <row r="504" ht="15" customHeight="1" s="95">
      <c r="A504" s="143" t="n">
        <v>44536</v>
      </c>
      <c r="B504" s="177" t="n">
        <v>0.05</v>
      </c>
      <c r="C504" s="177" t="n">
        <v>0.05</v>
      </c>
      <c r="D504" s="177" t="n">
        <v>0.12</v>
      </c>
      <c r="E504" s="177" t="n">
        <v>0.28</v>
      </c>
    </row>
    <row r="505" ht="15" customHeight="1" s="95">
      <c r="A505" s="143" t="n">
        <v>44537</v>
      </c>
      <c r="B505" s="177" t="n">
        <v>0.05</v>
      </c>
      <c r="C505" s="177" t="n">
        <v>0.06</v>
      </c>
      <c r="D505" s="177" t="n">
        <v>0.15</v>
      </c>
      <c r="E505" s="177" t="n">
        <v>0.31</v>
      </c>
    </row>
    <row r="506" ht="15" customHeight="1" s="95">
      <c r="A506" s="143" t="n">
        <v>44538</v>
      </c>
      <c r="B506" s="177" t="n">
        <v>0.04</v>
      </c>
      <c r="C506" s="177" t="n">
        <v>0.07000000000000001</v>
      </c>
      <c r="D506" s="177" t="n">
        <v>0.13</v>
      </c>
      <c r="E506" s="177" t="n">
        <v>0.29</v>
      </c>
    </row>
    <row r="507" ht="15" customHeight="1" s="95">
      <c r="A507" s="143" t="n">
        <v>44539</v>
      </c>
      <c r="B507" s="177" t="n">
        <v>0.03</v>
      </c>
      <c r="C507" s="177" t="n">
        <v>0.06</v>
      </c>
      <c r="D507" s="177" t="n">
        <v>0.12</v>
      </c>
      <c r="E507" s="177" t="n">
        <v>0.28</v>
      </c>
    </row>
    <row r="508" ht="15" customHeight="1" s="95">
      <c r="A508" s="143" t="n">
        <v>44540</v>
      </c>
      <c r="B508" s="177" t="n">
        <v>0.03</v>
      </c>
      <c r="C508" s="177" t="n">
        <v>0.06</v>
      </c>
      <c r="D508" s="177" t="n">
        <v>0.13</v>
      </c>
      <c r="E508" s="177" t="n">
        <v>0.27</v>
      </c>
    </row>
    <row r="509" ht="15" customHeight="1" s="95">
      <c r="A509" s="143" t="n">
        <v>44543</v>
      </c>
      <c r="B509" s="177" t="n">
        <v>0.01</v>
      </c>
      <c r="C509" s="177" t="n">
        <v>0.05</v>
      </c>
      <c r="D509" s="177" t="n">
        <v>0.11</v>
      </c>
      <c r="E509" s="177" t="n">
        <v>0.27</v>
      </c>
    </row>
    <row r="510" ht="15" customHeight="1" s="95">
      <c r="A510" s="143" t="n">
        <v>44544</v>
      </c>
      <c r="B510" s="177" t="n">
        <v>0.02</v>
      </c>
      <c r="C510" s="177" t="n">
        <v>0.05</v>
      </c>
      <c r="D510" s="177" t="n">
        <v>0.13</v>
      </c>
      <c r="E510" s="177" t="n">
        <v>0.26</v>
      </c>
    </row>
    <row r="511" ht="15" customHeight="1" s="95">
      <c r="A511" s="143" t="n">
        <v>44545</v>
      </c>
      <c r="B511" s="177" t="n">
        <v>0.03</v>
      </c>
      <c r="C511" s="177" t="n">
        <v>0.05</v>
      </c>
      <c r="D511" s="177" t="n">
        <v>0.13</v>
      </c>
      <c r="E511" s="177" t="n">
        <v>0.29</v>
      </c>
    </row>
    <row r="512" ht="15" customHeight="1" s="95">
      <c r="A512" s="143" t="n">
        <v>44546</v>
      </c>
      <c r="B512" s="177" t="n">
        <v>0.04</v>
      </c>
      <c r="C512" s="177" t="n">
        <v>0.05</v>
      </c>
      <c r="D512" s="177" t="n">
        <v>0.13</v>
      </c>
      <c r="E512" s="177" t="n">
        <v>0.26</v>
      </c>
    </row>
    <row r="513" ht="15" customHeight="1" s="95">
      <c r="A513" s="143" t="n">
        <v>44547</v>
      </c>
      <c r="B513" s="177" t="n">
        <v>0.03</v>
      </c>
      <c r="C513" s="177" t="n">
        <v>0.05</v>
      </c>
      <c r="D513" s="177" t="n">
        <v>0.13</v>
      </c>
      <c r="E513" s="177" t="n">
        <v>0.27</v>
      </c>
    </row>
    <row r="514" ht="15" customHeight="1" s="95">
      <c r="A514" s="143" t="n">
        <v>44550</v>
      </c>
      <c r="B514" s="177" t="n">
        <v>0.03</v>
      </c>
      <c r="C514" s="177" t="n">
        <v>0.07000000000000001</v>
      </c>
      <c r="D514" s="177" t="n">
        <v>0.16</v>
      </c>
      <c r="E514" s="177" t="n">
        <v>0.27</v>
      </c>
    </row>
    <row r="515" ht="15" customHeight="1" s="95">
      <c r="A515" s="143" t="n">
        <v>44551</v>
      </c>
      <c r="B515" s="177" t="n">
        <v>0.03</v>
      </c>
      <c r="C515" s="177" t="n">
        <v>0.07000000000000001</v>
      </c>
      <c r="D515" s="177" t="n">
        <v>0.16</v>
      </c>
      <c r="E515" s="177" t="n">
        <v>0.29</v>
      </c>
    </row>
    <row r="516" ht="15" customHeight="1" s="95">
      <c r="A516" s="143" t="n">
        <v>44552</v>
      </c>
      <c r="B516" s="177" t="n">
        <v>0.03</v>
      </c>
      <c r="C516" s="177" t="n">
        <v>0.08</v>
      </c>
      <c r="D516" s="177" t="n">
        <v>0.16</v>
      </c>
      <c r="E516" s="177" t="n">
        <v>0.28</v>
      </c>
    </row>
    <row r="517" ht="15" customHeight="1" s="95">
      <c r="A517" s="143" t="n">
        <v>44553</v>
      </c>
      <c r="B517" s="177" t="n">
        <v>0.04</v>
      </c>
      <c r="C517" s="177" t="n">
        <v>0.07000000000000001</v>
      </c>
      <c r="D517" s="177" t="n">
        <v>0.18</v>
      </c>
      <c r="E517" s="177" t="n">
        <v>0.31</v>
      </c>
    </row>
    <row r="518" ht="15" customHeight="1" s="95">
      <c r="A518" s="143" t="n">
        <v>44554</v>
      </c>
    </row>
    <row r="519" ht="15" customHeight="1" s="95">
      <c r="A519" s="143" t="n">
        <v>44557</v>
      </c>
      <c r="B519" s="177" t="n">
        <v>0.04</v>
      </c>
      <c r="C519" s="177" t="n">
        <v>0.06</v>
      </c>
      <c r="D519" s="177" t="n">
        <v>0.21</v>
      </c>
      <c r="E519" s="177" t="n">
        <v>0.33</v>
      </c>
    </row>
    <row r="520" ht="15" customHeight="1" s="95">
      <c r="A520" s="143" t="n">
        <v>44558</v>
      </c>
      <c r="B520" s="177" t="n">
        <v>0.03</v>
      </c>
      <c r="C520" s="177" t="n">
        <v>0.06</v>
      </c>
      <c r="D520" s="177" t="n">
        <v>0.2</v>
      </c>
      <c r="E520" s="177" t="n">
        <v>0.39</v>
      </c>
    </row>
    <row r="521" ht="15" customHeight="1" s="95">
      <c r="A521" s="143" t="n">
        <v>44559</v>
      </c>
      <c r="B521" s="177" t="n">
        <v>0.01</v>
      </c>
      <c r="C521" s="177" t="n">
        <v>0.05</v>
      </c>
      <c r="D521" s="177" t="n">
        <v>0.19</v>
      </c>
      <c r="E521" s="177" t="n">
        <v>0.38</v>
      </c>
    </row>
    <row r="522" ht="15" customHeight="1" s="95">
      <c r="A522" s="143" t="n">
        <v>44560</v>
      </c>
      <c r="B522" s="177" t="n">
        <v>0.06</v>
      </c>
      <c r="C522" s="177" t="n">
        <v>0.05</v>
      </c>
      <c r="D522" s="177" t="n">
        <v>0.19</v>
      </c>
      <c r="E522" s="177" t="n">
        <v>0.38</v>
      </c>
    </row>
    <row r="523" ht="15" customHeight="1" s="95">
      <c r="A523" s="143" t="n">
        <v>44561</v>
      </c>
      <c r="B523" s="177" t="n">
        <v>0.06</v>
      </c>
      <c r="C523" s="177" t="n">
        <v>0.06</v>
      </c>
      <c r="D523" s="177" t="n">
        <v>0.19</v>
      </c>
      <c r="E523" s="177" t="n">
        <v>0.39</v>
      </c>
    </row>
    <row r="524" ht="15" customHeight="1" s="95">
      <c r="A524" s="143" t="n">
        <v>44564</v>
      </c>
      <c r="B524" s="177" t="n">
        <v>0.05</v>
      </c>
      <c r="C524" s="177" t="n">
        <v>0.08</v>
      </c>
      <c r="D524" s="177" t="n">
        <v>0.22</v>
      </c>
      <c r="E524" s="177" t="n">
        <v>0.4</v>
      </c>
    </row>
    <row r="525" ht="15" customHeight="1" s="95">
      <c r="A525" s="143" t="n">
        <v>44565</v>
      </c>
      <c r="B525" s="177" t="n">
        <v>0.06</v>
      </c>
      <c r="C525" s="177" t="n">
        <v>0.08</v>
      </c>
      <c r="D525" s="177" t="n">
        <v>0.22</v>
      </c>
      <c r="E525" s="177" t="n">
        <v>0.38</v>
      </c>
    </row>
    <row r="526" ht="15" customHeight="1" s="95">
      <c r="A526" s="143" t="n">
        <v>44566</v>
      </c>
      <c r="B526" s="177" t="n">
        <v>0.05</v>
      </c>
      <c r="C526" s="177" t="n">
        <v>0.09</v>
      </c>
      <c r="D526" s="177" t="n">
        <v>0.22</v>
      </c>
      <c r="E526" s="177" t="n">
        <v>0.41</v>
      </c>
    </row>
    <row r="527" ht="15" customHeight="1" s="95">
      <c r="A527" s="143" t="n">
        <v>44567</v>
      </c>
      <c r="B527" s="177" t="n">
        <v>0.04</v>
      </c>
      <c r="C527" s="177" t="n">
        <v>0.1</v>
      </c>
      <c r="D527" s="177" t="n">
        <v>0.23</v>
      </c>
      <c r="E527" s="177" t="n">
        <v>0.45</v>
      </c>
    </row>
    <row r="528" ht="15" customHeight="1" s="95">
      <c r="A528" s="143" t="n">
        <v>44568</v>
      </c>
      <c r="B528" s="177" t="n">
        <v>0.05</v>
      </c>
      <c r="C528" s="177" t="n">
        <v>0.1</v>
      </c>
      <c r="D528" s="177" t="n">
        <v>0.24</v>
      </c>
      <c r="E528" s="177" t="n">
        <v>0.43</v>
      </c>
    </row>
    <row r="529" ht="15" customHeight="1" s="95">
      <c r="A529" s="143" t="n">
        <v>44571</v>
      </c>
      <c r="B529" s="177" t="n">
        <v>0.05</v>
      </c>
      <c r="C529" s="177" t="n">
        <v>0.13</v>
      </c>
      <c r="D529" s="177" t="n">
        <v>0.28</v>
      </c>
      <c r="E529" s="177" t="n">
        <v>0.46</v>
      </c>
    </row>
    <row r="530" ht="15" customHeight="1" s="95">
      <c r="A530" s="143" t="n">
        <v>44572</v>
      </c>
      <c r="B530" s="177" t="n">
        <v>0.04</v>
      </c>
      <c r="C530" s="177" t="n">
        <v>0.11</v>
      </c>
      <c r="D530" s="177" t="n">
        <v>0.28</v>
      </c>
      <c r="E530" s="177" t="n">
        <v>0.46</v>
      </c>
    </row>
    <row r="531" ht="15" customHeight="1" s="95">
      <c r="A531" s="143" t="n">
        <v>44573</v>
      </c>
      <c r="B531" s="177" t="n">
        <v>0.04</v>
      </c>
      <c r="C531" s="177" t="n">
        <v>0.12</v>
      </c>
      <c r="D531" s="177" t="n">
        <v>0.27</v>
      </c>
      <c r="E531" s="177" t="n">
        <v>0.48</v>
      </c>
    </row>
    <row r="532" ht="15" customHeight="1" s="95">
      <c r="A532" s="143" t="n">
        <v>44574</v>
      </c>
      <c r="B532" s="177" t="n">
        <v>0.05</v>
      </c>
      <c r="C532" s="177" t="n">
        <v>0.12</v>
      </c>
      <c r="D532" s="177" t="n">
        <v>0.28</v>
      </c>
      <c r="E532" s="177" t="n">
        <v>0.47</v>
      </c>
    </row>
    <row r="533" ht="15" customHeight="1" s="95">
      <c r="A533" s="143" t="n">
        <v>44575</v>
      </c>
      <c r="B533" s="177" t="n">
        <v>0.05</v>
      </c>
      <c r="C533" s="177" t="n">
        <v>0.13</v>
      </c>
      <c r="D533" s="177" t="n">
        <v>0.3</v>
      </c>
      <c r="E533" s="177" t="n">
        <v>0.51</v>
      </c>
    </row>
    <row r="534" ht="15" customHeight="1" s="95">
      <c r="A534" s="143" t="n">
        <v>44578</v>
      </c>
    </row>
    <row r="535" ht="15" customHeight="1" s="95">
      <c r="A535" s="143" t="n">
        <v>44579</v>
      </c>
      <c r="B535" s="177" t="n">
        <v>0.05</v>
      </c>
      <c r="C535" s="177" t="n">
        <v>0.16</v>
      </c>
      <c r="D535" s="177" t="n">
        <v>0.37</v>
      </c>
      <c r="E535" s="177" t="n">
        <v>0.58</v>
      </c>
    </row>
    <row r="536" ht="15" customHeight="1" s="95">
      <c r="A536" s="143" t="n">
        <v>44580</v>
      </c>
      <c r="B536" s="177" t="n">
        <v>0.05</v>
      </c>
      <c r="C536" s="177" t="n">
        <v>0.17</v>
      </c>
      <c r="D536" s="177" t="n">
        <v>0.36</v>
      </c>
      <c r="E536" s="177" t="n">
        <v>0.57</v>
      </c>
    </row>
    <row r="537" ht="15" customHeight="1" s="95">
      <c r="A537" s="143" t="n">
        <v>44581</v>
      </c>
      <c r="B537" s="177" t="n">
        <v>0.05</v>
      </c>
      <c r="C537" s="177" t="n">
        <v>0.17</v>
      </c>
      <c r="D537" s="177" t="n">
        <v>0.36</v>
      </c>
      <c r="E537" s="177" t="n">
        <v>0.6</v>
      </c>
    </row>
    <row r="538" ht="15" customHeight="1" s="95">
      <c r="A538" s="143" t="n">
        <v>44582</v>
      </c>
      <c r="B538" s="177" t="n">
        <v>0.05</v>
      </c>
      <c r="C538" s="177" t="n">
        <v>0.17</v>
      </c>
      <c r="D538" s="177" t="n">
        <v>0.35</v>
      </c>
      <c r="E538" s="177" t="n">
        <v>0.58</v>
      </c>
    </row>
    <row r="539" ht="15" customHeight="1" s="95">
      <c r="A539" s="143" t="n">
        <v>44585</v>
      </c>
      <c r="B539" s="177" t="n">
        <v>0.05</v>
      </c>
      <c r="C539" s="177" t="n">
        <v>0.19</v>
      </c>
      <c r="D539" s="177" t="n">
        <v>0.39</v>
      </c>
      <c r="E539" s="177" t="n">
        <v>0.58</v>
      </c>
    </row>
    <row r="540" ht="15" customHeight="1" s="95">
      <c r="A540" s="143" t="n">
        <v>44586</v>
      </c>
      <c r="B540" s="177" t="n">
        <v>0.05</v>
      </c>
      <c r="C540" s="177" t="n">
        <v>0.19</v>
      </c>
      <c r="D540" s="177" t="n">
        <v>0.39</v>
      </c>
      <c r="E540" s="177" t="n">
        <v>0.65</v>
      </c>
    </row>
    <row r="541" ht="15" customHeight="1" s="95">
      <c r="A541" s="143" t="n">
        <v>44587</v>
      </c>
      <c r="B541" s="177" t="n">
        <v>0.06</v>
      </c>
      <c r="C541" s="177" t="n">
        <v>0.19</v>
      </c>
      <c r="D541" s="177" t="n">
        <v>0.4</v>
      </c>
      <c r="E541" s="177" t="n">
        <v>0.7</v>
      </c>
    </row>
    <row r="542" ht="15" customHeight="1" s="95">
      <c r="A542" s="143" t="n">
        <v>44588</v>
      </c>
      <c r="B542" s="177" t="n">
        <v>0.04</v>
      </c>
      <c r="C542" s="177" t="n">
        <v>0.2</v>
      </c>
      <c r="D542" s="177" t="n">
        <v>0.43</v>
      </c>
      <c r="E542" s="177" t="n">
        <v>0.75</v>
      </c>
    </row>
    <row r="543" ht="15" customHeight="1" s="95">
      <c r="A543" s="143" t="n">
        <v>44589</v>
      </c>
      <c r="B543" s="177" t="n">
        <v>0.04</v>
      </c>
      <c r="C543" s="177" t="n">
        <v>0.19</v>
      </c>
      <c r="D543" s="177" t="n">
        <v>0.43</v>
      </c>
      <c r="E543" s="177" t="n">
        <v>0.75</v>
      </c>
    </row>
    <row r="544" ht="15" customHeight="1" s="95">
      <c r="A544" s="143" t="n">
        <v>44592</v>
      </c>
      <c r="B544" s="177" t="n">
        <v>0.03</v>
      </c>
      <c r="C544" s="177" t="n">
        <v>0.22</v>
      </c>
      <c r="D544" s="177" t="n">
        <v>0.49</v>
      </c>
      <c r="E544" s="177" t="n">
        <v>0.78</v>
      </c>
    </row>
    <row r="545" ht="15" customHeight="1" s="95">
      <c r="A545" s="143" t="n">
        <v>44593</v>
      </c>
      <c r="B545" s="177" t="n">
        <v>0.04</v>
      </c>
      <c r="C545" s="177" t="n">
        <v>0.19</v>
      </c>
      <c r="D545" s="177" t="n">
        <v>0.48</v>
      </c>
      <c r="E545" s="177" t="n">
        <v>0.78</v>
      </c>
    </row>
    <row r="546" ht="15" customHeight="1" s="95">
      <c r="A546" s="143" t="n">
        <v>44594</v>
      </c>
      <c r="B546" s="177" t="n">
        <v>0.04</v>
      </c>
      <c r="C546" s="177" t="n">
        <v>0.19</v>
      </c>
      <c r="D546" s="177" t="n">
        <v>0.45</v>
      </c>
      <c r="E546" s="177" t="n">
        <v>0.76</v>
      </c>
    </row>
    <row r="547" ht="15" customHeight="1" s="95">
      <c r="A547" s="143" t="n">
        <v>44595</v>
      </c>
      <c r="B547" s="177" t="n">
        <v>0.03</v>
      </c>
      <c r="C547" s="177" t="n">
        <v>0.2</v>
      </c>
      <c r="D547" s="177" t="n">
        <v>0.48</v>
      </c>
      <c r="E547" s="177" t="n">
        <v>0.78</v>
      </c>
    </row>
    <row r="548" ht="15" customHeight="1" s="95">
      <c r="A548" s="143" t="n">
        <v>44596</v>
      </c>
      <c r="B548" s="177" t="n">
        <v>0.05</v>
      </c>
      <c r="C548" s="177" t="n">
        <v>0.23</v>
      </c>
      <c r="D548" s="177" t="n">
        <v>0.5600000000000001</v>
      </c>
      <c r="E548" s="177" t="n">
        <v>0.89</v>
      </c>
    </row>
    <row r="549" ht="15" customHeight="1" s="95">
      <c r="A549" s="143" t="n">
        <v>44599</v>
      </c>
      <c r="B549" s="177" t="n">
        <v>0.03</v>
      </c>
      <c r="C549" s="177" t="n">
        <v>0.27</v>
      </c>
      <c r="D549" s="177" t="n">
        <v>0.58</v>
      </c>
      <c r="E549" s="177" t="n">
        <v>0.88</v>
      </c>
    </row>
    <row r="550" ht="15" customHeight="1" s="95">
      <c r="A550" s="143" t="n">
        <v>44600</v>
      </c>
      <c r="B550" s="177" t="n">
        <v>0.03</v>
      </c>
      <c r="C550" s="177" t="n">
        <v>0.25</v>
      </c>
      <c r="D550" s="177" t="n">
        <v>0.59</v>
      </c>
      <c r="E550" s="177" t="n">
        <v>0.91</v>
      </c>
    </row>
    <row r="551" ht="15" customHeight="1" s="95">
      <c r="A551" s="143" t="n">
        <v>44601</v>
      </c>
      <c r="B551" s="177" t="n">
        <v>0.04</v>
      </c>
      <c r="C551" s="177" t="n">
        <v>0.26</v>
      </c>
      <c r="D551" s="177" t="n">
        <v>0.57</v>
      </c>
      <c r="E551" s="177" t="n">
        <v>0.91</v>
      </c>
    </row>
    <row r="552" ht="15" customHeight="1" s="95">
      <c r="A552" s="143" t="n">
        <v>44602</v>
      </c>
      <c r="B552" s="177" t="n">
        <v>0.05</v>
      </c>
      <c r="C552" s="177" t="n">
        <v>0.4</v>
      </c>
      <c r="D552" s="177" t="n">
        <v>0.74</v>
      </c>
      <c r="E552" s="177" t="n">
        <v>1.14</v>
      </c>
    </row>
    <row r="553" ht="15" customHeight="1" s="95">
      <c r="A553" s="143" t="n">
        <v>44603</v>
      </c>
      <c r="B553" s="177" t="n">
        <v>0.03</v>
      </c>
      <c r="C553" s="177" t="n">
        <v>0.36</v>
      </c>
      <c r="D553" s="177" t="n">
        <v>0.71</v>
      </c>
      <c r="E553" s="177" t="n">
        <v>1.07</v>
      </c>
    </row>
    <row r="554" ht="15" customHeight="1" s="95">
      <c r="A554" s="143" t="n">
        <v>44606</v>
      </c>
      <c r="B554" s="177" t="n">
        <v>0.03</v>
      </c>
      <c r="C554" s="177" t="n">
        <v>0.43</v>
      </c>
      <c r="D554" s="177" t="n">
        <v>0.76</v>
      </c>
      <c r="E554" s="177" t="n">
        <v>1.13</v>
      </c>
    </row>
    <row r="555" ht="15" customHeight="1" s="95">
      <c r="A555" s="143" t="n">
        <v>44607</v>
      </c>
      <c r="B555" s="177" t="n">
        <v>0.02</v>
      </c>
      <c r="C555" s="177" t="n">
        <v>0.4</v>
      </c>
      <c r="D555" s="177" t="n">
        <v>0.72</v>
      </c>
      <c r="E555" s="177" t="n">
        <v>1.11</v>
      </c>
    </row>
    <row r="556" ht="15" customHeight="1" s="95">
      <c r="A556" s="143" t="n">
        <v>44608</v>
      </c>
      <c r="B556" s="177" t="n">
        <v>0.03</v>
      </c>
      <c r="C556" s="177" t="n">
        <v>0.38</v>
      </c>
      <c r="D556" s="177" t="n">
        <v>0.67</v>
      </c>
      <c r="E556" s="177" t="n">
        <v>1.09</v>
      </c>
    </row>
    <row r="557" ht="15" customHeight="1" s="95">
      <c r="A557" s="143" t="n">
        <v>44609</v>
      </c>
      <c r="B557" s="177" t="n">
        <v>0.06</v>
      </c>
      <c r="C557" s="177" t="n">
        <v>0.36</v>
      </c>
      <c r="D557" s="177" t="n">
        <v>0.65</v>
      </c>
      <c r="E557" s="177" t="n">
        <v>1.05</v>
      </c>
    </row>
    <row r="558" ht="15" customHeight="1" s="95">
      <c r="A558" s="143" t="n">
        <v>44610</v>
      </c>
      <c r="B558" s="177" t="n">
        <v>0.03</v>
      </c>
      <c r="C558" s="177" t="n">
        <v>0.35</v>
      </c>
      <c r="D558" s="177" t="n">
        <v>0.65</v>
      </c>
      <c r="E558" s="177" t="n">
        <v>1.03</v>
      </c>
    </row>
    <row r="559" ht="15" customHeight="1" s="95">
      <c r="A559" s="143" t="n">
        <v>44613</v>
      </c>
    </row>
    <row r="560" ht="15" customHeight="1" s="95">
      <c r="A560" s="143" t="n">
        <v>44614</v>
      </c>
      <c r="B560" s="177" t="n">
        <v>0.03</v>
      </c>
      <c r="C560" s="177" t="n">
        <v>0.37</v>
      </c>
      <c r="D560" s="177" t="n">
        <v>0.73</v>
      </c>
      <c r="E560" s="177" t="n">
        <v>1.17</v>
      </c>
    </row>
    <row r="561" ht="15" customHeight="1" s="95">
      <c r="A561" s="143" t="n">
        <v>44615</v>
      </c>
      <c r="B561" s="177" t="n">
        <v>0.02</v>
      </c>
      <c r="C561" s="177" t="n">
        <v>0.34</v>
      </c>
      <c r="D561" s="177" t="n">
        <v>0.74</v>
      </c>
      <c r="E561" s="177" t="n">
        <v>1.16</v>
      </c>
    </row>
    <row r="562" ht="15" customHeight="1" s="95">
      <c r="A562" s="143" t="n">
        <v>44616</v>
      </c>
      <c r="B562" s="177" t="n">
        <v>0.05</v>
      </c>
      <c r="C562" s="177" t="n">
        <v>0.32</v>
      </c>
      <c r="D562" s="177" t="n">
        <v>0.65</v>
      </c>
      <c r="E562" s="177" t="n">
        <v>1.08</v>
      </c>
    </row>
    <row r="563" ht="15" customHeight="1" s="95">
      <c r="A563" s="143" t="n">
        <v>44617</v>
      </c>
      <c r="B563" s="177" t="n">
        <v>0.03</v>
      </c>
      <c r="C563" s="177" t="n">
        <v>0.33</v>
      </c>
      <c r="D563" s="177" t="n">
        <v>0.71</v>
      </c>
      <c r="E563" s="177" t="n">
        <v>1.13</v>
      </c>
    </row>
    <row r="564" ht="15" customHeight="1" s="95">
      <c r="A564" s="143" t="n">
        <v>44620</v>
      </c>
      <c r="B564" s="177" t="n">
        <v>0.06</v>
      </c>
      <c r="C564" s="177" t="n">
        <v>0.35</v>
      </c>
      <c r="D564" s="177" t="n">
        <v>0.6899999999999999</v>
      </c>
      <c r="E564" s="177" t="n">
        <v>1.01</v>
      </c>
    </row>
    <row r="565" ht="15" customHeight="1" s="95">
      <c r="A565" s="143" t="n">
        <v>44621</v>
      </c>
      <c r="B565" s="177" t="n">
        <v>0.11</v>
      </c>
      <c r="C565" s="177" t="n">
        <v>0.32</v>
      </c>
      <c r="D565" s="177" t="n">
        <v>0.6</v>
      </c>
      <c r="E565" s="177" t="n">
        <v>0.91</v>
      </c>
    </row>
    <row r="566" ht="15" customHeight="1" s="95">
      <c r="A566" s="143" t="n">
        <v>44622</v>
      </c>
      <c r="B566" s="177" t="n">
        <v>0.13</v>
      </c>
      <c r="C566" s="177" t="n">
        <v>0.34</v>
      </c>
      <c r="D566" s="177" t="n">
        <v>0.68</v>
      </c>
      <c r="E566" s="177" t="n">
        <v>1.06</v>
      </c>
    </row>
    <row r="567" ht="15" customHeight="1" s="95">
      <c r="A567" s="143" t="n">
        <v>44623</v>
      </c>
      <c r="B567" s="177" t="n">
        <v>0.19</v>
      </c>
      <c r="C567" s="177" t="n">
        <v>0.38</v>
      </c>
      <c r="D567" s="177" t="n">
        <v>0.6899999999999999</v>
      </c>
      <c r="E567" s="177" t="n">
        <v>1.08</v>
      </c>
    </row>
    <row r="568" ht="15" customHeight="1" s="95">
      <c r="A568" s="143" t="n">
        <v>44624</v>
      </c>
      <c r="B568" s="177" t="n">
        <v>0.15</v>
      </c>
      <c r="C568" s="177" t="n">
        <v>0.34</v>
      </c>
      <c r="D568" s="177" t="n">
        <v>0.6899999999999999</v>
      </c>
      <c r="E568" s="177" t="n">
        <v>1.05</v>
      </c>
    </row>
    <row r="569" ht="15" customHeight="1" s="95">
      <c r="A569" s="143" t="n">
        <v>44627</v>
      </c>
      <c r="B569" s="177" t="n">
        <v>0.17</v>
      </c>
      <c r="C569" s="177" t="n">
        <v>0.38</v>
      </c>
      <c r="D569" s="177" t="n">
        <v>0.75</v>
      </c>
      <c r="E569" s="177" t="n">
        <v>1.07</v>
      </c>
    </row>
    <row r="570" ht="15" customHeight="1" s="95">
      <c r="A570" s="143" t="n">
        <v>44628</v>
      </c>
      <c r="B570" s="177" t="n">
        <v>0.16</v>
      </c>
      <c r="C570" s="177" t="n">
        <v>0.36</v>
      </c>
      <c r="D570" s="177" t="n">
        <v>0.72</v>
      </c>
      <c r="E570" s="177" t="n">
        <v>1.12</v>
      </c>
    </row>
    <row r="571" ht="15" customHeight="1" s="95">
      <c r="A571" s="143" t="n">
        <v>44629</v>
      </c>
      <c r="B571" s="177" t="n">
        <v>0.18</v>
      </c>
      <c r="C571" s="177" t="n">
        <v>0.38</v>
      </c>
      <c r="D571" s="177" t="n">
        <v>0.75</v>
      </c>
      <c r="E571" s="177" t="n">
        <v>1.15</v>
      </c>
    </row>
    <row r="572" ht="15" customHeight="1" s="95">
      <c r="A572" s="143" t="n">
        <v>44630</v>
      </c>
      <c r="B572" s="177" t="n">
        <v>0.19</v>
      </c>
      <c r="C572" s="177" t="n">
        <v>0.39</v>
      </c>
      <c r="D572" s="177" t="n">
        <v>0.75</v>
      </c>
      <c r="E572" s="177" t="n">
        <v>1.19</v>
      </c>
    </row>
    <row r="573" ht="15" customHeight="1" s="95">
      <c r="A573" s="143" t="n">
        <v>44631</v>
      </c>
      <c r="B573" s="177" t="n">
        <v>0.17</v>
      </c>
      <c r="C573" s="177" t="n">
        <v>0.4</v>
      </c>
      <c r="D573" s="177" t="n">
        <v>0.78</v>
      </c>
      <c r="E573" s="177" t="n">
        <v>1.22</v>
      </c>
    </row>
    <row r="574" ht="15" customHeight="1" s="95">
      <c r="A574" s="143" t="n">
        <v>44634</v>
      </c>
      <c r="B574" s="177" t="n">
        <v>0.23</v>
      </c>
      <c r="C574" s="177" t="n">
        <v>0.45</v>
      </c>
      <c r="D574" s="177" t="n">
        <v>0.86</v>
      </c>
      <c r="E574" s="177" t="n">
        <v>1.28</v>
      </c>
    </row>
    <row r="575" ht="15" customHeight="1" s="95">
      <c r="A575" s="143" t="n">
        <v>44635</v>
      </c>
      <c r="B575" s="177" t="n">
        <v>0.22</v>
      </c>
      <c r="C575" s="177" t="n">
        <v>0.46</v>
      </c>
      <c r="D575" s="177" t="n">
        <v>0.86</v>
      </c>
      <c r="E575" s="177" t="n">
        <v>1.28</v>
      </c>
    </row>
    <row r="576" ht="15" customHeight="1" s="95">
      <c r="A576" s="143" t="n">
        <v>44636</v>
      </c>
      <c r="B576" s="177" t="n">
        <v>0.24</v>
      </c>
      <c r="C576" s="177" t="n">
        <v>0.44</v>
      </c>
      <c r="D576" s="177" t="n">
        <v>0.86</v>
      </c>
      <c r="E576" s="177" t="n">
        <v>1.35</v>
      </c>
    </row>
    <row r="577" ht="15" customHeight="1" s="95">
      <c r="A577" s="143" t="n">
        <v>44637</v>
      </c>
      <c r="B577" s="177" t="n">
        <v>0.2</v>
      </c>
      <c r="C577" s="177" t="n">
        <v>0.4</v>
      </c>
      <c r="D577" s="177" t="n">
        <v>0.8100000000000001</v>
      </c>
      <c r="E577" s="177" t="n">
        <v>1.3</v>
      </c>
    </row>
    <row r="578" ht="15" customHeight="1" s="95">
      <c r="A578" s="143" t="n">
        <v>44638</v>
      </c>
      <c r="B578" s="177" t="n">
        <v>0.19</v>
      </c>
      <c r="C578" s="177" t="n">
        <v>0.42</v>
      </c>
      <c r="D578" s="177" t="n">
        <v>0.83</v>
      </c>
      <c r="E578" s="177" t="n">
        <v>1.29</v>
      </c>
    </row>
    <row r="579" ht="15" customHeight="1" s="95">
      <c r="A579" s="143" t="n">
        <v>44641</v>
      </c>
      <c r="B579" s="177" t="n">
        <v>0.22</v>
      </c>
      <c r="C579" s="177" t="n">
        <v>0.54</v>
      </c>
      <c r="D579" s="177" t="n">
        <v>0.95</v>
      </c>
      <c r="E579" s="177" t="n">
        <v>1.4</v>
      </c>
    </row>
    <row r="580" ht="15" customHeight="1" s="95">
      <c r="A580" s="143" t="n">
        <v>44642</v>
      </c>
      <c r="B580" s="177" t="n">
        <v>0.2</v>
      </c>
      <c r="C580" s="177" t="n">
        <v>0.51</v>
      </c>
      <c r="D580" s="177" t="n">
        <v>0.96</v>
      </c>
      <c r="E580" s="177" t="n">
        <v>1.59</v>
      </c>
    </row>
    <row r="581" ht="15" customHeight="1" s="95">
      <c r="A581" s="143" t="n">
        <v>44643</v>
      </c>
      <c r="B581" s="177" t="n">
        <v>0.15</v>
      </c>
      <c r="C581" s="177" t="n">
        <v>0.5</v>
      </c>
      <c r="D581" s="177" t="n">
        <v>0.93</v>
      </c>
      <c r="E581" s="177" t="n">
        <v>1.52</v>
      </c>
    </row>
    <row r="582" ht="15" customHeight="1" s="95">
      <c r="A582" s="143" t="n">
        <v>44644</v>
      </c>
      <c r="B582" s="177" t="n">
        <v>0.16</v>
      </c>
      <c r="C582" s="177" t="n">
        <v>0.52</v>
      </c>
      <c r="D582" s="177" t="n">
        <v>0.96</v>
      </c>
      <c r="E582" s="177" t="n">
        <v>1.55</v>
      </c>
    </row>
    <row r="583" ht="15" customHeight="1" s="95">
      <c r="A583" s="143" t="n">
        <v>44645</v>
      </c>
      <c r="B583" s="177" t="n">
        <v>0.17</v>
      </c>
      <c r="C583" s="177" t="n">
        <v>0.55</v>
      </c>
      <c r="D583" s="177" t="n">
        <v>1.01</v>
      </c>
      <c r="E583" s="177" t="n">
        <v>1.67</v>
      </c>
    </row>
    <row r="584" ht="15" customHeight="1" s="95">
      <c r="A584" s="143" t="n">
        <v>44648</v>
      </c>
      <c r="B584" s="177" t="n">
        <v>0.19</v>
      </c>
      <c r="C584" s="177" t="n">
        <v>0.59</v>
      </c>
      <c r="D584" s="177" t="n">
        <v>1.08</v>
      </c>
      <c r="E584" s="177" t="n">
        <v>1.69</v>
      </c>
    </row>
    <row r="585" ht="15" customHeight="1" s="95">
      <c r="A585" s="143" t="n">
        <v>44649</v>
      </c>
      <c r="B585" s="177" t="n">
        <v>0.18</v>
      </c>
      <c r="C585" s="177" t="n">
        <v>0.55</v>
      </c>
      <c r="D585" s="177" t="n">
        <v>1.06</v>
      </c>
      <c r="E585" s="177" t="n">
        <v>1.67</v>
      </c>
    </row>
    <row r="586" ht="15" customHeight="1" s="95">
      <c r="A586" s="143" t="n">
        <v>44650</v>
      </c>
      <c r="B586" s="177" t="n">
        <v>0.16</v>
      </c>
      <c r="C586" s="177" t="n">
        <v>0.55</v>
      </c>
      <c r="D586" s="177" t="n">
        <v>1.04</v>
      </c>
      <c r="E586" s="177" t="n">
        <v>1.64</v>
      </c>
    </row>
    <row r="587" ht="15" customHeight="1" s="95">
      <c r="A587" s="143" t="n">
        <v>44651</v>
      </c>
      <c r="B587" s="177" t="n">
        <v>0.17</v>
      </c>
      <c r="C587" s="177" t="n">
        <v>0.52</v>
      </c>
      <c r="D587" s="177" t="n">
        <v>1.06</v>
      </c>
      <c r="E587" s="177" t="n">
        <v>1.63</v>
      </c>
    </row>
    <row r="588" ht="15" customHeight="1" s="95">
      <c r="A588" s="143" t="n">
        <v>44652</v>
      </c>
      <c r="B588" s="177" t="n">
        <v>0.15</v>
      </c>
      <c r="C588" s="177" t="n">
        <v>0.53</v>
      </c>
      <c r="D588" s="177" t="n">
        <v>1.09</v>
      </c>
      <c r="E588" s="177" t="n">
        <v>1.72</v>
      </c>
    </row>
    <row r="589" ht="15" customHeight="1" s="95">
      <c r="A589" s="143" t="n">
        <v>44655</v>
      </c>
      <c r="B589" s="177" t="n">
        <v>0.18</v>
      </c>
      <c r="C589" s="177" t="n">
        <v>0.66</v>
      </c>
      <c r="D589" s="177" t="n">
        <v>1.14</v>
      </c>
      <c r="E589" s="177" t="n">
        <v>1.72</v>
      </c>
    </row>
    <row r="590" ht="15" customHeight="1" s="95">
      <c r="A590" s="143" t="n">
        <v>44656</v>
      </c>
      <c r="B590" s="177" t="n">
        <v>0.18</v>
      </c>
      <c r="C590" s="177" t="n">
        <v>0.65</v>
      </c>
      <c r="D590" s="177" t="n">
        <v>1.13</v>
      </c>
      <c r="E590" s="177" t="n">
        <v>1.77</v>
      </c>
    </row>
    <row r="591" ht="15" customHeight="1" s="95">
      <c r="A591" s="143" t="n">
        <v>44657</v>
      </c>
      <c r="B591" s="177" t="n">
        <v>0.21</v>
      </c>
      <c r="C591" s="177" t="n">
        <v>0.67</v>
      </c>
      <c r="D591" s="177" t="n">
        <v>1.15</v>
      </c>
      <c r="E591" s="177" t="n">
        <v>1.79</v>
      </c>
    </row>
    <row r="592" ht="15" customHeight="1" s="95">
      <c r="A592" s="143" t="n">
        <v>44658</v>
      </c>
      <c r="B592" s="177" t="n">
        <v>0.21</v>
      </c>
      <c r="C592" s="177" t="n">
        <v>0.68</v>
      </c>
      <c r="D592" s="177" t="n">
        <v>1.15</v>
      </c>
      <c r="E592" s="177" t="n">
        <v>1.78</v>
      </c>
    </row>
    <row r="593" ht="15" customHeight="1" s="95">
      <c r="A593" s="143" t="n">
        <v>44659</v>
      </c>
      <c r="B593" s="177" t="n">
        <v>0.2</v>
      </c>
      <c r="C593" s="177" t="n">
        <v>0.7</v>
      </c>
      <c r="D593" s="177" t="n">
        <v>1.19</v>
      </c>
      <c r="E593" s="177" t="n">
        <v>1.81</v>
      </c>
    </row>
    <row r="594" ht="15" customHeight="1" s="95">
      <c r="A594" s="143" t="n">
        <v>44662</v>
      </c>
      <c r="B594" s="177" t="n">
        <v>0.22</v>
      </c>
      <c r="C594" s="177" t="n">
        <v>0.77</v>
      </c>
      <c r="D594" s="177" t="n">
        <v>1.23</v>
      </c>
      <c r="E594" s="177" t="n">
        <v>1.85</v>
      </c>
    </row>
    <row r="595" ht="15" customHeight="1" s="95">
      <c r="A595" s="143" t="n">
        <v>44663</v>
      </c>
      <c r="B595" s="177" t="n">
        <v>0.21</v>
      </c>
      <c r="C595" s="177" t="n">
        <v>0.74</v>
      </c>
      <c r="D595" s="177" t="n">
        <v>1.2</v>
      </c>
      <c r="E595" s="177" t="n">
        <v>1.77</v>
      </c>
    </row>
    <row r="596" ht="15" customHeight="1" s="95">
      <c r="A596" s="143" t="n">
        <v>44664</v>
      </c>
      <c r="B596" s="177" t="n">
        <v>0.26</v>
      </c>
      <c r="C596" s="177" t="n">
        <v>0.75</v>
      </c>
      <c r="D596" s="177" t="n">
        <v>1.2</v>
      </c>
      <c r="E596" s="177" t="n">
        <v>1.78</v>
      </c>
    </row>
    <row r="597" ht="15" customHeight="1" s="95">
      <c r="A597" s="143" t="n">
        <v>44665</v>
      </c>
      <c r="B597" s="177" t="n">
        <v>0.37</v>
      </c>
      <c r="C597" s="177" t="n">
        <v>0.79</v>
      </c>
      <c r="D597" s="177" t="n">
        <v>1.25</v>
      </c>
      <c r="E597" s="177" t="n">
        <v>1.84</v>
      </c>
    </row>
    <row r="598" ht="15" customHeight="1" s="95">
      <c r="A598" s="143" t="n">
        <v>44666</v>
      </c>
    </row>
    <row r="599" ht="15" customHeight="1" s="95">
      <c r="A599" s="143" t="n">
        <v>44669</v>
      </c>
      <c r="B599" s="177" t="n">
        <v>0.38</v>
      </c>
      <c r="C599" s="177" t="n">
        <v>0.8100000000000001</v>
      </c>
      <c r="D599" s="177" t="n">
        <v>1.27</v>
      </c>
      <c r="E599" s="177" t="n">
        <v>1.84</v>
      </c>
    </row>
    <row r="600" ht="15" customHeight="1" s="95">
      <c r="A600" s="143" t="n">
        <v>44670</v>
      </c>
      <c r="B600" s="177" t="n">
        <v>0.37</v>
      </c>
      <c r="C600" s="177" t="n">
        <v>0.8100000000000001</v>
      </c>
      <c r="D600" s="177" t="n">
        <v>1.28</v>
      </c>
      <c r="E600" s="177" t="n">
        <v>1.94</v>
      </c>
    </row>
    <row r="601" ht="15" customHeight="1" s="95">
      <c r="A601" s="143" t="n">
        <v>44671</v>
      </c>
      <c r="B601" s="177" t="n">
        <v>0.35</v>
      </c>
      <c r="C601" s="177" t="n">
        <v>0.82</v>
      </c>
      <c r="D601" s="177" t="n">
        <v>1.29</v>
      </c>
      <c r="E601" s="177" t="n">
        <v>1.93</v>
      </c>
    </row>
    <row r="602" ht="15" customHeight="1" s="95">
      <c r="A602" s="143" t="n">
        <v>44672</v>
      </c>
      <c r="B602" s="177" t="n">
        <v>0.5</v>
      </c>
      <c r="C602" s="177" t="n">
        <v>0.83</v>
      </c>
      <c r="D602" s="177" t="n">
        <v>1.32</v>
      </c>
      <c r="E602" s="177" t="n">
        <v>2.01</v>
      </c>
    </row>
    <row r="603" ht="15" customHeight="1" s="95">
      <c r="A603" s="143" t="n">
        <v>44673</v>
      </c>
      <c r="B603" s="177" t="n">
        <v>0.46</v>
      </c>
      <c r="C603" s="177" t="n">
        <v>0.83</v>
      </c>
      <c r="D603" s="177" t="n">
        <v>1.34</v>
      </c>
      <c r="E603" s="177" t="n">
        <v>2.06</v>
      </c>
    </row>
    <row r="604" ht="15" customHeight="1" s="95">
      <c r="A604" s="143" t="n">
        <v>44676</v>
      </c>
      <c r="B604" s="177" t="n">
        <v>0.4</v>
      </c>
      <c r="C604" s="177" t="n">
        <v>0.91</v>
      </c>
      <c r="D604" s="177" t="n">
        <v>1.42</v>
      </c>
      <c r="E604" s="177" t="n">
        <v>2.03</v>
      </c>
    </row>
    <row r="605" ht="15" customHeight="1" s="95">
      <c r="A605" s="143" t="n">
        <v>44677</v>
      </c>
      <c r="B605" s="177" t="n">
        <v>0.38</v>
      </c>
      <c r="C605" s="177" t="n">
        <v>0.83</v>
      </c>
      <c r="D605" s="177" t="n">
        <v>1.4</v>
      </c>
      <c r="E605" s="177" t="n">
        <v>1.99</v>
      </c>
    </row>
    <row r="606" ht="15" customHeight="1" s="95">
      <c r="A606" s="143" t="n">
        <v>44678</v>
      </c>
      <c r="B606" s="177" t="n">
        <v>0.37</v>
      </c>
      <c r="C606" s="177" t="n">
        <v>0.82</v>
      </c>
      <c r="D606" s="177" t="n">
        <v>1.39</v>
      </c>
      <c r="E606" s="177" t="n">
        <v>1.97</v>
      </c>
    </row>
    <row r="607" ht="15" customHeight="1" s="95">
      <c r="A607" s="143" t="n">
        <v>44679</v>
      </c>
      <c r="B607" s="177" t="n">
        <v>0.37</v>
      </c>
      <c r="C607" s="177" t="n">
        <v>0.82</v>
      </c>
      <c r="D607" s="177" t="n">
        <v>1.38</v>
      </c>
      <c r="E607" s="177" t="n">
        <v>2.04</v>
      </c>
    </row>
    <row r="608" ht="15" customHeight="1" s="95">
      <c r="A608" s="143" t="n">
        <v>44680</v>
      </c>
      <c r="B608" s="177" t="n">
        <v>0.37</v>
      </c>
      <c r="C608" s="177" t="n">
        <v>0.85</v>
      </c>
      <c r="D608" s="177" t="n">
        <v>1.41</v>
      </c>
      <c r="E608" s="177" t="n">
        <v>2.1</v>
      </c>
    </row>
    <row r="609" ht="15" customHeight="1" s="95">
      <c r="A609" s="143" t="n">
        <v>44683</v>
      </c>
      <c r="B609" s="177" t="n">
        <v>0.41</v>
      </c>
      <c r="C609" s="177" t="n">
        <v>0.9</v>
      </c>
      <c r="D609" s="177" t="n">
        <v>1.49</v>
      </c>
      <c r="E609" s="177" t="n">
        <v>2.1</v>
      </c>
    </row>
    <row r="610" ht="15" customHeight="1" s="95">
      <c r="A610" s="143" t="n">
        <v>44684</v>
      </c>
      <c r="B610" s="177" t="n">
        <v>0.48</v>
      </c>
      <c r="C610" s="177" t="n">
        <v>0.91</v>
      </c>
      <c r="D610" s="177" t="n">
        <v>1.45</v>
      </c>
      <c r="E610" s="177" t="n">
        <v>2.16</v>
      </c>
    </row>
    <row r="611" ht="15" customHeight="1" s="95">
      <c r="A611" s="143" t="n">
        <v>44685</v>
      </c>
      <c r="B611" s="177" t="n">
        <v>0.49</v>
      </c>
      <c r="C611" s="177" t="n">
        <v>0.89</v>
      </c>
      <c r="D611" s="177" t="n">
        <v>1.44</v>
      </c>
      <c r="E611" s="177" t="n">
        <v>2.07</v>
      </c>
    </row>
    <row r="612" ht="15" customHeight="1" s="95">
      <c r="A612" s="143" t="n">
        <v>44686</v>
      </c>
      <c r="B612" s="177" t="n">
        <v>0.49</v>
      </c>
      <c r="C612" s="177" t="n">
        <v>0.85</v>
      </c>
      <c r="D612" s="177" t="n">
        <v>1.37</v>
      </c>
      <c r="E612" s="177" t="n">
        <v>2.08</v>
      </c>
    </row>
    <row r="613" ht="15" customHeight="1" s="95">
      <c r="A613" s="143" t="n">
        <v>44687</v>
      </c>
      <c r="B613" s="177" t="n">
        <v>0.48</v>
      </c>
      <c r="C613" s="177" t="n">
        <v>0.85</v>
      </c>
      <c r="D613" s="177" t="n">
        <v>1.41</v>
      </c>
      <c r="E613" s="177" t="n">
        <v>2.08</v>
      </c>
    </row>
    <row r="614" ht="15" customHeight="1" s="95">
      <c r="A614" s="143" t="n">
        <v>44690</v>
      </c>
      <c r="B614" s="177" t="n">
        <v>0.51</v>
      </c>
      <c r="C614" s="177" t="n">
        <v>0.92</v>
      </c>
      <c r="D614" s="177" t="n">
        <v>1.43</v>
      </c>
      <c r="E614" s="177" t="n">
        <v>1.99</v>
      </c>
    </row>
    <row r="615" ht="15" customHeight="1" s="95">
      <c r="A615" s="143" t="n">
        <v>44691</v>
      </c>
      <c r="B615" s="177" t="n">
        <v>0.57</v>
      </c>
      <c r="C615" s="177" t="n">
        <v>0.89</v>
      </c>
      <c r="D615" s="177" t="n">
        <v>1.44</v>
      </c>
      <c r="E615" s="177" t="n">
        <v>2.01</v>
      </c>
    </row>
    <row r="616" ht="15" customHeight="1" s="95">
      <c r="A616" s="143" t="n">
        <v>44692</v>
      </c>
      <c r="B616" s="177" t="n">
        <v>0.59</v>
      </c>
      <c r="C616" s="177" t="n">
        <v>0.91</v>
      </c>
      <c r="D616" s="177" t="n">
        <v>1.43</v>
      </c>
      <c r="E616" s="177" t="n">
        <v>1.99</v>
      </c>
    </row>
    <row r="617" ht="15" customHeight="1" s="95">
      <c r="A617" s="143" t="n">
        <v>44693</v>
      </c>
      <c r="B617" s="177" t="n">
        <v>0.61</v>
      </c>
      <c r="C617" s="177" t="n">
        <v>0.96</v>
      </c>
      <c r="D617" s="177" t="n">
        <v>1.44</v>
      </c>
      <c r="E617" s="177" t="n">
        <v>1.96</v>
      </c>
    </row>
    <row r="618" ht="15" customHeight="1" s="95">
      <c r="A618" s="143" t="n">
        <v>44694</v>
      </c>
      <c r="B618" s="177" t="n">
        <v>0.67</v>
      </c>
      <c r="C618" s="177" t="n">
        <v>1.03</v>
      </c>
      <c r="D618" s="177" t="n">
        <v>1.47</v>
      </c>
      <c r="E618" s="177" t="n">
        <v>2.04</v>
      </c>
    </row>
    <row r="619" ht="15" customHeight="1" s="95">
      <c r="A619" s="143" t="n">
        <v>44697</v>
      </c>
      <c r="B619" s="177" t="n">
        <v>0.64</v>
      </c>
      <c r="C619" s="177" t="n">
        <v>1.07</v>
      </c>
      <c r="D619" s="177" t="n">
        <v>1.54</v>
      </c>
      <c r="E619" s="177" t="n">
        <v>2.07</v>
      </c>
    </row>
    <row r="620" ht="15" customHeight="1" s="95">
      <c r="A620" s="143" t="n">
        <v>44698</v>
      </c>
      <c r="B620" s="177" t="n">
        <v>0.61</v>
      </c>
      <c r="C620" s="177" t="n">
        <v>1.06</v>
      </c>
      <c r="D620" s="177" t="n">
        <v>1.57</v>
      </c>
      <c r="E620" s="177" t="n">
        <v>2.16</v>
      </c>
    </row>
    <row r="621" ht="15" customHeight="1" s="95">
      <c r="A621" s="143" t="n">
        <v>44699</v>
      </c>
      <c r="B621" s="177" t="n">
        <v>0.5600000000000001</v>
      </c>
      <c r="C621" s="177" t="n">
        <v>1.03</v>
      </c>
      <c r="D621" s="177" t="n">
        <v>1.56</v>
      </c>
      <c r="E621" s="177" t="n">
        <v>2.16</v>
      </c>
    </row>
    <row r="622" ht="15" customHeight="1" s="95">
      <c r="A622" s="143" t="n">
        <v>44700</v>
      </c>
      <c r="B622" s="177" t="n">
        <v>0.65</v>
      </c>
      <c r="C622" s="177" t="n">
        <v>1.05</v>
      </c>
      <c r="D622" s="177" t="n">
        <v>1.52</v>
      </c>
      <c r="E622" s="177" t="n">
        <v>2.11</v>
      </c>
    </row>
    <row r="623" ht="15" customHeight="1" s="95">
      <c r="A623" s="143" t="n">
        <v>44701</v>
      </c>
      <c r="B623" s="177" t="n">
        <v>0.63</v>
      </c>
      <c r="C623" s="177" t="n">
        <v>1.03</v>
      </c>
      <c r="D623" s="177" t="n">
        <v>1.51</v>
      </c>
      <c r="E623" s="177" t="n">
        <v>2.07</v>
      </c>
    </row>
    <row r="624" ht="15" customHeight="1" s="95">
      <c r="A624" s="143" t="n">
        <v>44704</v>
      </c>
      <c r="B624" s="177" t="n">
        <v>0.55</v>
      </c>
      <c r="C624" s="177" t="n">
        <v>1.07</v>
      </c>
      <c r="D624" s="177" t="n">
        <v>1.57</v>
      </c>
      <c r="E624" s="177" t="n">
        <v>2.09</v>
      </c>
    </row>
    <row r="625" ht="15" customHeight="1" s="95">
      <c r="A625" s="143" t="n">
        <v>44705</v>
      </c>
      <c r="B625" s="177" t="n">
        <v>0.55</v>
      </c>
      <c r="C625" s="177" t="n">
        <v>1.06</v>
      </c>
      <c r="D625" s="177" t="n">
        <v>1.53</v>
      </c>
      <c r="E625" s="177" t="n">
        <v>2.02</v>
      </c>
    </row>
    <row r="626" ht="15" customHeight="1" s="95">
      <c r="A626" s="143" t="n">
        <v>44706</v>
      </c>
      <c r="B626" s="177" t="n">
        <v>0.58</v>
      </c>
      <c r="C626" s="177" t="n">
        <v>1.06</v>
      </c>
      <c r="D626" s="177" t="n">
        <v>1.52</v>
      </c>
      <c r="E626" s="177" t="n">
        <v>2.01</v>
      </c>
    </row>
    <row r="627" ht="15" customHeight="1" s="95">
      <c r="A627" s="143" t="n">
        <v>44707</v>
      </c>
      <c r="B627" s="177" t="n">
        <v>0.71</v>
      </c>
      <c r="C627" s="177" t="n">
        <v>1.07</v>
      </c>
      <c r="D627" s="177" t="n">
        <v>1.52</v>
      </c>
      <c r="E627" s="177" t="n">
        <v>1.99</v>
      </c>
    </row>
    <row r="628" ht="15" customHeight="1" s="95">
      <c r="A628" s="143" t="n">
        <v>44708</v>
      </c>
      <c r="B628" s="177" t="n">
        <v>0.6899999999999999</v>
      </c>
      <c r="C628" s="177" t="n">
        <v>1.08</v>
      </c>
      <c r="D628" s="177" t="n">
        <v>1.54</v>
      </c>
      <c r="E628" s="177" t="n">
        <v>2.01</v>
      </c>
    </row>
    <row r="629" ht="15" customHeight="1" s="95">
      <c r="A629" s="143" t="n">
        <v>44711</v>
      </c>
    </row>
    <row r="630" ht="15" customHeight="1" s="95">
      <c r="A630" s="143" t="n">
        <v>44712</v>
      </c>
      <c r="B630" s="177" t="n">
        <v>0.73</v>
      </c>
      <c r="C630" s="177" t="n">
        <v>1.16</v>
      </c>
      <c r="D630" s="177" t="n">
        <v>1.64</v>
      </c>
      <c r="E630" s="177" t="n">
        <v>2.08</v>
      </c>
    </row>
    <row r="631" ht="15" customHeight="1" s="95">
      <c r="A631" s="143" t="n">
        <v>44713</v>
      </c>
      <c r="B631" s="177" t="n">
        <v>0.77</v>
      </c>
      <c r="C631" s="177" t="n">
        <v>1.15</v>
      </c>
      <c r="D631" s="177" t="n">
        <v>1.63</v>
      </c>
      <c r="E631" s="177" t="n">
        <v>2.16</v>
      </c>
    </row>
    <row r="632" ht="15" customHeight="1" s="95">
      <c r="A632" s="143" t="n">
        <v>44714</v>
      </c>
      <c r="B632" s="177" t="n">
        <v>0.85</v>
      </c>
      <c r="C632" s="177" t="n">
        <v>1.17</v>
      </c>
      <c r="D632" s="177" t="n">
        <v>1.64</v>
      </c>
      <c r="E632" s="177" t="n">
        <v>2.15</v>
      </c>
    </row>
    <row r="633" ht="15" customHeight="1" s="95">
      <c r="A633" s="143" t="n">
        <v>44715</v>
      </c>
      <c r="B633" s="177" t="n">
        <v>0.87</v>
      </c>
      <c r="C633" s="177" t="n">
        <v>1.21</v>
      </c>
      <c r="D633" s="177" t="n">
        <v>1.68</v>
      </c>
      <c r="E633" s="177" t="n">
        <v>2.18</v>
      </c>
    </row>
    <row r="634" ht="15" customHeight="1" s="95">
      <c r="A634" s="143" t="n">
        <v>44718</v>
      </c>
      <c r="B634" s="177" t="n">
        <v>0.88</v>
      </c>
      <c r="C634" s="177" t="n">
        <v>1.26</v>
      </c>
      <c r="D634" s="177" t="n">
        <v>1.74</v>
      </c>
      <c r="E634" s="177" t="n">
        <v>2.23</v>
      </c>
    </row>
    <row r="635" ht="15" customHeight="1" s="95">
      <c r="A635" s="143" t="n">
        <v>44719</v>
      </c>
      <c r="B635" s="177" t="n">
        <v>0.87</v>
      </c>
      <c r="C635" s="177" t="n">
        <v>1.26</v>
      </c>
      <c r="D635" s="177" t="n">
        <v>1.75</v>
      </c>
      <c r="E635" s="177" t="n">
        <v>2.26</v>
      </c>
    </row>
    <row r="636" ht="15" customHeight="1" s="95">
      <c r="A636" s="143" t="n">
        <v>44720</v>
      </c>
      <c r="B636" s="177" t="n">
        <v>0.89</v>
      </c>
      <c r="C636" s="177" t="n">
        <v>1.28</v>
      </c>
      <c r="D636" s="177" t="n">
        <v>1.77</v>
      </c>
      <c r="E636" s="177" t="n">
        <v>2.29</v>
      </c>
    </row>
    <row r="637" ht="15" customHeight="1" s="95">
      <c r="A637" s="143" t="n">
        <v>44721</v>
      </c>
      <c r="B637" s="177" t="n">
        <v>1.05</v>
      </c>
      <c r="C637" s="177" t="n">
        <v>1.3</v>
      </c>
      <c r="D637" s="177" t="n">
        <v>1.81</v>
      </c>
      <c r="E637" s="177" t="n">
        <v>2.35</v>
      </c>
    </row>
    <row r="638" ht="15" customHeight="1" s="95">
      <c r="A638" s="143" t="n">
        <v>44722</v>
      </c>
      <c r="B638" s="177" t="n">
        <v>1.1</v>
      </c>
      <c r="C638" s="177" t="n">
        <v>1.39</v>
      </c>
      <c r="D638" s="177" t="n">
        <v>1.98</v>
      </c>
      <c r="E638" s="177" t="n">
        <v>2.58</v>
      </c>
    </row>
    <row r="639" ht="15" customHeight="1" s="95">
      <c r="A639" s="143" t="n">
        <v>44725</v>
      </c>
      <c r="B639" s="177" t="n">
        <v>1.13</v>
      </c>
      <c r="C639" s="177" t="n">
        <v>1.73</v>
      </c>
      <c r="D639" s="177" t="n">
        <v>2.25</v>
      </c>
      <c r="E639" s="177" t="n">
        <v>2.89</v>
      </c>
    </row>
    <row r="640" ht="15" customHeight="1" s="95">
      <c r="A640" s="143" t="n">
        <v>44726</v>
      </c>
      <c r="B640" s="177" t="n">
        <v>1.19</v>
      </c>
      <c r="C640" s="177" t="n">
        <v>1.83</v>
      </c>
      <c r="D640" s="177" t="n">
        <v>2.43</v>
      </c>
      <c r="E640" s="177" t="n">
        <v>3.15</v>
      </c>
    </row>
    <row r="641" ht="15" customHeight="1" s="95">
      <c r="A641" s="143" t="n">
        <v>44727</v>
      </c>
      <c r="B641" s="177" t="n">
        <v>1.21</v>
      </c>
      <c r="C641" s="177" t="n">
        <v>1.74</v>
      </c>
      <c r="D641" s="177" t="n">
        <v>2.32</v>
      </c>
      <c r="E641" s="177" t="n">
        <v>2.93</v>
      </c>
    </row>
    <row r="642" ht="15" customHeight="1" s="95">
      <c r="A642" s="143" t="n">
        <v>44728</v>
      </c>
      <c r="B642" s="177" t="n">
        <v>1.19</v>
      </c>
      <c r="C642" s="177" t="n">
        <v>1.59</v>
      </c>
      <c r="D642" s="177" t="n">
        <v>2.24</v>
      </c>
      <c r="E642" s="177" t="n">
        <v>2.88</v>
      </c>
    </row>
    <row r="643" ht="15" customHeight="1" s="95">
      <c r="A643" s="143" t="n">
        <v>44729</v>
      </c>
      <c r="B643" s="177" t="n">
        <v>1.15</v>
      </c>
      <c r="C643" s="177" t="n">
        <v>1.63</v>
      </c>
      <c r="D643" s="177" t="n">
        <v>2.25</v>
      </c>
      <c r="E643" s="177" t="n">
        <v>2.86</v>
      </c>
    </row>
    <row r="644" ht="15" customHeight="1" s="95">
      <c r="A644" s="143" t="n">
        <v>44732</v>
      </c>
    </row>
    <row r="645" ht="15" customHeight="1" s="95">
      <c r="A645" s="143" t="n">
        <v>44733</v>
      </c>
      <c r="B645" s="177" t="n">
        <v>1.08</v>
      </c>
      <c r="C645" s="177" t="n">
        <v>1.7</v>
      </c>
      <c r="D645" s="177" t="n">
        <v>2.46</v>
      </c>
      <c r="E645" s="177" t="n">
        <v>2.92</v>
      </c>
    </row>
    <row r="646" ht="15" customHeight="1" s="95">
      <c r="A646" s="143" t="n">
        <v>44734</v>
      </c>
      <c r="B646" s="177" t="n">
        <v>0.98</v>
      </c>
      <c r="C646" s="177" t="n">
        <v>1.61</v>
      </c>
      <c r="D646" s="177" t="n">
        <v>2.4</v>
      </c>
      <c r="E646" s="177" t="n">
        <v>2.79</v>
      </c>
    </row>
    <row r="647" ht="15" customHeight="1" s="95">
      <c r="A647" s="143" t="n">
        <v>44735</v>
      </c>
      <c r="B647" s="177" t="n">
        <v>1.12</v>
      </c>
      <c r="C647" s="177" t="n">
        <v>1.65</v>
      </c>
      <c r="D647" s="177" t="n">
        <v>2.44</v>
      </c>
      <c r="E647" s="177" t="n">
        <v>2.78</v>
      </c>
    </row>
    <row r="648" ht="15" customHeight="1" s="95">
      <c r="A648" s="143" t="n">
        <v>44736</v>
      </c>
      <c r="B648" s="177" t="n">
        <v>1.19</v>
      </c>
      <c r="C648" s="177" t="n">
        <v>1.73</v>
      </c>
      <c r="D648" s="177" t="n">
        <v>2.51</v>
      </c>
      <c r="E648" s="177" t="n">
        <v>2.83</v>
      </c>
    </row>
    <row r="649" ht="15" customHeight="1" s="95">
      <c r="A649" s="143" t="n">
        <v>44739</v>
      </c>
      <c r="B649" s="177" t="n">
        <v>1.16</v>
      </c>
      <c r="C649" s="177" t="n">
        <v>1.79</v>
      </c>
      <c r="D649" s="177" t="n">
        <v>2.56</v>
      </c>
      <c r="E649" s="177" t="n">
        <v>2.89</v>
      </c>
    </row>
    <row r="650" ht="15" customHeight="1" s="95">
      <c r="A650" s="143" t="n">
        <v>44740</v>
      </c>
      <c r="B650" s="177" t="n">
        <v>1.12</v>
      </c>
      <c r="C650" s="177" t="n">
        <v>1.79</v>
      </c>
      <c r="D650" s="177" t="n">
        <v>2.55</v>
      </c>
      <c r="E650" s="177" t="n">
        <v>2.88</v>
      </c>
    </row>
    <row r="651" ht="15" customHeight="1" s="95">
      <c r="A651" s="143" t="n">
        <v>44741</v>
      </c>
      <c r="B651" s="177" t="n">
        <v>1.12</v>
      </c>
      <c r="C651" s="177" t="n">
        <v>1.78</v>
      </c>
      <c r="D651" s="177" t="n">
        <v>2.55</v>
      </c>
      <c r="E651" s="177" t="n">
        <v>2.88</v>
      </c>
    </row>
    <row r="652" ht="15" customHeight="1" s="95">
      <c r="A652" s="143" t="n">
        <v>44742</v>
      </c>
      <c r="B652" s="177" t="n">
        <v>1.28</v>
      </c>
      <c r="C652" s="177" t="n">
        <v>1.72</v>
      </c>
      <c r="D652" s="177" t="n">
        <v>2.51</v>
      </c>
      <c r="E652" s="177" t="n">
        <v>2.8</v>
      </c>
    </row>
    <row r="653" ht="15" customHeight="1" s="95">
      <c r="A653" s="143" t="n">
        <v>44743</v>
      </c>
      <c r="B653" s="177" t="n">
        <v>1.27</v>
      </c>
      <c r="C653" s="177" t="n">
        <v>1.73</v>
      </c>
      <c r="D653" s="177" t="n">
        <v>2.52</v>
      </c>
      <c r="E653" s="177" t="n">
        <v>2.79</v>
      </c>
    </row>
    <row r="654" ht="15" customHeight="1" s="95">
      <c r="A654" s="143" t="n">
        <v>44746</v>
      </c>
    </row>
    <row r="655" ht="15" customHeight="1" s="95">
      <c r="A655" s="143" t="n">
        <v>44747</v>
      </c>
      <c r="B655" s="177" t="n">
        <v>1.33</v>
      </c>
      <c r="C655" s="177" t="n">
        <v>1.9</v>
      </c>
      <c r="D655" s="177" t="n">
        <v>2.59</v>
      </c>
      <c r="E655" s="177" t="n">
        <v>2.77</v>
      </c>
    </row>
    <row r="656" ht="15" customHeight="1" s="95">
      <c r="A656" s="143" t="n">
        <v>44748</v>
      </c>
      <c r="B656" s="177" t="n">
        <v>1.36</v>
      </c>
      <c r="C656" s="177" t="n">
        <v>1.9</v>
      </c>
      <c r="D656" s="177" t="n">
        <v>2.62</v>
      </c>
      <c r="E656" s="177" t="n">
        <v>2.82</v>
      </c>
    </row>
    <row r="657" ht="15" customHeight="1" s="95">
      <c r="A657" s="143" t="n">
        <v>44749</v>
      </c>
      <c r="B657" s="177" t="n">
        <v>1.55</v>
      </c>
      <c r="C657" s="177" t="n">
        <v>1.95</v>
      </c>
      <c r="D657" s="177" t="n">
        <v>2.64</v>
      </c>
      <c r="E657" s="177" t="n">
        <v>2.87</v>
      </c>
    </row>
    <row r="658" ht="15" customHeight="1" s="95">
      <c r="A658" s="143" t="n">
        <v>44750</v>
      </c>
      <c r="B658" s="177" t="n">
        <v>1.57</v>
      </c>
      <c r="C658" s="177" t="n">
        <v>1.98</v>
      </c>
      <c r="D658" s="177" t="n">
        <v>2.68</v>
      </c>
      <c r="E658" s="177" t="n">
        <v>2.96</v>
      </c>
    </row>
    <row r="659" ht="15" customHeight="1" s="95">
      <c r="A659" s="143" t="n">
        <v>44753</v>
      </c>
      <c r="B659" s="177" t="n">
        <v>1.58</v>
      </c>
      <c r="C659" s="177" t="n">
        <v>2.18</v>
      </c>
      <c r="D659" s="177" t="n">
        <v>2.79</v>
      </c>
      <c r="E659" s="177" t="n">
        <v>2.97</v>
      </c>
    </row>
    <row r="660" ht="15" customHeight="1" s="95">
      <c r="A660" s="143" t="n">
        <v>44754</v>
      </c>
      <c r="B660" s="177" t="n">
        <v>1.63</v>
      </c>
      <c r="C660" s="177" t="n">
        <v>2.22</v>
      </c>
      <c r="D660" s="177" t="n">
        <v>2.78</v>
      </c>
      <c r="E660" s="177" t="n">
        <v>3.07</v>
      </c>
    </row>
    <row r="661" ht="15" customHeight="1" s="95">
      <c r="A661" s="143" t="n">
        <v>44755</v>
      </c>
      <c r="B661" s="177" t="n">
        <v>1.78</v>
      </c>
      <c r="C661" s="177" t="n">
        <v>2.39</v>
      </c>
      <c r="D661" s="177" t="n">
        <v>2.96</v>
      </c>
      <c r="E661" s="177" t="n">
        <v>3.21</v>
      </c>
    </row>
    <row r="662" ht="15" customHeight="1" s="95">
      <c r="A662" s="143" t="n">
        <v>44756</v>
      </c>
      <c r="B662" s="177" t="n">
        <v>1.99</v>
      </c>
      <c r="C662" s="177" t="n">
        <v>2.4</v>
      </c>
      <c r="D662" s="177" t="n">
        <v>2.93</v>
      </c>
      <c r="E662" s="177" t="n">
        <v>3.16</v>
      </c>
    </row>
    <row r="663" ht="15" customHeight="1" s="95">
      <c r="A663" s="143" t="n">
        <v>44757</v>
      </c>
      <c r="B663" s="177" t="n">
        <v>1.98</v>
      </c>
      <c r="C663" s="177" t="n">
        <v>2.37</v>
      </c>
      <c r="D663" s="177" t="n">
        <v>2.94</v>
      </c>
      <c r="E663" s="177" t="n">
        <v>3.12</v>
      </c>
    </row>
    <row r="664" ht="15" customHeight="1" s="95">
      <c r="A664" s="143" t="n">
        <v>44760</v>
      </c>
      <c r="B664" s="177" t="n">
        <v>1.96</v>
      </c>
      <c r="C664" s="177" t="n">
        <v>2.5</v>
      </c>
      <c r="D664" s="177" t="n">
        <v>3.02</v>
      </c>
      <c r="E664" s="177" t="n">
        <v>3.13</v>
      </c>
    </row>
    <row r="665" ht="15" customHeight="1" s="95">
      <c r="A665" s="143" t="n">
        <v>44761</v>
      </c>
      <c r="B665" s="177" t="n">
        <v>1.93</v>
      </c>
      <c r="C665" s="177" t="n">
        <v>2.52</v>
      </c>
      <c r="D665" s="177" t="n">
        <v>3.06</v>
      </c>
      <c r="E665" s="177" t="n">
        <v>3.18</v>
      </c>
    </row>
    <row r="666" ht="15" customHeight="1" s="95">
      <c r="A666" s="143" t="n">
        <v>44762</v>
      </c>
      <c r="B666" s="177" t="n">
        <v>1.92</v>
      </c>
      <c r="C666" s="177" t="n">
        <v>2.51</v>
      </c>
      <c r="D666" s="177" t="n">
        <v>3.04</v>
      </c>
      <c r="E666" s="177" t="n">
        <v>3.18</v>
      </c>
    </row>
    <row r="667" ht="15" customHeight="1" s="95">
      <c r="A667" s="143" t="n">
        <v>44763</v>
      </c>
      <c r="B667" s="177" t="n">
        <v>2.15</v>
      </c>
      <c r="C667" s="177" t="n">
        <v>2.48</v>
      </c>
      <c r="D667" s="177" t="n">
        <v>3</v>
      </c>
      <c r="E667" s="177" t="n">
        <v>3.11</v>
      </c>
    </row>
    <row r="668" ht="15" customHeight="1" s="95">
      <c r="A668" s="143" t="n">
        <v>44764</v>
      </c>
      <c r="B668" s="177" t="n">
        <v>2.15</v>
      </c>
      <c r="C668" s="177" t="n">
        <v>2.49</v>
      </c>
      <c r="D668" s="177" t="n">
        <v>2.97</v>
      </c>
      <c r="E668" s="177" t="n">
        <v>3.01</v>
      </c>
    </row>
    <row r="669" ht="15" customHeight="1" s="95">
      <c r="A669" s="143" t="n">
        <v>44767</v>
      </c>
      <c r="B669" s="177" t="n">
        <v>2.14</v>
      </c>
      <c r="C669" s="177" t="n">
        <v>2.62</v>
      </c>
      <c r="D669" s="177" t="n">
        <v>3.06</v>
      </c>
      <c r="E669" s="177" t="n">
        <v>3.07</v>
      </c>
    </row>
    <row r="670" ht="15" customHeight="1" s="95">
      <c r="A670" s="143" t="n">
        <v>44768</v>
      </c>
      <c r="B670" s="177" t="n">
        <v>2.17</v>
      </c>
      <c r="C670" s="177" t="n">
        <v>2.55</v>
      </c>
      <c r="D670" s="177" t="n">
        <v>3.01</v>
      </c>
      <c r="E670" s="177" t="n">
        <v>3.06</v>
      </c>
    </row>
    <row r="671" ht="15" customHeight="1" s="95">
      <c r="A671" s="143" t="n">
        <v>44769</v>
      </c>
      <c r="B671" s="177" t="n">
        <v>2.14</v>
      </c>
      <c r="C671" s="177" t="n">
        <v>2.44</v>
      </c>
      <c r="D671" s="177" t="n">
        <v>2.93</v>
      </c>
      <c r="E671" s="177" t="n">
        <v>3</v>
      </c>
    </row>
    <row r="672" ht="15" customHeight="1" s="95">
      <c r="A672" s="143" t="n">
        <v>44770</v>
      </c>
      <c r="B672" s="177" t="n">
        <v>2.2</v>
      </c>
      <c r="C672" s="177" t="n">
        <v>2.42</v>
      </c>
      <c r="D672" s="177" t="n">
        <v>2.9</v>
      </c>
      <c r="E672" s="177" t="n">
        <v>2.93</v>
      </c>
    </row>
    <row r="673" ht="15" customHeight="1" s="95">
      <c r="A673" s="143" t="n">
        <v>44771</v>
      </c>
      <c r="B673" s="177" t="n">
        <v>2.22</v>
      </c>
      <c r="C673" s="177" t="n">
        <v>2.41</v>
      </c>
      <c r="D673" s="177" t="n">
        <v>2.91</v>
      </c>
      <c r="E673" s="177" t="n">
        <v>2.98</v>
      </c>
    </row>
    <row r="674" ht="15" customHeight="1" s="95">
      <c r="A674" s="143" t="n">
        <v>44774</v>
      </c>
      <c r="B674" s="177" t="n">
        <v>2.22</v>
      </c>
      <c r="C674" s="177" t="n">
        <v>2.56</v>
      </c>
      <c r="D674" s="177" t="n">
        <v>2.96</v>
      </c>
      <c r="E674" s="177" t="n">
        <v>2.98</v>
      </c>
    </row>
    <row r="675" ht="15" customHeight="1" s="95">
      <c r="A675" s="143" t="n">
        <v>44775</v>
      </c>
      <c r="B675" s="177" t="n">
        <v>2.22</v>
      </c>
      <c r="C675" s="177" t="n">
        <v>2.56</v>
      </c>
      <c r="D675" s="177" t="n">
        <v>3</v>
      </c>
      <c r="E675" s="177" t="n">
        <v>3.09</v>
      </c>
    </row>
    <row r="676" ht="15" customHeight="1" s="95">
      <c r="A676" s="143" t="n">
        <v>44776</v>
      </c>
      <c r="B676" s="177" t="n">
        <v>2.2</v>
      </c>
      <c r="C676" s="177" t="n">
        <v>2.52</v>
      </c>
      <c r="D676" s="177" t="n">
        <v>3</v>
      </c>
      <c r="E676" s="177" t="n">
        <v>3.14</v>
      </c>
    </row>
    <row r="677" ht="15" customHeight="1" s="95">
      <c r="A677" s="143" t="n">
        <v>44777</v>
      </c>
      <c r="B677" s="177" t="n">
        <v>2.19</v>
      </c>
      <c r="C677" s="177" t="n">
        <v>2.5</v>
      </c>
      <c r="D677" s="177" t="n">
        <v>2.98</v>
      </c>
      <c r="E677" s="177" t="n">
        <v>3.11</v>
      </c>
    </row>
    <row r="678" ht="15" customHeight="1" s="95">
      <c r="A678" s="143" t="n">
        <v>44778</v>
      </c>
      <c r="B678" s="177" t="n">
        <v>2.21</v>
      </c>
      <c r="C678" s="177" t="n">
        <v>2.58</v>
      </c>
      <c r="D678" s="177" t="n">
        <v>3.1</v>
      </c>
      <c r="E678" s="177" t="n">
        <v>3.29</v>
      </c>
    </row>
    <row r="679" ht="15" customHeight="1" s="95">
      <c r="A679" s="143" t="n">
        <v>44781</v>
      </c>
      <c r="B679" s="177" t="n">
        <v>2.23</v>
      </c>
      <c r="C679" s="177" t="n">
        <v>2.65</v>
      </c>
      <c r="D679" s="177" t="n">
        <v>3.15</v>
      </c>
      <c r="E679" s="177" t="n">
        <v>3.3</v>
      </c>
    </row>
    <row r="680" ht="15" customHeight="1" s="95">
      <c r="A680" s="143" t="n">
        <v>44782</v>
      </c>
      <c r="B680" s="177" t="n">
        <v>2.23</v>
      </c>
      <c r="C680" s="177" t="n">
        <v>2.67</v>
      </c>
      <c r="D680" s="177" t="n">
        <v>3.16</v>
      </c>
      <c r="E680" s="177" t="n">
        <v>3.33</v>
      </c>
    </row>
    <row r="681" ht="15" customHeight="1" s="95">
      <c r="A681" s="143" t="n">
        <v>44783</v>
      </c>
      <c r="B681" s="177" t="n">
        <v>2.24</v>
      </c>
      <c r="C681" s="177" t="n">
        <v>2.65</v>
      </c>
      <c r="D681" s="177" t="n">
        <v>3.13</v>
      </c>
      <c r="E681" s="177" t="n">
        <v>3.26</v>
      </c>
    </row>
    <row r="682" ht="15" customHeight="1" s="95">
      <c r="A682" s="143" t="n">
        <v>44784</v>
      </c>
      <c r="B682" s="177" t="n">
        <v>2.24</v>
      </c>
      <c r="C682" s="177" t="n">
        <v>2.62</v>
      </c>
      <c r="D682" s="177" t="n">
        <v>3.08</v>
      </c>
      <c r="E682" s="177" t="n">
        <v>3.25</v>
      </c>
    </row>
    <row r="683" ht="15" customHeight="1" s="95">
      <c r="A683" s="143" t="n">
        <v>44785</v>
      </c>
      <c r="B683" s="177" t="n">
        <v>2.23</v>
      </c>
      <c r="C683" s="177" t="n">
        <v>2.63</v>
      </c>
      <c r="D683" s="177" t="n">
        <v>3.13</v>
      </c>
      <c r="E683" s="177" t="n">
        <v>3.26</v>
      </c>
    </row>
    <row r="684" ht="15" customHeight="1" s="95">
      <c r="A684" s="143" t="n">
        <v>44788</v>
      </c>
      <c r="B684" s="177" t="n">
        <v>2.27</v>
      </c>
      <c r="C684" s="177" t="n">
        <v>2.72</v>
      </c>
      <c r="D684" s="177" t="n">
        <v>3.13</v>
      </c>
      <c r="E684" s="177" t="n">
        <v>3.23</v>
      </c>
    </row>
    <row r="685" ht="15" customHeight="1" s="95">
      <c r="A685" s="143" t="n">
        <v>44789</v>
      </c>
      <c r="B685" s="177" t="n">
        <v>2.26</v>
      </c>
      <c r="C685" s="177" t="n">
        <v>2.7</v>
      </c>
      <c r="D685" s="177" t="n">
        <v>3.12</v>
      </c>
      <c r="E685" s="177" t="n">
        <v>3.26</v>
      </c>
    </row>
    <row r="686" ht="15" customHeight="1" s="95">
      <c r="A686" s="143" t="n">
        <v>44790</v>
      </c>
      <c r="B686" s="177" t="n">
        <v>2.22</v>
      </c>
      <c r="C686" s="177" t="n">
        <v>2.68</v>
      </c>
      <c r="D686" s="177" t="n">
        <v>3.15</v>
      </c>
      <c r="E686" s="177" t="n">
        <v>3.27</v>
      </c>
    </row>
    <row r="687" ht="15" customHeight="1" s="95">
      <c r="A687" s="143" t="n">
        <v>44791</v>
      </c>
      <c r="B687" s="177" t="n">
        <v>2.23</v>
      </c>
      <c r="C687" s="177" t="n">
        <v>2.71</v>
      </c>
      <c r="D687" s="177" t="n">
        <v>3.12</v>
      </c>
      <c r="E687" s="177" t="n">
        <v>3.24</v>
      </c>
    </row>
    <row r="688" ht="15" customHeight="1" s="95">
      <c r="A688" s="143" t="n">
        <v>44792</v>
      </c>
      <c r="B688" s="177" t="n">
        <v>2.23</v>
      </c>
      <c r="C688" s="177" t="n">
        <v>2.74</v>
      </c>
      <c r="D688" s="177" t="n">
        <v>3.16</v>
      </c>
      <c r="E688" s="177" t="n">
        <v>3.26</v>
      </c>
    </row>
    <row r="689" ht="15" customHeight="1" s="95">
      <c r="A689" s="143" t="n">
        <v>44795</v>
      </c>
      <c r="B689" s="177" t="n">
        <v>2.27</v>
      </c>
      <c r="C689" s="177" t="n">
        <v>2.82</v>
      </c>
      <c r="D689" s="177" t="n">
        <v>3.23</v>
      </c>
      <c r="E689" s="177" t="n">
        <v>3.32</v>
      </c>
    </row>
    <row r="690" ht="15" customHeight="1" s="95">
      <c r="A690" s="143" t="n">
        <v>44796</v>
      </c>
      <c r="B690" s="177" t="n">
        <v>2.28</v>
      </c>
      <c r="C690" s="177" t="n">
        <v>2.8</v>
      </c>
      <c r="D690" s="177" t="n">
        <v>3.21</v>
      </c>
      <c r="E690" s="177" t="n">
        <v>3.29</v>
      </c>
    </row>
    <row r="691" ht="15" customHeight="1" s="95">
      <c r="A691" s="143" t="n">
        <v>44797</v>
      </c>
      <c r="B691" s="177" t="n">
        <v>2.29</v>
      </c>
      <c r="C691" s="177" t="n">
        <v>2.82</v>
      </c>
      <c r="D691" s="177" t="n">
        <v>3.28</v>
      </c>
      <c r="E691" s="177" t="n">
        <v>3.35</v>
      </c>
    </row>
    <row r="692" ht="15" customHeight="1" s="95">
      <c r="A692" s="143" t="n">
        <v>44798</v>
      </c>
      <c r="B692" s="177" t="n">
        <v>2.42</v>
      </c>
      <c r="C692" s="177" t="n">
        <v>2.88</v>
      </c>
      <c r="D692" s="177" t="n">
        <v>3.25</v>
      </c>
      <c r="E692" s="177" t="n">
        <v>3.33</v>
      </c>
    </row>
    <row r="693" ht="15" customHeight="1" s="95">
      <c r="A693" s="143" t="n">
        <v>44799</v>
      </c>
      <c r="B693" s="177" t="n">
        <v>2.39</v>
      </c>
      <c r="C693" s="177" t="n">
        <v>2.89</v>
      </c>
      <c r="D693" s="177" t="n">
        <v>3.26</v>
      </c>
      <c r="E693" s="177" t="n">
        <v>3.36</v>
      </c>
    </row>
    <row r="694" ht="15" customHeight="1" s="95">
      <c r="A694" s="143" t="n">
        <v>44802</v>
      </c>
      <c r="B694" s="177" t="n">
        <v>2.45</v>
      </c>
      <c r="C694" s="177" t="n">
        <v>2.97</v>
      </c>
      <c r="D694" s="177" t="n">
        <v>3.32</v>
      </c>
      <c r="E694" s="177" t="n">
        <v>3.43</v>
      </c>
    </row>
    <row r="695" ht="15" customHeight="1" s="95">
      <c r="A695" s="143" t="n">
        <v>44803</v>
      </c>
      <c r="B695" s="177" t="n">
        <v>2.43</v>
      </c>
      <c r="C695" s="177" t="n">
        <v>2.97</v>
      </c>
      <c r="D695" s="177" t="n">
        <v>3.31</v>
      </c>
      <c r="E695" s="177" t="n">
        <v>3.48</v>
      </c>
    </row>
    <row r="696" ht="15" customHeight="1" s="95">
      <c r="A696" s="143" t="n">
        <v>44804</v>
      </c>
      <c r="B696" s="177" t="n">
        <v>2.4</v>
      </c>
      <c r="C696" s="177" t="n">
        <v>2.96</v>
      </c>
      <c r="D696" s="177" t="n">
        <v>3.32</v>
      </c>
      <c r="E696" s="177" t="n">
        <v>3.5</v>
      </c>
    </row>
    <row r="697" ht="15" customHeight="1" s="95">
      <c r="A697" s="143" t="n">
        <v>44805</v>
      </c>
      <c r="B697" s="177" t="n">
        <v>2.53</v>
      </c>
      <c r="C697" s="177" t="n">
        <v>2.97</v>
      </c>
      <c r="D697" s="177" t="n">
        <v>3.34</v>
      </c>
      <c r="E697" s="177" t="n">
        <v>3.51</v>
      </c>
    </row>
    <row r="698" ht="15" customHeight="1" s="95">
      <c r="A698" s="143" t="n">
        <v>44806</v>
      </c>
      <c r="B698" s="177" t="n">
        <v>2.49</v>
      </c>
      <c r="C698" s="177" t="n">
        <v>2.94</v>
      </c>
      <c r="D698" s="177" t="n">
        <v>3.33</v>
      </c>
      <c r="E698" s="177" t="n">
        <v>3.47</v>
      </c>
    </row>
    <row r="699" ht="15" customHeight="1" s="95">
      <c r="A699" s="143" t="n">
        <v>44809</v>
      </c>
    </row>
    <row r="700" ht="15" customHeight="1" s="95">
      <c r="A700" s="143" t="n">
        <v>44810</v>
      </c>
      <c r="B700" s="177" t="n">
        <v>2.44</v>
      </c>
      <c r="C700" s="177" t="n">
        <v>3.04</v>
      </c>
      <c r="D700" s="177" t="n">
        <v>3.4</v>
      </c>
      <c r="E700" s="177" t="n">
        <v>3.61</v>
      </c>
    </row>
    <row r="701" ht="15" customHeight="1" s="95">
      <c r="A701" s="143" t="n">
        <v>44811</v>
      </c>
      <c r="B701" s="177" t="n">
        <v>2.3</v>
      </c>
      <c r="C701" s="177" t="n">
        <v>3.07</v>
      </c>
      <c r="D701" s="177" t="n">
        <v>3.42</v>
      </c>
      <c r="E701" s="177" t="n">
        <v>3.6</v>
      </c>
    </row>
    <row r="702" ht="15" customHeight="1" s="95">
      <c r="A702" s="143" t="n">
        <v>44812</v>
      </c>
      <c r="B702" s="177" t="n">
        <v>2.57</v>
      </c>
      <c r="C702" s="177" t="n">
        <v>3.06</v>
      </c>
      <c r="D702" s="177" t="n">
        <v>3.44</v>
      </c>
      <c r="E702" s="177" t="n">
        <v>3.6</v>
      </c>
    </row>
    <row r="703" ht="15" customHeight="1" s="95">
      <c r="A703" s="143" t="n">
        <v>44813</v>
      </c>
      <c r="B703" s="177" t="n">
        <v>2.57</v>
      </c>
      <c r="C703" s="177" t="n">
        <v>3.08</v>
      </c>
      <c r="D703" s="177" t="n">
        <v>3.52</v>
      </c>
      <c r="E703" s="177" t="n">
        <v>3.67</v>
      </c>
    </row>
    <row r="704" ht="15" customHeight="1" s="95">
      <c r="A704" s="143" t="n">
        <v>44816</v>
      </c>
      <c r="B704" s="177" t="n">
        <v>2.62</v>
      </c>
      <c r="C704" s="177" t="n">
        <v>3.17</v>
      </c>
      <c r="D704" s="177" t="n">
        <v>3.56</v>
      </c>
      <c r="E704" s="177" t="n">
        <v>3.7</v>
      </c>
    </row>
    <row r="705" ht="15" customHeight="1" s="95">
      <c r="A705" s="143" t="n">
        <v>44817</v>
      </c>
      <c r="B705" s="177" t="n">
        <v>2.55</v>
      </c>
      <c r="C705" s="177" t="n">
        <v>3.28</v>
      </c>
      <c r="D705" s="177" t="n">
        <v>3.75</v>
      </c>
      <c r="E705" s="177" t="n">
        <v>3.92</v>
      </c>
    </row>
    <row r="706" ht="15" customHeight="1" s="95">
      <c r="A706" s="143" t="n">
        <v>44818</v>
      </c>
      <c r="B706" s="177" t="n">
        <v>2.54</v>
      </c>
      <c r="C706" s="177" t="n">
        <v>3.24</v>
      </c>
      <c r="D706" s="177" t="n">
        <v>3.76</v>
      </c>
      <c r="E706" s="177" t="n">
        <v>3.95</v>
      </c>
    </row>
    <row r="707" ht="15" customHeight="1" s="95">
      <c r="A707" s="143" t="n">
        <v>44819</v>
      </c>
      <c r="B707" s="177" t="n">
        <v>2.76</v>
      </c>
      <c r="C707" s="177" t="n">
        <v>3.22</v>
      </c>
      <c r="D707" s="177" t="n">
        <v>3.78</v>
      </c>
      <c r="E707" s="177" t="n">
        <v>4</v>
      </c>
    </row>
    <row r="708" ht="15" customHeight="1" s="95">
      <c r="A708" s="143" t="n">
        <v>44820</v>
      </c>
      <c r="B708" s="177" t="n">
        <v>2.68</v>
      </c>
      <c r="C708" s="177" t="n">
        <v>3.2</v>
      </c>
      <c r="D708" s="177" t="n">
        <v>3.77</v>
      </c>
      <c r="E708" s="177" t="n">
        <v>3.96</v>
      </c>
    </row>
    <row r="709" ht="15" customHeight="1" s="95">
      <c r="A709" s="143" t="n">
        <v>44823</v>
      </c>
      <c r="B709" s="177" t="n">
        <v>2.62</v>
      </c>
      <c r="C709" s="177" t="n">
        <v>3.37</v>
      </c>
      <c r="D709" s="177" t="n">
        <v>3.87</v>
      </c>
      <c r="E709" s="177" t="n">
        <v>4.05</v>
      </c>
    </row>
    <row r="710" ht="15" customHeight="1" s="95">
      <c r="A710" s="143" t="n">
        <v>44824</v>
      </c>
      <c r="B710" s="177" t="n">
        <v>2.57</v>
      </c>
      <c r="C710" s="177" t="n">
        <v>3.35</v>
      </c>
      <c r="D710" s="177" t="n">
        <v>3.86</v>
      </c>
      <c r="E710" s="177" t="n">
        <v>4.03</v>
      </c>
    </row>
    <row r="711" ht="15" customHeight="1" s="95">
      <c r="A711" s="143" t="n">
        <v>44825</v>
      </c>
      <c r="B711" s="177" t="n">
        <v>2.59</v>
      </c>
      <c r="C711" s="177" t="n">
        <v>3.31</v>
      </c>
      <c r="D711" s="177" t="n">
        <v>3.86</v>
      </c>
      <c r="E711" s="177" t="n">
        <v>4.08</v>
      </c>
    </row>
    <row r="712" ht="15" customHeight="1" s="95">
      <c r="A712" s="143" t="n">
        <v>44826</v>
      </c>
      <c r="B712" s="177" t="n">
        <v>2.73</v>
      </c>
      <c r="C712" s="177" t="n">
        <v>3.29</v>
      </c>
      <c r="D712" s="177" t="n">
        <v>3.87</v>
      </c>
      <c r="E712" s="177" t="n">
        <v>4.08</v>
      </c>
    </row>
    <row r="713" ht="15" customHeight="1" s="95">
      <c r="A713" s="143" t="n">
        <v>44827</v>
      </c>
      <c r="B713" s="177" t="n">
        <v>2.67</v>
      </c>
      <c r="C713" s="177" t="n">
        <v>3.24</v>
      </c>
      <c r="D713" s="177" t="n">
        <v>3.85</v>
      </c>
      <c r="E713" s="177" t="n">
        <v>4.15</v>
      </c>
    </row>
    <row r="714" ht="15" customHeight="1" s="95">
      <c r="A714" s="143" t="n">
        <v>44830</v>
      </c>
      <c r="B714" s="177" t="n">
        <v>2.73</v>
      </c>
      <c r="C714" s="177" t="n">
        <v>3.39</v>
      </c>
      <c r="D714" s="177" t="n">
        <v>3.95</v>
      </c>
      <c r="E714" s="177" t="n">
        <v>4.17</v>
      </c>
    </row>
    <row r="715" ht="15" customHeight="1" s="95">
      <c r="A715" s="143" t="n">
        <v>44831</v>
      </c>
      <c r="B715" s="177" t="n">
        <v>2.71</v>
      </c>
      <c r="C715" s="177" t="n">
        <v>3.35</v>
      </c>
      <c r="D715" s="177" t="n">
        <v>3.91</v>
      </c>
      <c r="E715" s="177" t="n">
        <v>4.16</v>
      </c>
    </row>
    <row r="716" ht="15" customHeight="1" s="95">
      <c r="A716" s="143" t="n">
        <v>44832</v>
      </c>
      <c r="B716" s="177" t="n">
        <v>2.63</v>
      </c>
      <c r="C716" s="177" t="n">
        <v>3.4</v>
      </c>
      <c r="D716" s="177" t="n">
        <v>3.87</v>
      </c>
      <c r="E716" s="177" t="n">
        <v>3.99</v>
      </c>
    </row>
    <row r="717" ht="15" customHeight="1" s="95">
      <c r="A717" s="143" t="n">
        <v>44833</v>
      </c>
      <c r="B717" s="177" t="n">
        <v>2.78</v>
      </c>
      <c r="C717" s="177" t="n">
        <v>3.36</v>
      </c>
      <c r="D717" s="177" t="n">
        <v>3.87</v>
      </c>
      <c r="E717" s="177" t="n">
        <v>3.98</v>
      </c>
    </row>
    <row r="718" ht="15" customHeight="1" s="95">
      <c r="A718" s="143" t="n">
        <v>44834</v>
      </c>
      <c r="B718" s="177" t="n">
        <v>2.79</v>
      </c>
      <c r="C718" s="177" t="n">
        <v>3.33</v>
      </c>
      <c r="D718" s="177" t="n">
        <v>3.92</v>
      </c>
      <c r="E718" s="177" t="n">
        <v>4.05</v>
      </c>
    </row>
    <row r="719" ht="15" customHeight="1" s="95">
      <c r="A719" s="143" t="n">
        <v>44837</v>
      </c>
      <c r="B719" s="177" t="n">
        <v>2.87</v>
      </c>
      <c r="C719" s="177" t="n">
        <v>3.46</v>
      </c>
      <c r="D719" s="177" t="n">
        <v>3.97</v>
      </c>
      <c r="E719" s="177" t="n">
        <v>4.01</v>
      </c>
    </row>
    <row r="720" ht="15" customHeight="1" s="95">
      <c r="A720" s="143" t="n">
        <v>44838</v>
      </c>
      <c r="B720" s="177" t="n">
        <v>2.91</v>
      </c>
      <c r="C720" s="177" t="n">
        <v>3.45</v>
      </c>
      <c r="D720" s="177" t="n">
        <v>3.98</v>
      </c>
      <c r="E720" s="177" t="n">
        <v>4.15</v>
      </c>
    </row>
    <row r="721" ht="15" customHeight="1" s="95">
      <c r="A721" s="143" t="n">
        <v>44839</v>
      </c>
      <c r="B721" s="177" t="n">
        <v>2.89</v>
      </c>
      <c r="C721" s="177" t="n">
        <v>3.46</v>
      </c>
      <c r="D721" s="177" t="n">
        <v>4</v>
      </c>
      <c r="E721" s="177" t="n">
        <v>4.14</v>
      </c>
    </row>
    <row r="722" ht="15" customHeight="1" s="95">
      <c r="A722" s="143" t="n">
        <v>44840</v>
      </c>
      <c r="B722" s="177" t="n">
        <v>3.05</v>
      </c>
      <c r="C722" s="177" t="n">
        <v>3.46</v>
      </c>
      <c r="D722" s="177" t="n">
        <v>4.04</v>
      </c>
      <c r="E722" s="177" t="n">
        <v>4.19</v>
      </c>
    </row>
    <row r="723" ht="15" customHeight="1" s="95">
      <c r="A723" s="143" t="n">
        <v>44841</v>
      </c>
      <c r="B723" s="177" t="n">
        <v>3.03</v>
      </c>
      <c r="C723" s="177" t="n">
        <v>3.45</v>
      </c>
      <c r="D723" s="177" t="n">
        <v>4.09</v>
      </c>
      <c r="E723" s="177" t="n">
        <v>4.24</v>
      </c>
    </row>
    <row r="724" ht="15" customHeight="1" s="95">
      <c r="A724" s="143" t="n">
        <v>44844</v>
      </c>
    </row>
    <row r="725" ht="15" customHeight="1" s="95">
      <c r="A725" s="143" t="n">
        <v>44845</v>
      </c>
      <c r="B725" s="177" t="n">
        <v>3.07</v>
      </c>
      <c r="C725" s="177" t="n">
        <v>3.67</v>
      </c>
      <c r="D725" s="177" t="n">
        <v>4.17</v>
      </c>
      <c r="E725" s="177" t="n">
        <v>4.28</v>
      </c>
    </row>
    <row r="726" ht="15" customHeight="1" s="95">
      <c r="A726" s="143" t="n">
        <v>44846</v>
      </c>
      <c r="B726" s="177" t="n">
        <v>3.07</v>
      </c>
      <c r="C726" s="177" t="n">
        <v>3.7</v>
      </c>
      <c r="D726" s="177" t="n">
        <v>4.16</v>
      </c>
      <c r="E726" s="177" t="n">
        <v>4.28</v>
      </c>
    </row>
    <row r="727" ht="15" customHeight="1" s="95">
      <c r="A727" s="143" t="n">
        <v>44847</v>
      </c>
      <c r="B727" s="177" t="n">
        <v>3.35</v>
      </c>
      <c r="C727" s="177" t="n">
        <v>3.79</v>
      </c>
      <c r="D727" s="177" t="n">
        <v>4.3</v>
      </c>
      <c r="E727" s="177" t="n">
        <v>4.46</v>
      </c>
    </row>
    <row r="728" ht="15" customHeight="1" s="95">
      <c r="A728" s="143" t="n">
        <v>44848</v>
      </c>
      <c r="B728" s="177" t="n">
        <v>3.3</v>
      </c>
      <c r="C728" s="177" t="n">
        <v>3.81</v>
      </c>
      <c r="D728" s="177" t="n">
        <v>4.31</v>
      </c>
      <c r="E728" s="177" t="n">
        <v>4.5</v>
      </c>
    </row>
    <row r="729" ht="15" customHeight="1" s="95">
      <c r="A729" s="143" t="n">
        <v>44851</v>
      </c>
      <c r="B729" s="177" t="n">
        <v>3.3</v>
      </c>
      <c r="C729" s="177" t="n">
        <v>3.97</v>
      </c>
      <c r="D729" s="177" t="n">
        <v>4.38</v>
      </c>
      <c r="E729" s="177" t="n">
        <v>4.5</v>
      </c>
    </row>
    <row r="730" ht="15" customHeight="1" s="95">
      <c r="A730" s="143" t="n">
        <v>44852</v>
      </c>
      <c r="B730" s="177" t="n">
        <v>3.25</v>
      </c>
      <c r="C730" s="177" t="n">
        <v>4.04</v>
      </c>
      <c r="D730" s="177" t="n">
        <v>4.39</v>
      </c>
      <c r="E730" s="177" t="n">
        <v>4.5</v>
      </c>
    </row>
    <row r="731" ht="15" customHeight="1" s="95">
      <c r="A731" s="143" t="n">
        <v>44853</v>
      </c>
      <c r="B731" s="177" t="n">
        <v>3.31</v>
      </c>
      <c r="C731" s="177" t="n">
        <v>4.07</v>
      </c>
      <c r="D731" s="177" t="n">
        <v>4.45</v>
      </c>
      <c r="E731" s="177" t="n">
        <v>4.6</v>
      </c>
    </row>
    <row r="732" ht="15" customHeight="1" s="95">
      <c r="A732" s="143" t="n">
        <v>44854</v>
      </c>
      <c r="B732" s="177" t="n">
        <v>3.58</v>
      </c>
      <c r="C732" s="177" t="n">
        <v>4.09</v>
      </c>
      <c r="D732" s="177" t="n">
        <v>4.48</v>
      </c>
      <c r="E732" s="177" t="n">
        <v>4.66</v>
      </c>
    </row>
    <row r="733" ht="15" customHeight="1" s="95">
      <c r="A733" s="143" t="n">
        <v>44855</v>
      </c>
      <c r="B733" s="177" t="n">
        <v>3.55</v>
      </c>
      <c r="C733" s="177" t="n">
        <v>4.09</v>
      </c>
      <c r="D733" s="177" t="n">
        <v>4.43</v>
      </c>
      <c r="E733" s="177" t="n">
        <v>4.58</v>
      </c>
    </row>
    <row r="734" ht="15" customHeight="1" s="95">
      <c r="A734" s="143" t="n">
        <v>44858</v>
      </c>
      <c r="B734" s="177" t="n">
        <v>3.57</v>
      </c>
      <c r="C734" s="177" t="n">
        <v>4.16</v>
      </c>
      <c r="D734" s="177" t="n">
        <v>4.52</v>
      </c>
      <c r="E734" s="177" t="n">
        <v>4.61</v>
      </c>
    </row>
    <row r="735" ht="15" customHeight="1" s="95">
      <c r="A735" s="143" t="n">
        <v>44859</v>
      </c>
      <c r="B735" s="177" t="n">
        <v>3.56</v>
      </c>
      <c r="C735" s="177" t="n">
        <v>4.14</v>
      </c>
      <c r="D735" s="177" t="n">
        <v>4.5</v>
      </c>
      <c r="E735" s="177" t="n">
        <v>4.6</v>
      </c>
    </row>
    <row r="736" ht="15" customHeight="1" s="95">
      <c r="A736" s="143" t="n">
        <v>44860</v>
      </c>
      <c r="B736" s="177" t="n">
        <v>3.54</v>
      </c>
      <c r="C736" s="177" t="n">
        <v>4.11</v>
      </c>
      <c r="D736" s="177" t="n">
        <v>4.47</v>
      </c>
      <c r="E736" s="177" t="n">
        <v>4.54</v>
      </c>
    </row>
    <row r="737" ht="15" customHeight="1" s="95">
      <c r="A737" s="143" t="n">
        <v>44861</v>
      </c>
      <c r="B737" s="177" t="n">
        <v>3.76</v>
      </c>
      <c r="C737" s="177" t="n">
        <v>4.13</v>
      </c>
      <c r="D737" s="177" t="n">
        <v>4.44</v>
      </c>
      <c r="E737" s="177" t="n">
        <v>4.5</v>
      </c>
    </row>
    <row r="738" ht="15" customHeight="1" s="95">
      <c r="A738" s="143" t="n">
        <v>44862</v>
      </c>
      <c r="B738" s="177" t="n">
        <v>3.75</v>
      </c>
      <c r="C738" s="177" t="n">
        <v>4.18</v>
      </c>
      <c r="D738" s="177" t="n">
        <v>4.51</v>
      </c>
      <c r="E738" s="177" t="n">
        <v>4.55</v>
      </c>
    </row>
    <row r="739" ht="15" customHeight="1" s="95">
      <c r="A739" s="143" t="n">
        <v>44865</v>
      </c>
      <c r="B739" s="177" t="n">
        <v>3.73</v>
      </c>
      <c r="C739" s="177" t="n">
        <v>4.22</v>
      </c>
      <c r="D739" s="177" t="n">
        <v>4.57</v>
      </c>
      <c r="E739" s="177" t="n">
        <v>4.66</v>
      </c>
    </row>
    <row r="740" ht="15" customHeight="1" s="95">
      <c r="A740" s="143" t="n">
        <v>44866</v>
      </c>
      <c r="B740" s="177" t="n">
        <v>3.72</v>
      </c>
      <c r="C740" s="177" t="n">
        <v>4.23</v>
      </c>
      <c r="D740" s="177" t="n">
        <v>4.58</v>
      </c>
      <c r="E740" s="177" t="n">
        <v>4.75</v>
      </c>
    </row>
    <row r="741" ht="15" customHeight="1" s="95">
      <c r="A741" s="143" t="n">
        <v>44867</v>
      </c>
      <c r="B741" s="177" t="n">
        <v>3.7</v>
      </c>
      <c r="C741" s="177" t="n">
        <v>4.22</v>
      </c>
      <c r="D741" s="177" t="n">
        <v>4.57</v>
      </c>
      <c r="E741" s="177" t="n">
        <v>4.76</v>
      </c>
    </row>
    <row r="742" ht="15" customHeight="1" s="95">
      <c r="A742" s="143" t="n">
        <v>44868</v>
      </c>
      <c r="B742" s="177" t="n">
        <v>3.75</v>
      </c>
      <c r="C742" s="177" t="n">
        <v>4.25</v>
      </c>
      <c r="D742" s="177" t="n">
        <v>4.57</v>
      </c>
      <c r="E742" s="177" t="n">
        <v>4.78</v>
      </c>
    </row>
    <row r="743" ht="15" customHeight="1" s="95">
      <c r="A743" s="143" t="n">
        <v>44869</v>
      </c>
      <c r="B743" s="177" t="n">
        <v>3.73</v>
      </c>
      <c r="C743" s="177" t="n">
        <v>4.21</v>
      </c>
      <c r="D743" s="177" t="n">
        <v>4.55</v>
      </c>
      <c r="E743" s="177" t="n">
        <v>4.76</v>
      </c>
    </row>
    <row r="744" ht="15" customHeight="1" s="95">
      <c r="A744" s="143" t="n">
        <v>44872</v>
      </c>
      <c r="B744" s="177" t="n">
        <v>3.78</v>
      </c>
      <c r="C744" s="177" t="n">
        <v>4.29</v>
      </c>
      <c r="D744" s="177" t="n">
        <v>4.62</v>
      </c>
      <c r="E744" s="177" t="n">
        <v>4.8</v>
      </c>
    </row>
    <row r="745" ht="15" customHeight="1" s="95">
      <c r="A745" s="143" t="n">
        <v>44873</v>
      </c>
      <c r="B745" s="177" t="n">
        <v>3.66</v>
      </c>
      <c r="C745" s="177" t="n">
        <v>4.28</v>
      </c>
      <c r="D745" s="177" t="n">
        <v>4.6</v>
      </c>
      <c r="E745" s="177" t="n">
        <v>4.77</v>
      </c>
    </row>
    <row r="746" ht="15" customHeight="1" s="95">
      <c r="A746" s="143" t="n">
        <v>44874</v>
      </c>
      <c r="B746" s="177" t="n">
        <v>3.65</v>
      </c>
      <c r="C746" s="177" t="n">
        <v>4.29</v>
      </c>
      <c r="D746" s="177" t="n">
        <v>4.59</v>
      </c>
      <c r="E746" s="177" t="n">
        <v>4.75</v>
      </c>
    </row>
    <row r="747" ht="15" customHeight="1" s="95">
      <c r="A747" s="143" t="n">
        <v>44875</v>
      </c>
      <c r="B747" s="177" t="n">
        <v>3.71</v>
      </c>
      <c r="C747" s="177" t="n">
        <v>4.28</v>
      </c>
      <c r="D747" s="177" t="n">
        <v>4.52</v>
      </c>
      <c r="E747" s="177" t="n">
        <v>4.59</v>
      </c>
    </row>
    <row r="748" ht="15" customHeight="1" s="95">
      <c r="A748" s="143" t="n">
        <v>44876</v>
      </c>
    </row>
    <row r="749" ht="15" customHeight="1" s="95">
      <c r="A749" s="143" t="n">
        <v>44879</v>
      </c>
      <c r="B749" s="177" t="n">
        <v>3.72</v>
      </c>
      <c r="C749" s="177" t="n">
        <v>4.34</v>
      </c>
      <c r="D749" s="177" t="n">
        <v>4.55</v>
      </c>
      <c r="E749" s="177" t="n">
        <v>4.63</v>
      </c>
    </row>
    <row r="750" ht="15" customHeight="1" s="95">
      <c r="A750" s="143" t="n">
        <v>44880</v>
      </c>
      <c r="B750" s="177" t="n">
        <v>3.77</v>
      </c>
      <c r="C750" s="177" t="n">
        <v>4.31</v>
      </c>
      <c r="D750" s="177" t="n">
        <v>4.54</v>
      </c>
      <c r="E750" s="177" t="n">
        <v>4.6</v>
      </c>
    </row>
    <row r="751" ht="15" customHeight="1" s="95">
      <c r="A751" s="143" t="n">
        <v>44881</v>
      </c>
      <c r="B751" s="177" t="n">
        <v>3.81</v>
      </c>
      <c r="C751" s="177" t="n">
        <v>4.32</v>
      </c>
      <c r="D751" s="177" t="n">
        <v>4.54</v>
      </c>
      <c r="E751" s="177" t="n">
        <v>4.62</v>
      </c>
    </row>
    <row r="752" ht="15" customHeight="1" s="95">
      <c r="A752" s="143" t="n">
        <v>44882</v>
      </c>
      <c r="B752" s="177" t="n">
        <v>3.93</v>
      </c>
      <c r="C752" s="177" t="n">
        <v>4.32</v>
      </c>
      <c r="D752" s="177" t="n">
        <v>4.57</v>
      </c>
      <c r="E752" s="177" t="n">
        <v>4.68</v>
      </c>
    </row>
    <row r="753" ht="15" customHeight="1" s="95">
      <c r="A753" s="143" t="n">
        <v>44883</v>
      </c>
      <c r="B753" s="177" t="n">
        <v>3.93</v>
      </c>
      <c r="C753" s="177" t="n">
        <v>4.34</v>
      </c>
      <c r="D753" s="177" t="n">
        <v>4.61</v>
      </c>
      <c r="E753" s="177" t="n">
        <v>4.74</v>
      </c>
    </row>
    <row r="754" ht="15" customHeight="1" s="95">
      <c r="A754" s="143" t="n">
        <v>44886</v>
      </c>
      <c r="B754" s="177" t="n">
        <v>3.97</v>
      </c>
      <c r="C754" s="177" t="n">
        <v>4.41</v>
      </c>
      <c r="D754" s="177" t="n">
        <v>4.65</v>
      </c>
      <c r="E754" s="177" t="n">
        <v>4.75</v>
      </c>
    </row>
    <row r="755" ht="15" customHeight="1" s="95">
      <c r="A755" s="143" t="n">
        <v>44887</v>
      </c>
      <c r="B755" s="177" t="n">
        <v>3.97</v>
      </c>
      <c r="C755" s="177" t="n">
        <v>4.4</v>
      </c>
      <c r="D755" s="177" t="n">
        <v>4.68</v>
      </c>
      <c r="E755" s="177" t="n">
        <v>4.79</v>
      </c>
    </row>
    <row r="756" ht="15" customHeight="1" s="95">
      <c r="A756" s="143" t="n">
        <v>44888</v>
      </c>
      <c r="B756" s="177" t="n">
        <v>4.12</v>
      </c>
      <c r="C756" s="177" t="n">
        <v>4.4</v>
      </c>
      <c r="D756" s="177" t="n">
        <v>4.67</v>
      </c>
      <c r="E756" s="177" t="n">
        <v>4.75</v>
      </c>
    </row>
    <row r="757" ht="15" customHeight="1" s="95">
      <c r="A757" s="143" t="n">
        <v>44889</v>
      </c>
    </row>
    <row r="758" ht="15" customHeight="1" s="95">
      <c r="A758" s="143" t="n">
        <v>44890</v>
      </c>
      <c r="B758" s="177" t="n">
        <v>4.16</v>
      </c>
      <c r="C758" s="177" t="n">
        <v>4.41</v>
      </c>
      <c r="D758" s="177" t="n">
        <v>4.67</v>
      </c>
      <c r="E758" s="177" t="n">
        <v>4.76</v>
      </c>
    </row>
    <row r="759" ht="15" customHeight="1" s="95">
      <c r="A759" s="143" t="n">
        <v>44893</v>
      </c>
      <c r="B759" s="177" t="n">
        <v>4.11</v>
      </c>
      <c r="C759" s="177" t="n">
        <v>4.41</v>
      </c>
      <c r="D759" s="177" t="n">
        <v>4.72</v>
      </c>
      <c r="E759" s="177" t="n">
        <v>4.76</v>
      </c>
    </row>
    <row r="760" ht="15" customHeight="1" s="95">
      <c r="A760" s="143" t="n">
        <v>44894</v>
      </c>
      <c r="B760" s="177" t="n">
        <v>4.08</v>
      </c>
      <c r="C760" s="177" t="n">
        <v>4.38</v>
      </c>
      <c r="D760" s="177" t="n">
        <v>4.72</v>
      </c>
      <c r="E760" s="177" t="n">
        <v>4.78</v>
      </c>
    </row>
    <row r="761" ht="15" customHeight="1" s="95">
      <c r="A761" s="143" t="n">
        <v>44895</v>
      </c>
      <c r="B761" s="177" t="n">
        <v>4.07</v>
      </c>
      <c r="C761" s="177" t="n">
        <v>4.37</v>
      </c>
      <c r="D761" s="177" t="n">
        <v>4.7</v>
      </c>
      <c r="E761" s="177" t="n">
        <v>4.74</v>
      </c>
    </row>
    <row r="762" ht="15" customHeight="1" s="95">
      <c r="A762" s="143" t="n">
        <v>44896</v>
      </c>
      <c r="B762" s="177" t="n">
        <v>4.04</v>
      </c>
      <c r="C762" s="177" t="n">
        <v>4.33</v>
      </c>
      <c r="D762" s="177" t="n">
        <v>4.65</v>
      </c>
      <c r="E762" s="177" t="n">
        <v>4.66</v>
      </c>
    </row>
    <row r="763" ht="15" customHeight="1" s="95">
      <c r="A763" s="143" t="n">
        <v>44897</v>
      </c>
      <c r="B763" s="177" t="n">
        <v>3.91</v>
      </c>
      <c r="C763" s="177" t="n">
        <v>4.34</v>
      </c>
      <c r="D763" s="177" t="n">
        <v>4.65</v>
      </c>
      <c r="E763" s="177" t="n">
        <v>4.69</v>
      </c>
    </row>
    <row r="764" ht="15" customHeight="1" s="95">
      <c r="A764" s="143" t="n">
        <v>44900</v>
      </c>
      <c r="B764" s="177" t="n">
        <v>3.93</v>
      </c>
      <c r="C764" s="177" t="n">
        <v>4.36</v>
      </c>
      <c r="D764" s="177" t="n">
        <v>4.73</v>
      </c>
      <c r="E764" s="177" t="n">
        <v>4.77</v>
      </c>
    </row>
    <row r="765" ht="15" customHeight="1" s="95">
      <c r="A765" s="143" t="n">
        <v>44901</v>
      </c>
      <c r="B765" s="177" t="n">
        <v>3.87</v>
      </c>
      <c r="C765" s="177" t="n">
        <v>4.37</v>
      </c>
      <c r="D765" s="177" t="n">
        <v>4.74</v>
      </c>
      <c r="E765" s="177" t="n">
        <v>4.73</v>
      </c>
    </row>
    <row r="766" ht="15" customHeight="1" s="95">
      <c r="A766" s="143" t="n">
        <v>44902</v>
      </c>
      <c r="B766" s="177" t="n">
        <v>3.79</v>
      </c>
      <c r="C766" s="177" t="n">
        <v>4.29</v>
      </c>
      <c r="D766" s="177" t="n">
        <v>4.72</v>
      </c>
      <c r="E766" s="177" t="n">
        <v>4.67</v>
      </c>
    </row>
    <row r="767" ht="15" customHeight="1" s="95">
      <c r="A767" s="143" t="n">
        <v>44903</v>
      </c>
      <c r="B767" s="177" t="n">
        <v>3.75</v>
      </c>
      <c r="C767" s="177" t="n">
        <v>4.28</v>
      </c>
      <c r="D767" s="177" t="n">
        <v>4.71</v>
      </c>
      <c r="E767" s="177" t="n">
        <v>4.71</v>
      </c>
    </row>
    <row r="768" ht="15" customHeight="1" s="95">
      <c r="A768" s="143" t="n">
        <v>44904</v>
      </c>
      <c r="B768" s="177" t="n">
        <v>3.81</v>
      </c>
      <c r="C768" s="177" t="n">
        <v>4.31</v>
      </c>
      <c r="D768" s="177" t="n">
        <v>4.72</v>
      </c>
      <c r="E768" s="177" t="n">
        <v>4.72</v>
      </c>
    </row>
    <row r="769" ht="15" customHeight="1" s="95">
      <c r="A769" s="143" t="n">
        <v>44907</v>
      </c>
      <c r="B769" s="177" t="n">
        <v>3.86</v>
      </c>
      <c r="C769" s="177" t="n">
        <v>4.38</v>
      </c>
      <c r="D769" s="177" t="n">
        <v>4.78</v>
      </c>
      <c r="E769" s="177" t="n">
        <v>4.75</v>
      </c>
    </row>
    <row r="770" ht="15" customHeight="1" s="95">
      <c r="A770" s="143" t="n">
        <v>44908</v>
      </c>
      <c r="B770" s="177" t="n">
        <v>3.89</v>
      </c>
      <c r="C770" s="177" t="n">
        <v>4.35</v>
      </c>
      <c r="D770" s="177" t="n">
        <v>4.7</v>
      </c>
      <c r="E770" s="177" t="n">
        <v>4.64</v>
      </c>
    </row>
    <row r="771" ht="15" customHeight="1" s="95">
      <c r="A771" s="143" t="n">
        <v>44909</v>
      </c>
      <c r="B771" s="177" t="n">
        <v>3.91</v>
      </c>
      <c r="C771" s="177" t="n">
        <v>4.33</v>
      </c>
      <c r="D771" s="177" t="n">
        <v>4.68</v>
      </c>
      <c r="E771" s="177" t="n">
        <v>4.64</v>
      </c>
    </row>
    <row r="772" ht="15" customHeight="1" s="95">
      <c r="A772" s="143" t="n">
        <v>44910</v>
      </c>
      <c r="B772" s="177" t="n">
        <v>3.95</v>
      </c>
      <c r="C772" s="177" t="n">
        <v>4.34</v>
      </c>
      <c r="D772" s="177" t="n">
        <v>4.7</v>
      </c>
      <c r="E772" s="177" t="n">
        <v>4.65</v>
      </c>
    </row>
    <row r="773" ht="15" customHeight="1" s="95">
      <c r="A773" s="143" t="n">
        <v>44911</v>
      </c>
      <c r="B773" s="177" t="n">
        <v>3.94</v>
      </c>
      <c r="C773" s="177" t="n">
        <v>4.31</v>
      </c>
      <c r="D773" s="177" t="n">
        <v>4.68</v>
      </c>
      <c r="E773" s="177" t="n">
        <v>4.61</v>
      </c>
    </row>
    <row r="774" ht="15" customHeight="1" s="95">
      <c r="A774" s="143" t="n">
        <v>44914</v>
      </c>
      <c r="B774" s="177" t="n">
        <v>3.95</v>
      </c>
      <c r="C774" s="177" t="n">
        <v>4.37</v>
      </c>
      <c r="D774" s="177" t="n">
        <v>4.71</v>
      </c>
      <c r="E774" s="177" t="n">
        <v>4.64</v>
      </c>
    </row>
    <row r="775" ht="15" customHeight="1" s="95">
      <c r="A775" s="143" t="n">
        <v>44915</v>
      </c>
      <c r="B775" s="177" t="n">
        <v>3.89</v>
      </c>
      <c r="C775" s="177" t="n">
        <v>4.35</v>
      </c>
      <c r="D775" s="177" t="n">
        <v>4.7</v>
      </c>
      <c r="E775" s="177" t="n">
        <v>4.64</v>
      </c>
    </row>
    <row r="776" ht="15" customHeight="1" s="95">
      <c r="A776" s="143" t="n">
        <v>44916</v>
      </c>
      <c r="B776" s="177" t="n">
        <v>3.9</v>
      </c>
      <c r="C776" s="177" t="n">
        <v>4.33</v>
      </c>
      <c r="D776" s="177" t="n">
        <v>4.67</v>
      </c>
      <c r="E776" s="177" t="n">
        <v>4.6</v>
      </c>
    </row>
    <row r="777" ht="15" customHeight="1" s="95">
      <c r="A777" s="143" t="n">
        <v>44917</v>
      </c>
      <c r="B777" s="177" t="n">
        <v>3.8</v>
      </c>
      <c r="C777" s="177" t="n">
        <v>4.35</v>
      </c>
      <c r="D777" s="177" t="n">
        <v>4.66</v>
      </c>
      <c r="E777" s="177" t="n">
        <v>4.64</v>
      </c>
    </row>
    <row r="778" ht="15" customHeight="1" s="95">
      <c r="A778" s="143" t="n">
        <v>44918</v>
      </c>
      <c r="B778" s="177" t="n">
        <v>3.8</v>
      </c>
      <c r="C778" s="177" t="n">
        <v>4.34</v>
      </c>
      <c r="D778" s="177" t="n">
        <v>4.67</v>
      </c>
      <c r="E778" s="177" t="n">
        <v>4.66</v>
      </c>
    </row>
    <row r="779" ht="15" customHeight="1" s="95">
      <c r="A779" s="143" t="n">
        <v>44921</v>
      </c>
    </row>
    <row r="780" ht="15" customHeight="1" s="95">
      <c r="A780" s="143" t="n">
        <v>44922</v>
      </c>
      <c r="B780" s="177" t="n">
        <v>3.87</v>
      </c>
      <c r="C780" s="177" t="n">
        <v>4.46</v>
      </c>
      <c r="D780" s="177" t="n">
        <v>4.76</v>
      </c>
      <c r="E780" s="177" t="n">
        <v>4.75</v>
      </c>
    </row>
    <row r="781" ht="15" customHeight="1" s="95">
      <c r="A781" s="143" t="n">
        <v>44923</v>
      </c>
      <c r="B781" s="177" t="n">
        <v>3.86</v>
      </c>
      <c r="C781" s="177" t="n">
        <v>4.46</v>
      </c>
      <c r="D781" s="177" t="n">
        <v>4.75</v>
      </c>
      <c r="E781" s="177" t="n">
        <v>4.71</v>
      </c>
    </row>
    <row r="782" ht="15" customHeight="1" s="95">
      <c r="A782" s="143" t="n">
        <v>44924</v>
      </c>
      <c r="B782" s="177" t="n">
        <v>4.04</v>
      </c>
      <c r="C782" s="177" t="n">
        <v>4.45</v>
      </c>
      <c r="D782" s="177" t="n">
        <v>4.73</v>
      </c>
      <c r="E782" s="177" t="n">
        <v>4.71</v>
      </c>
    </row>
    <row r="783" ht="15" customHeight="1" s="95">
      <c r="A783" s="143" t="n">
        <v>44925</v>
      </c>
      <c r="B783" s="177" t="n">
        <v>4.12</v>
      </c>
      <c r="C783" s="177" t="n">
        <v>4.42</v>
      </c>
      <c r="D783" s="177" t="n">
        <v>4.76</v>
      </c>
      <c r="E783" s="177" t="n">
        <v>4.73</v>
      </c>
    </row>
    <row r="784" ht="15" customHeight="1" s="95">
      <c r="A784" s="143" t="n">
        <v>44928</v>
      </c>
    </row>
    <row r="785" ht="15" customHeight="1" s="95">
      <c r="A785" s="143" t="n">
        <v>44929</v>
      </c>
      <c r="B785" s="177" t="n">
        <v>4.17</v>
      </c>
      <c r="C785" s="177" t="n">
        <v>4.53</v>
      </c>
      <c r="D785" s="177" t="n">
        <v>4.77</v>
      </c>
      <c r="E785" s="177" t="n">
        <v>4.72</v>
      </c>
    </row>
    <row r="786" ht="15" customHeight="1" s="95">
      <c r="A786" s="143" t="n">
        <v>44930</v>
      </c>
      <c r="B786" s="177" t="n">
        <v>4.2</v>
      </c>
      <c r="C786" s="177" t="n">
        <v>4.55</v>
      </c>
      <c r="D786" s="177" t="n">
        <v>4.77</v>
      </c>
      <c r="E786" s="177" t="n">
        <v>4.71</v>
      </c>
    </row>
    <row r="787" ht="15" customHeight="1" s="95">
      <c r="A787" s="143" t="n">
        <v>44931</v>
      </c>
      <c r="B787" s="177" t="n">
        <v>4.3</v>
      </c>
      <c r="C787" s="177" t="n">
        <v>4.66</v>
      </c>
      <c r="D787" s="177" t="n">
        <v>4.81</v>
      </c>
      <c r="E787" s="177" t="n">
        <v>4.78</v>
      </c>
    </row>
    <row r="788" ht="15" customHeight="1" s="95">
      <c r="A788" s="143" t="n">
        <v>44932</v>
      </c>
      <c r="B788" s="177" t="n">
        <v>4.32</v>
      </c>
      <c r="C788" s="177" t="n">
        <v>4.67</v>
      </c>
      <c r="D788" s="177" t="n">
        <v>4.79</v>
      </c>
      <c r="E788" s="177" t="n">
        <v>4.71</v>
      </c>
    </row>
    <row r="789" ht="15" customHeight="1" s="95">
      <c r="A789" s="143" t="n">
        <v>44935</v>
      </c>
      <c r="B789" s="177" t="n">
        <v>4.37</v>
      </c>
      <c r="C789" s="177" t="n">
        <v>4.7</v>
      </c>
      <c r="D789" s="177" t="n">
        <v>4.83</v>
      </c>
      <c r="E789" s="177" t="n">
        <v>4.69</v>
      </c>
    </row>
    <row r="790" ht="15" customHeight="1" s="95">
      <c r="A790" s="143" t="n">
        <v>44936</v>
      </c>
      <c r="B790" s="177" t="n">
        <v>4.41</v>
      </c>
      <c r="C790" s="177" t="n">
        <v>4.73</v>
      </c>
      <c r="D790" s="177" t="n">
        <v>4.85</v>
      </c>
      <c r="E790" s="177" t="n">
        <v>4.74</v>
      </c>
    </row>
    <row r="791" ht="15" customHeight="1" s="95">
      <c r="A791" s="143" t="n">
        <v>44937</v>
      </c>
      <c r="B791" s="177" t="n">
        <v>4.42</v>
      </c>
      <c r="C791" s="177" t="n">
        <v>4.72</v>
      </c>
      <c r="D791" s="177" t="n">
        <v>4.84</v>
      </c>
      <c r="E791" s="177" t="n">
        <v>4.73</v>
      </c>
    </row>
    <row r="792" ht="15" customHeight="1" s="95">
      <c r="A792" s="143" t="n">
        <v>44938</v>
      </c>
      <c r="B792" s="177" t="n">
        <v>4.57</v>
      </c>
      <c r="C792" s="177" t="n">
        <v>4.66</v>
      </c>
      <c r="D792" s="177" t="n">
        <v>4.76</v>
      </c>
      <c r="E792" s="177" t="n">
        <v>4.66</v>
      </c>
    </row>
    <row r="793" ht="15" customHeight="1" s="95">
      <c r="A793" s="143" t="n">
        <v>44939</v>
      </c>
      <c r="B793" s="177" t="n">
        <v>4.58</v>
      </c>
      <c r="C793" s="177" t="n">
        <v>4.67</v>
      </c>
      <c r="D793" s="177" t="n">
        <v>4.77</v>
      </c>
      <c r="E793" s="177" t="n">
        <v>4.69</v>
      </c>
    </row>
    <row r="794" ht="15" customHeight="1" s="95">
      <c r="A794" s="143" t="n">
        <v>44942</v>
      </c>
    </row>
    <row r="795" ht="15" customHeight="1" s="95">
      <c r="A795" s="143" t="n">
        <v>44943</v>
      </c>
      <c r="B795" s="177" t="n">
        <v>4.6</v>
      </c>
      <c r="C795" s="177" t="n">
        <v>4.71</v>
      </c>
      <c r="D795" s="177" t="n">
        <v>4.82</v>
      </c>
      <c r="E795" s="177" t="n">
        <v>4.67</v>
      </c>
    </row>
    <row r="796" ht="15" customHeight="1" s="95">
      <c r="A796" s="143" t="n">
        <v>44944</v>
      </c>
      <c r="B796" s="177" t="n">
        <v>4.59</v>
      </c>
      <c r="C796" s="177" t="n">
        <v>4.69</v>
      </c>
      <c r="D796" s="177" t="n">
        <v>4.79</v>
      </c>
      <c r="E796" s="177" t="n">
        <v>4.63</v>
      </c>
    </row>
    <row r="797" ht="15" customHeight="1" s="95">
      <c r="A797" s="143" t="n">
        <v>44945</v>
      </c>
      <c r="B797" s="177" t="n">
        <v>4.69</v>
      </c>
      <c r="C797" s="177" t="n">
        <v>4.71</v>
      </c>
      <c r="D797" s="177" t="n">
        <v>4.79</v>
      </c>
      <c r="E797" s="177" t="n">
        <v>4.65</v>
      </c>
    </row>
    <row r="798" ht="15" customHeight="1" s="95">
      <c r="A798" s="143" t="n">
        <v>44946</v>
      </c>
      <c r="B798" s="177" t="n">
        <v>4.69</v>
      </c>
      <c r="C798" s="177" t="n">
        <v>4.72</v>
      </c>
      <c r="D798" s="177" t="n">
        <v>4.8</v>
      </c>
      <c r="E798" s="177" t="n">
        <v>4.68</v>
      </c>
    </row>
    <row r="799" ht="15" customHeight="1" s="95">
      <c r="A799" s="143" t="n">
        <v>44949</v>
      </c>
      <c r="B799" s="177" t="n">
        <v>4.69</v>
      </c>
      <c r="C799" s="177" t="n">
        <v>4.73</v>
      </c>
      <c r="D799" s="177" t="n">
        <v>4.82</v>
      </c>
      <c r="E799" s="177" t="n">
        <v>4.7</v>
      </c>
    </row>
    <row r="800" ht="15" customHeight="1" s="95">
      <c r="A800" s="143" t="n">
        <v>44950</v>
      </c>
      <c r="B800" s="177" t="n">
        <v>4.7</v>
      </c>
      <c r="C800" s="177" t="n">
        <v>4.72</v>
      </c>
      <c r="D800" s="177" t="n">
        <v>4.84</v>
      </c>
      <c r="E800" s="177" t="n">
        <v>4.7</v>
      </c>
    </row>
    <row r="801" ht="15" customHeight="1" s="95">
      <c r="A801" s="143" t="n">
        <v>44951</v>
      </c>
      <c r="B801" s="177" t="n">
        <v>4.67</v>
      </c>
      <c r="C801" s="177" t="n">
        <v>4.72</v>
      </c>
      <c r="D801" s="177" t="n">
        <v>4.79</v>
      </c>
      <c r="E801" s="177" t="n">
        <v>4.67</v>
      </c>
    </row>
    <row r="802" ht="15" customHeight="1" s="95">
      <c r="A802" s="143" t="n">
        <v>44952</v>
      </c>
      <c r="B802" s="177" t="n">
        <v>4.61</v>
      </c>
      <c r="C802" s="177" t="n">
        <v>4.71</v>
      </c>
      <c r="D802" s="177" t="n">
        <v>4.79</v>
      </c>
      <c r="E802" s="177" t="n">
        <v>4.68</v>
      </c>
    </row>
    <row r="803" ht="15" customHeight="1" s="95">
      <c r="A803" s="143" t="n">
        <v>44953</v>
      </c>
      <c r="B803" s="177" t="n">
        <v>4.61</v>
      </c>
      <c r="C803" s="177" t="n">
        <v>4.73</v>
      </c>
      <c r="D803" s="177" t="n">
        <v>4.81</v>
      </c>
      <c r="E803" s="177" t="n">
        <v>4.68</v>
      </c>
    </row>
    <row r="804" ht="15" customHeight="1" s="95">
      <c r="A804" s="143" t="n">
        <v>44956</v>
      </c>
      <c r="B804" s="177" t="n">
        <v>4.6</v>
      </c>
      <c r="C804" s="177" t="n">
        <v>4.72</v>
      </c>
      <c r="D804" s="177" t="n">
        <v>4.82</v>
      </c>
      <c r="E804" s="177" t="n">
        <v>4.71</v>
      </c>
    </row>
    <row r="805" ht="15" customHeight="1" s="95">
      <c r="A805" s="143" t="n">
        <v>44957</v>
      </c>
      <c r="B805" s="177" t="n">
        <v>4.58</v>
      </c>
      <c r="C805" s="177" t="n">
        <v>4.7</v>
      </c>
      <c r="D805" s="177" t="n">
        <v>4.8</v>
      </c>
      <c r="E805" s="177" t="n">
        <v>4.68</v>
      </c>
    </row>
    <row r="806" ht="15" customHeight="1" s="95">
      <c r="A806" s="143" t="n">
        <v>44958</v>
      </c>
      <c r="B806" s="177" t="n">
        <v>4.59</v>
      </c>
      <c r="C806" s="177" t="n">
        <v>4.66</v>
      </c>
      <c r="D806" s="177" t="n">
        <v>4.79</v>
      </c>
      <c r="E806" s="177" t="n">
        <v>4.66</v>
      </c>
    </row>
    <row r="807" ht="15" customHeight="1" s="95">
      <c r="A807" s="143" t="n">
        <v>44959</v>
      </c>
      <c r="B807" s="177" t="n">
        <v>4.62</v>
      </c>
      <c r="C807" s="177" t="n">
        <v>4.66</v>
      </c>
      <c r="D807" s="177" t="n">
        <v>4.76</v>
      </c>
      <c r="E807" s="177" t="n">
        <v>4.64</v>
      </c>
    </row>
    <row r="808" ht="15" customHeight="1" s="95">
      <c r="A808" s="143" t="n">
        <v>44960</v>
      </c>
      <c r="B808" s="177" t="n">
        <v>4.61</v>
      </c>
      <c r="C808" s="177" t="n">
        <v>4.7</v>
      </c>
      <c r="D808" s="177" t="n">
        <v>4.82</v>
      </c>
      <c r="E808" s="177" t="n">
        <v>4.79</v>
      </c>
    </row>
    <row r="809" ht="15" customHeight="1" s="95">
      <c r="A809" s="143" t="n">
        <v>44963</v>
      </c>
      <c r="B809" s="177" t="n">
        <v>4.61</v>
      </c>
      <c r="C809" s="177" t="n">
        <v>4.71</v>
      </c>
      <c r="D809" s="177" t="n">
        <v>4.89</v>
      </c>
      <c r="E809" s="177" t="n">
        <v>4.85</v>
      </c>
    </row>
    <row r="810" ht="15" customHeight="1" s="95">
      <c r="A810" s="143" t="n">
        <v>44964</v>
      </c>
      <c r="B810" s="177" t="n">
        <v>4.62</v>
      </c>
      <c r="C810" s="177" t="n">
        <v>4.71</v>
      </c>
      <c r="D810" s="177" t="n">
        <v>4.89</v>
      </c>
      <c r="E810" s="177" t="n">
        <v>4.88</v>
      </c>
    </row>
    <row r="811" ht="15" customHeight="1" s="95">
      <c r="A811" s="143" t="n">
        <v>44965</v>
      </c>
      <c r="B811" s="177" t="n">
        <v>4.64</v>
      </c>
      <c r="C811" s="177" t="n">
        <v>4.72</v>
      </c>
      <c r="D811" s="177" t="n">
        <v>4.88</v>
      </c>
      <c r="E811" s="177" t="n">
        <v>4.87</v>
      </c>
    </row>
    <row r="812" ht="15" customHeight="1" s="95">
      <c r="A812" s="143" t="n">
        <v>44966</v>
      </c>
      <c r="B812" s="177" t="n">
        <v>4.66</v>
      </c>
      <c r="C812" s="177" t="n">
        <v>4.77</v>
      </c>
      <c r="D812" s="177" t="n">
        <v>4.9</v>
      </c>
      <c r="E812" s="177" t="n">
        <v>4.88</v>
      </c>
    </row>
    <row r="813" ht="15" customHeight="1" s="95">
      <c r="A813" s="143" t="n">
        <v>44967</v>
      </c>
      <c r="B813" s="177" t="n">
        <v>4.66</v>
      </c>
      <c r="C813" s="177" t="n">
        <v>4.79</v>
      </c>
      <c r="D813" s="177" t="n">
        <v>4.89</v>
      </c>
      <c r="E813" s="177" t="n">
        <v>4.89</v>
      </c>
    </row>
    <row r="814" ht="15" customHeight="1" s="95">
      <c r="A814" s="143" t="n">
        <v>44970</v>
      </c>
      <c r="B814" s="177" t="n">
        <v>4.66</v>
      </c>
      <c r="C814" s="177" t="n">
        <v>4.81</v>
      </c>
      <c r="D814" s="177" t="n">
        <v>4.99</v>
      </c>
      <c r="E814" s="177" t="n">
        <v>4.91</v>
      </c>
    </row>
    <row r="815" ht="15" customHeight="1" s="95">
      <c r="A815" s="143" t="n">
        <v>44971</v>
      </c>
      <c r="B815" s="177" t="n">
        <v>4.63</v>
      </c>
      <c r="C815" s="177" t="n">
        <v>4.8</v>
      </c>
      <c r="D815" s="177" t="n">
        <v>4.98</v>
      </c>
      <c r="E815" s="177" t="n">
        <v>4.99</v>
      </c>
    </row>
    <row r="816" ht="15" customHeight="1" s="95">
      <c r="A816" s="143" t="n">
        <v>44972</v>
      </c>
      <c r="B816" s="177" t="n">
        <v>4.64</v>
      </c>
      <c r="C816" s="177" t="n">
        <v>4.79</v>
      </c>
      <c r="D816" s="177" t="n">
        <v>4.97</v>
      </c>
      <c r="E816" s="177" t="n">
        <v>4.96</v>
      </c>
    </row>
    <row r="817" ht="15" customHeight="1" s="95">
      <c r="A817" s="143" t="n">
        <v>44973</v>
      </c>
      <c r="B817" s="177" t="n">
        <v>4.66</v>
      </c>
      <c r="C817" s="177" t="n">
        <v>4.84</v>
      </c>
      <c r="D817" s="177" t="n">
        <v>4.98</v>
      </c>
      <c r="E817" s="177" t="n">
        <v>4.99</v>
      </c>
    </row>
    <row r="818" ht="15" customHeight="1" s="95">
      <c r="A818" s="143" t="n">
        <v>44974</v>
      </c>
      <c r="B818" s="177" t="n">
        <v>4.64</v>
      </c>
      <c r="C818" s="177" t="n">
        <v>4.84</v>
      </c>
      <c r="D818" s="177" t="n">
        <v>4.99</v>
      </c>
      <c r="E818" s="177" t="n">
        <v>5</v>
      </c>
    </row>
    <row r="819" ht="15" customHeight="1" s="95">
      <c r="A819" s="143" t="n">
        <v>44977</v>
      </c>
    </row>
    <row r="820" ht="15" customHeight="1" s="95">
      <c r="A820" s="143" t="n">
        <v>44978</v>
      </c>
      <c r="B820" s="177" t="n">
        <v>4.63</v>
      </c>
      <c r="C820" s="177" t="n">
        <v>4.86</v>
      </c>
      <c r="D820" s="177" t="n">
        <v>5.07</v>
      </c>
      <c r="E820" s="177" t="n">
        <v>5.07</v>
      </c>
    </row>
    <row r="821" ht="15" customHeight="1" s="95">
      <c r="A821" s="143" t="n">
        <v>44979</v>
      </c>
      <c r="B821" s="177" t="n">
        <v>4.62</v>
      </c>
      <c r="C821" s="177" t="n">
        <v>4.84</v>
      </c>
      <c r="D821" s="177" t="n">
        <v>5.08</v>
      </c>
      <c r="E821" s="177" t="n">
        <v>5.07</v>
      </c>
    </row>
    <row r="822" ht="15" customHeight="1" s="95">
      <c r="A822" s="143" t="n">
        <v>44980</v>
      </c>
      <c r="B822" s="177" t="n">
        <v>4.66</v>
      </c>
      <c r="C822" s="177" t="n">
        <v>4.84</v>
      </c>
      <c r="D822" s="177" t="n">
        <v>5.05</v>
      </c>
      <c r="E822" s="177" t="n">
        <v>5.03</v>
      </c>
    </row>
    <row r="823" ht="15" customHeight="1" s="95">
      <c r="A823" s="143" t="n">
        <v>44981</v>
      </c>
      <c r="B823" s="177" t="n">
        <v>4.68</v>
      </c>
      <c r="C823" s="177" t="n">
        <v>4.86</v>
      </c>
      <c r="D823" s="177" t="n">
        <v>5.06</v>
      </c>
      <c r="E823" s="177" t="n">
        <v>5.05</v>
      </c>
    </row>
    <row r="824" ht="15" customHeight="1" s="95">
      <c r="A824" s="143" t="n">
        <v>44984</v>
      </c>
      <c r="B824" s="177" t="n">
        <v>4.67</v>
      </c>
      <c r="C824" s="177" t="n">
        <v>4.89</v>
      </c>
      <c r="D824" s="177" t="n">
        <v>5.18</v>
      </c>
      <c r="E824" s="177" t="n">
        <v>5.03</v>
      </c>
    </row>
    <row r="825" ht="15" customHeight="1" s="95">
      <c r="A825" s="143" t="n">
        <v>44985</v>
      </c>
      <c r="B825" s="177" t="n">
        <v>4.65</v>
      </c>
      <c r="C825" s="177" t="n">
        <v>4.88</v>
      </c>
      <c r="D825" s="177" t="n">
        <v>5.17</v>
      </c>
      <c r="E825" s="177" t="n">
        <v>5.02</v>
      </c>
    </row>
    <row r="826" ht="15" customHeight="1" s="95">
      <c r="A826" s="143" t="n">
        <v>44986</v>
      </c>
      <c r="B826" s="177" t="n">
        <v>4.67</v>
      </c>
      <c r="C826" s="177" t="n">
        <v>4.9</v>
      </c>
      <c r="D826" s="177" t="n">
        <v>5.2</v>
      </c>
      <c r="E826" s="177" t="n">
        <v>5.06</v>
      </c>
    </row>
    <row r="827" ht="15" customHeight="1" s="95">
      <c r="A827" s="143" t="n">
        <v>44987</v>
      </c>
      <c r="B827" s="177" t="n">
        <v>4.75</v>
      </c>
      <c r="C827" s="177" t="n">
        <v>4.91</v>
      </c>
      <c r="D827" s="177" t="n">
        <v>5.18</v>
      </c>
      <c r="E827" s="177" t="n">
        <v>5.04</v>
      </c>
    </row>
    <row r="828" ht="15" customHeight="1" s="95">
      <c r="A828" s="143" t="n">
        <v>44988</v>
      </c>
      <c r="B828" s="177" t="n">
        <v>4.75</v>
      </c>
      <c r="C828" s="177" t="n">
        <v>4.91</v>
      </c>
      <c r="D828" s="177" t="n">
        <v>5.18</v>
      </c>
      <c r="E828" s="177" t="n">
        <v>5.03</v>
      </c>
    </row>
    <row r="829" ht="15" customHeight="1" s="95">
      <c r="A829" s="143" t="n">
        <v>44991</v>
      </c>
      <c r="B829" s="177" t="n">
        <v>4.75</v>
      </c>
      <c r="C829" s="177" t="n">
        <v>4.93</v>
      </c>
      <c r="D829" s="177" t="n">
        <v>5.22</v>
      </c>
      <c r="E829" s="177" t="n">
        <v>5.05</v>
      </c>
    </row>
    <row r="830" ht="15" customHeight="1" s="95">
      <c r="A830" s="143" t="n">
        <v>44992</v>
      </c>
      <c r="B830" s="177" t="n">
        <v>4.8</v>
      </c>
      <c r="C830" s="177" t="n">
        <v>5.04</v>
      </c>
      <c r="D830" s="177" t="n">
        <v>5.32</v>
      </c>
      <c r="E830" s="177" t="n">
        <v>5.22</v>
      </c>
    </row>
    <row r="831" ht="15" customHeight="1" s="95">
      <c r="A831" s="143" t="n">
        <v>44993</v>
      </c>
      <c r="B831" s="177" t="n">
        <v>4.77</v>
      </c>
      <c r="C831" s="177" t="n">
        <v>5.06</v>
      </c>
      <c r="D831" s="177" t="n">
        <v>5.34</v>
      </c>
      <c r="E831" s="177" t="n">
        <v>5.25</v>
      </c>
    </row>
    <row r="832" ht="15" customHeight="1" s="95">
      <c r="A832" s="143" t="n">
        <v>44994</v>
      </c>
      <c r="B832" s="177" t="n">
        <v>4.83</v>
      </c>
      <c r="C832" s="177" t="n">
        <v>5.05</v>
      </c>
      <c r="D832" s="177" t="n">
        <v>5.32</v>
      </c>
      <c r="E832" s="177" t="n">
        <v>5.18</v>
      </c>
    </row>
    <row r="833" ht="15" customHeight="1" s="95">
      <c r="A833" s="143" t="n">
        <v>44995</v>
      </c>
      <c r="B833" s="177" t="n">
        <v>4.81</v>
      </c>
      <c r="C833" s="177" t="n">
        <v>5.01</v>
      </c>
      <c r="D833" s="177" t="n">
        <v>5.17</v>
      </c>
      <c r="E833" s="177" t="n">
        <v>4.9</v>
      </c>
    </row>
    <row r="834" ht="15" customHeight="1" s="95">
      <c r="A834" s="143" t="n">
        <v>44998</v>
      </c>
      <c r="B834" s="177" t="n">
        <v>4.62</v>
      </c>
      <c r="C834" s="177" t="n">
        <v>4.87</v>
      </c>
      <c r="D834" s="177" t="n">
        <v>4.81</v>
      </c>
      <c r="E834" s="177" t="n">
        <v>4.3</v>
      </c>
    </row>
    <row r="835" ht="15" customHeight="1" s="95">
      <c r="A835" s="143" t="n">
        <v>44999</v>
      </c>
      <c r="B835" s="177" t="n">
        <v>4.47</v>
      </c>
      <c r="C835" s="177" t="n">
        <v>4.88</v>
      </c>
      <c r="D835" s="177" t="n">
        <v>4.93</v>
      </c>
      <c r="E835" s="177" t="n">
        <v>4.45</v>
      </c>
    </row>
    <row r="836" ht="15" customHeight="1" s="95">
      <c r="A836" s="143" t="n">
        <v>45000</v>
      </c>
      <c r="B836" s="177" t="n">
        <v>4.23</v>
      </c>
      <c r="C836" s="177" t="n">
        <v>4.75</v>
      </c>
      <c r="D836" s="177" t="n">
        <v>4.73</v>
      </c>
      <c r="E836" s="177" t="n">
        <v>4.19</v>
      </c>
    </row>
    <row r="837" ht="15" customHeight="1" s="95">
      <c r="A837" s="143" t="n">
        <v>45001</v>
      </c>
      <c r="B837" s="177" t="n">
        <v>4.22</v>
      </c>
      <c r="C837" s="177" t="n">
        <v>4.74</v>
      </c>
      <c r="D837" s="177" t="n">
        <v>4.94</v>
      </c>
      <c r="E837" s="177" t="n">
        <v>4.49</v>
      </c>
    </row>
    <row r="838" ht="15" customHeight="1" s="95">
      <c r="A838" s="143" t="n">
        <v>45002</v>
      </c>
      <c r="B838" s="177" t="n">
        <v>4.31</v>
      </c>
      <c r="C838" s="177" t="n">
        <v>4.52</v>
      </c>
      <c r="D838" s="177" t="n">
        <v>4.71</v>
      </c>
      <c r="E838" s="177" t="n">
        <v>4.26</v>
      </c>
    </row>
    <row r="839" ht="15" customHeight="1" s="95">
      <c r="A839" s="143" t="n">
        <v>45005</v>
      </c>
      <c r="B839" s="177" t="n">
        <v>4.34</v>
      </c>
      <c r="C839" s="177" t="n">
        <v>4.81</v>
      </c>
      <c r="D839" s="177" t="n">
        <v>4.8</v>
      </c>
      <c r="E839" s="177" t="n">
        <v>4.34</v>
      </c>
    </row>
    <row r="840" ht="15" customHeight="1" s="95">
      <c r="A840" s="143" t="n">
        <v>45006</v>
      </c>
      <c r="B840" s="177" t="n">
        <v>4.07</v>
      </c>
      <c r="C840" s="177" t="n">
        <v>4.78</v>
      </c>
      <c r="D840" s="177" t="n">
        <v>4.96</v>
      </c>
      <c r="E840" s="177" t="n">
        <v>4.68</v>
      </c>
    </row>
    <row r="841" ht="15" customHeight="1" s="95">
      <c r="A841" s="143" t="n">
        <v>45007</v>
      </c>
      <c r="B841" s="177" t="n">
        <v>4.16</v>
      </c>
      <c r="C841" s="177" t="n">
        <v>4.79</v>
      </c>
      <c r="D841" s="177" t="n">
        <v>4.95</v>
      </c>
      <c r="E841" s="177" t="n">
        <v>4.56</v>
      </c>
    </row>
    <row r="842" ht="15" customHeight="1" s="95">
      <c r="A842" s="143" t="n">
        <v>45008</v>
      </c>
      <c r="B842" s="177" t="n">
        <v>4.26</v>
      </c>
      <c r="C842" s="177" t="n">
        <v>4.73</v>
      </c>
      <c r="D842" s="177" t="n">
        <v>4.8</v>
      </c>
      <c r="E842" s="177" t="n">
        <v>4.38</v>
      </c>
    </row>
    <row r="843" ht="15" customHeight="1" s="95">
      <c r="A843" s="143" t="n">
        <v>45009</v>
      </c>
      <c r="B843" s="177" t="n">
        <v>4.28</v>
      </c>
      <c r="C843" s="177" t="n">
        <v>4.74</v>
      </c>
      <c r="D843" s="177" t="n">
        <v>4.76</v>
      </c>
      <c r="E843" s="177" t="n">
        <v>4.32</v>
      </c>
    </row>
    <row r="844" ht="15" customHeight="1" s="95">
      <c r="A844" s="143" t="n">
        <v>45012</v>
      </c>
      <c r="B844" s="177" t="n">
        <v>4.22</v>
      </c>
      <c r="C844" s="177" t="n">
        <v>4.91</v>
      </c>
      <c r="D844" s="177" t="n">
        <v>4.86</v>
      </c>
      <c r="E844" s="177" t="n">
        <v>4.51</v>
      </c>
    </row>
    <row r="845" ht="15" customHeight="1" s="95">
      <c r="A845" s="143" t="n">
        <v>45013</v>
      </c>
      <c r="B845" s="177" t="n">
        <v>4.24</v>
      </c>
      <c r="C845" s="177" t="n">
        <v>4.8</v>
      </c>
      <c r="D845" s="177" t="n">
        <v>4.9</v>
      </c>
      <c r="E845" s="177" t="n">
        <v>4.55</v>
      </c>
    </row>
    <row r="846" ht="15" customHeight="1" s="95">
      <c r="A846" s="143" t="n">
        <v>45014</v>
      </c>
      <c r="B846" s="177" t="n">
        <v>4.34</v>
      </c>
      <c r="C846" s="177" t="n">
        <v>4.8</v>
      </c>
      <c r="D846" s="177" t="n">
        <v>4.92</v>
      </c>
      <c r="E846" s="177" t="n">
        <v>4.59</v>
      </c>
    </row>
    <row r="847" ht="15" customHeight="1" s="95">
      <c r="A847" s="143" t="n">
        <v>45015</v>
      </c>
      <c r="B847" s="177" t="n">
        <v>4.74</v>
      </c>
      <c r="C847" s="177" t="n">
        <v>4.97</v>
      </c>
      <c r="D847" s="177" t="n">
        <v>4.92</v>
      </c>
      <c r="E847" s="177" t="n">
        <v>4.63</v>
      </c>
    </row>
    <row r="848" ht="15" customHeight="1" s="95">
      <c r="A848" s="143" t="n">
        <v>45016</v>
      </c>
      <c r="B848" s="177" t="n">
        <v>4.74</v>
      </c>
      <c r="C848" s="177" t="n">
        <v>4.85</v>
      </c>
      <c r="D848" s="177" t="n">
        <v>4.94</v>
      </c>
      <c r="E848" s="177" t="n">
        <v>4.64</v>
      </c>
    </row>
    <row r="849" ht="15" customHeight="1" s="95">
      <c r="A849" s="143" t="n">
        <v>45019</v>
      </c>
      <c r="B849" s="177" t="n">
        <v>4.7</v>
      </c>
      <c r="C849" s="177" t="n">
        <v>4.9</v>
      </c>
      <c r="D849" s="177" t="n">
        <v>4.88</v>
      </c>
      <c r="E849" s="177" t="n">
        <v>4.6</v>
      </c>
    </row>
    <row r="850" ht="15" customHeight="1" s="95">
      <c r="A850" s="143" t="n">
        <v>45020</v>
      </c>
      <c r="B850" s="177" t="n">
        <v>4.66</v>
      </c>
      <c r="C850" s="177" t="n">
        <v>4.88</v>
      </c>
      <c r="D850" s="177" t="n">
        <v>4.8</v>
      </c>
      <c r="E850" s="177" t="n">
        <v>4.5</v>
      </c>
    </row>
    <row r="851" ht="15" customHeight="1" s="95">
      <c r="A851" s="143" t="n">
        <v>45021</v>
      </c>
      <c r="B851" s="177" t="n">
        <v>4.62</v>
      </c>
      <c r="C851" s="177" t="n">
        <v>4.86</v>
      </c>
      <c r="D851" s="177" t="n">
        <v>4.82</v>
      </c>
      <c r="E851" s="177" t="n">
        <v>4.43</v>
      </c>
    </row>
    <row r="852" ht="15" customHeight="1" s="95">
      <c r="A852" s="143" t="n">
        <v>45022</v>
      </c>
      <c r="B852" s="177" t="n">
        <v>4.57</v>
      </c>
      <c r="C852" s="177" t="n">
        <v>4.91</v>
      </c>
      <c r="D852" s="177" t="n">
        <v>4.93</v>
      </c>
      <c r="E852" s="177" t="n">
        <v>4.51</v>
      </c>
    </row>
    <row r="853" ht="15" customHeight="1" s="95">
      <c r="A853" s="143" t="n">
        <v>45023</v>
      </c>
      <c r="B853" s="177" t="n">
        <v>4.56</v>
      </c>
      <c r="C853" s="177" t="n">
        <v>4.95</v>
      </c>
      <c r="D853" s="177" t="n">
        <v>4.95</v>
      </c>
      <c r="E853" s="177" t="n">
        <v>4.61</v>
      </c>
    </row>
    <row r="854" ht="15" customHeight="1" s="95">
      <c r="A854" s="143" t="n">
        <v>45026</v>
      </c>
      <c r="B854" s="177" t="n">
        <v>4.53</v>
      </c>
      <c r="C854" s="177" t="n">
        <v>5.08</v>
      </c>
      <c r="D854" s="177" t="n">
        <v>4.98</v>
      </c>
      <c r="E854" s="177" t="n">
        <v>4.65</v>
      </c>
    </row>
    <row r="855" ht="15" customHeight="1" s="95">
      <c r="A855" s="143" t="n">
        <v>45027</v>
      </c>
      <c r="B855" s="177" t="n">
        <v>4.27</v>
      </c>
      <c r="C855" s="177" t="n">
        <v>5.04</v>
      </c>
      <c r="D855" s="177" t="n">
        <v>4.99</v>
      </c>
      <c r="E855" s="177" t="n">
        <v>4.67</v>
      </c>
    </row>
    <row r="856" ht="15" customHeight="1" s="95">
      <c r="A856" s="143" t="n">
        <v>45028</v>
      </c>
      <c r="B856" s="177" t="n">
        <v>4.27</v>
      </c>
      <c r="C856" s="177" t="n">
        <v>5.02</v>
      </c>
      <c r="D856" s="177" t="n">
        <v>4.98</v>
      </c>
      <c r="E856" s="177" t="n">
        <v>4.64</v>
      </c>
    </row>
    <row r="857" ht="15" customHeight="1" s="95">
      <c r="A857" s="143" t="n">
        <v>45029</v>
      </c>
      <c r="B857" s="177" t="n">
        <v>4.08</v>
      </c>
      <c r="C857" s="177" t="n">
        <v>5.1</v>
      </c>
      <c r="D857" s="177" t="n">
        <v>4.95</v>
      </c>
      <c r="E857" s="177" t="n">
        <v>4.66</v>
      </c>
    </row>
    <row r="858" ht="15" customHeight="1" s="95">
      <c r="A858" s="143" t="n">
        <v>45030</v>
      </c>
      <c r="B858" s="177" t="n">
        <v>4.29</v>
      </c>
      <c r="C858" s="177" t="n">
        <v>5.14</v>
      </c>
      <c r="D858" s="177" t="n">
        <v>5.03</v>
      </c>
      <c r="E858" s="177" t="n">
        <v>4.77</v>
      </c>
    </row>
    <row r="859" ht="15" customHeight="1" s="95">
      <c r="A859" s="143" t="n">
        <v>45033</v>
      </c>
      <c r="B859" s="177" t="n">
        <v>4.09</v>
      </c>
      <c r="C859" s="177" t="n">
        <v>5.21</v>
      </c>
      <c r="D859" s="177" t="n">
        <v>5.07</v>
      </c>
      <c r="E859" s="177" t="n">
        <v>4.8</v>
      </c>
    </row>
    <row r="860" ht="15" customHeight="1" s="95">
      <c r="A860" s="143" t="n">
        <v>45034</v>
      </c>
      <c r="B860" s="177" t="n">
        <v>3.89</v>
      </c>
      <c r="C860" s="177" t="n">
        <v>5.2</v>
      </c>
      <c r="D860" s="177" t="n">
        <v>5.09</v>
      </c>
      <c r="E860" s="177" t="n">
        <v>4.81</v>
      </c>
    </row>
    <row r="861" ht="15" customHeight="1" s="95">
      <c r="A861" s="143" t="n">
        <v>45035</v>
      </c>
      <c r="B861" s="177" t="n">
        <v>3.95</v>
      </c>
      <c r="C861" s="177" t="n">
        <v>5.16</v>
      </c>
      <c r="D861" s="177" t="n">
        <v>5.1</v>
      </c>
      <c r="E861" s="177" t="n">
        <v>4.84</v>
      </c>
    </row>
    <row r="862" ht="15" customHeight="1" s="95">
      <c r="A862" s="143" t="n">
        <v>45036</v>
      </c>
      <c r="B862" s="177" t="n">
        <v>3.4</v>
      </c>
      <c r="C862" s="177" t="n">
        <v>5.12</v>
      </c>
      <c r="D862" s="177" t="n">
        <v>5.06</v>
      </c>
      <c r="E862" s="177" t="n">
        <v>4.77</v>
      </c>
    </row>
    <row r="863" ht="15" customHeight="1" s="95">
      <c r="A863" s="143" t="n">
        <v>45037</v>
      </c>
      <c r="B863" s="177" t="n">
        <v>3.36</v>
      </c>
      <c r="C863" s="177" t="n">
        <v>5.14</v>
      </c>
      <c r="D863" s="177" t="n">
        <v>5.07</v>
      </c>
      <c r="E863" s="177" t="n">
        <v>4.78</v>
      </c>
    </row>
    <row r="864" ht="15" customHeight="1" s="95">
      <c r="A864" s="143" t="n">
        <v>45040</v>
      </c>
      <c r="B864" s="177" t="n">
        <v>3.54</v>
      </c>
      <c r="C864" s="177" t="n">
        <v>5.2</v>
      </c>
      <c r="D864" s="177" t="n">
        <v>5.06</v>
      </c>
      <c r="E864" s="177" t="n">
        <v>4.76</v>
      </c>
    </row>
    <row r="865" ht="15" customHeight="1" s="95">
      <c r="A865" s="143" t="n">
        <v>45041</v>
      </c>
      <c r="B865" s="177" t="n">
        <v>4.11</v>
      </c>
      <c r="C865" s="177" t="n">
        <v>5.12</v>
      </c>
      <c r="D865" s="177" t="n">
        <v>4.98</v>
      </c>
      <c r="E865" s="177" t="n">
        <v>4.6</v>
      </c>
    </row>
    <row r="866" ht="15" customHeight="1" s="95">
      <c r="A866" s="143" t="n">
        <v>45042</v>
      </c>
      <c r="B866" s="177" t="n">
        <v>3.91</v>
      </c>
      <c r="C866" s="177" t="n">
        <v>5.16</v>
      </c>
      <c r="D866" s="177" t="n">
        <v>5</v>
      </c>
      <c r="E866" s="177" t="n">
        <v>4.64</v>
      </c>
    </row>
    <row r="867" ht="15" customHeight="1" s="95">
      <c r="A867" s="143" t="n">
        <v>45043</v>
      </c>
      <c r="B867" s="177" t="n">
        <v>4.27</v>
      </c>
      <c r="C867" s="177" t="n">
        <v>5.18</v>
      </c>
      <c r="D867" s="177" t="n">
        <v>5.05</v>
      </c>
      <c r="E867" s="177" t="n">
        <v>4.78</v>
      </c>
    </row>
    <row r="868" ht="15" customHeight="1" s="95">
      <c r="A868" s="143" t="n">
        <v>45044</v>
      </c>
      <c r="B868" s="177" t="n">
        <v>4.35</v>
      </c>
      <c r="C868" s="177" t="n">
        <v>5.1</v>
      </c>
      <c r="D868" s="177" t="n">
        <v>5.06</v>
      </c>
      <c r="E868" s="177" t="n">
        <v>4.8</v>
      </c>
    </row>
    <row r="869" ht="15" customHeight="1" s="95">
      <c r="A869" s="143" t="n">
        <v>45047</v>
      </c>
      <c r="B869" s="177" t="n">
        <v>4.49</v>
      </c>
      <c r="C869" s="177" t="n">
        <v>5.27</v>
      </c>
      <c r="D869" s="177" t="n">
        <v>5.14</v>
      </c>
      <c r="E869" s="177" t="n">
        <v>4.86</v>
      </c>
    </row>
    <row r="870" ht="15" customHeight="1" s="95">
      <c r="A870" s="143" t="n">
        <v>45048</v>
      </c>
      <c r="B870" s="177" t="n">
        <v>4.56</v>
      </c>
      <c r="C870" s="177" t="n">
        <v>5.24</v>
      </c>
      <c r="D870" s="177" t="n">
        <v>5.06</v>
      </c>
      <c r="E870" s="177" t="n">
        <v>4.74</v>
      </c>
    </row>
    <row r="871" ht="15" customHeight="1" s="95">
      <c r="A871" s="143" t="n">
        <v>45049</v>
      </c>
      <c r="B871" s="177" t="n">
        <v>4.7</v>
      </c>
      <c r="C871" s="177" t="n">
        <v>5.26</v>
      </c>
      <c r="D871" s="177" t="n">
        <v>5.08</v>
      </c>
      <c r="E871" s="177" t="n">
        <v>4.7</v>
      </c>
    </row>
    <row r="872" ht="15" customHeight="1" s="95">
      <c r="A872" s="143" t="n">
        <v>45050</v>
      </c>
      <c r="B872" s="177" t="n">
        <v>5.76</v>
      </c>
      <c r="C872" s="177" t="n">
        <v>5.26</v>
      </c>
      <c r="D872" s="177" t="n">
        <v>5.04</v>
      </c>
      <c r="E872" s="177" t="n">
        <v>4.59</v>
      </c>
    </row>
    <row r="873" ht="15" customHeight="1" s="95">
      <c r="A873" s="143" t="n">
        <v>45051</v>
      </c>
      <c r="B873" s="177" t="n">
        <v>5.59</v>
      </c>
      <c r="C873" s="177" t="n">
        <v>5.26</v>
      </c>
      <c r="D873" s="177" t="n">
        <v>5.13</v>
      </c>
      <c r="E873" s="177" t="n">
        <v>4.73</v>
      </c>
    </row>
    <row r="874" ht="15" customHeight="1" s="95">
      <c r="A874" s="143" t="n">
        <v>45054</v>
      </c>
      <c r="B874" s="177" t="n">
        <v>5.51</v>
      </c>
      <c r="C874" s="177" t="n">
        <v>5.31</v>
      </c>
      <c r="D874" s="177" t="n">
        <v>5.14</v>
      </c>
      <c r="E874" s="177" t="n">
        <v>4.79</v>
      </c>
    </row>
    <row r="875" ht="15" customHeight="1" s="95">
      <c r="A875" s="143" t="n">
        <v>45055</v>
      </c>
      <c r="B875" s="177" t="n">
        <v>5.56</v>
      </c>
      <c r="C875" s="177" t="n">
        <v>5.29</v>
      </c>
      <c r="D875" s="177" t="n">
        <v>5.18</v>
      </c>
      <c r="E875" s="177" t="n">
        <v>4.81</v>
      </c>
    </row>
    <row r="876" ht="15" customHeight="1" s="95">
      <c r="A876" s="143" t="n">
        <v>45056</v>
      </c>
      <c r="B876" s="177" t="n">
        <v>5.5</v>
      </c>
      <c r="C876" s="177" t="n">
        <v>5.24</v>
      </c>
      <c r="D876" s="177" t="n">
        <v>5.13</v>
      </c>
      <c r="E876" s="177" t="n">
        <v>4.7</v>
      </c>
    </row>
    <row r="877" ht="15" customHeight="1" s="95">
      <c r="A877" s="143" t="n">
        <v>45057</v>
      </c>
      <c r="B877" s="177" t="n">
        <v>5.81</v>
      </c>
      <c r="C877" s="177" t="n">
        <v>5.2</v>
      </c>
      <c r="D877" s="177" t="n">
        <v>5.14</v>
      </c>
      <c r="E877" s="177" t="n">
        <v>4.7</v>
      </c>
    </row>
    <row r="878" ht="15" customHeight="1" s="95">
      <c r="A878" s="143" t="n">
        <v>45058</v>
      </c>
      <c r="B878" s="177" t="n">
        <v>5.79</v>
      </c>
      <c r="C878" s="177" t="n">
        <v>5.25</v>
      </c>
      <c r="D878" s="177" t="n">
        <v>5.16</v>
      </c>
      <c r="E878" s="177" t="n">
        <v>4.75</v>
      </c>
    </row>
    <row r="879" ht="15" customHeight="1" s="95">
      <c r="A879" s="143" t="n">
        <v>45061</v>
      </c>
      <c r="B879" s="177" t="n">
        <v>5.64</v>
      </c>
      <c r="C879" s="177" t="n">
        <v>5.21</v>
      </c>
      <c r="D879" s="177" t="n">
        <v>5.24</v>
      </c>
      <c r="E879" s="177" t="n">
        <v>4.73</v>
      </c>
    </row>
    <row r="880" ht="15" customHeight="1" s="95">
      <c r="A880" s="143" t="n">
        <v>45062</v>
      </c>
      <c r="B880" s="177" t="n">
        <v>5.58</v>
      </c>
      <c r="C880" s="177" t="n">
        <v>5.23</v>
      </c>
      <c r="D880" s="177" t="n">
        <v>5.26</v>
      </c>
      <c r="E880" s="177" t="n">
        <v>4.88</v>
      </c>
    </row>
    <row r="881" ht="15" customHeight="1" s="95">
      <c r="A881" s="143" t="n">
        <v>45063</v>
      </c>
      <c r="B881" s="177" t="n">
        <v>5.5</v>
      </c>
      <c r="C881" s="177" t="n">
        <v>5.26</v>
      </c>
      <c r="D881" s="177" t="n">
        <v>5.3</v>
      </c>
      <c r="E881" s="177" t="n">
        <v>4.92</v>
      </c>
    </row>
    <row r="882" ht="15" customHeight="1" s="95">
      <c r="A882" s="143" t="n">
        <v>45064</v>
      </c>
      <c r="B882" s="177" t="n">
        <v>5.59</v>
      </c>
      <c r="C882" s="177" t="n">
        <v>5.31</v>
      </c>
      <c r="D882" s="177" t="n">
        <v>5.38</v>
      </c>
      <c r="E882" s="177" t="n">
        <v>5.02</v>
      </c>
    </row>
    <row r="883" ht="15" customHeight="1" s="95">
      <c r="A883" s="143" t="n">
        <v>45065</v>
      </c>
      <c r="B883" s="177" t="n">
        <v>5.62</v>
      </c>
      <c r="C883" s="177" t="n">
        <v>5.29</v>
      </c>
      <c r="D883" s="177" t="n">
        <v>5.36</v>
      </c>
      <c r="E883" s="177" t="n">
        <v>5.02</v>
      </c>
    </row>
    <row r="884" ht="15" customHeight="1" s="95">
      <c r="A884" s="143" t="n">
        <v>45068</v>
      </c>
      <c r="B884" s="177" t="n">
        <v>5.69</v>
      </c>
      <c r="C884" s="177" t="n">
        <v>5.4</v>
      </c>
      <c r="D884" s="177" t="n">
        <v>5.43</v>
      </c>
      <c r="E884" s="177" t="n">
        <v>5.07</v>
      </c>
    </row>
    <row r="885" ht="15" customHeight="1" s="95">
      <c r="A885" s="143" t="n">
        <v>45069</v>
      </c>
      <c r="B885" s="177" t="n">
        <v>5.67</v>
      </c>
      <c r="C885" s="177" t="n">
        <v>5.34</v>
      </c>
      <c r="D885" s="177" t="n">
        <v>5.39</v>
      </c>
      <c r="E885" s="177" t="n">
        <v>5.06</v>
      </c>
    </row>
    <row r="886" ht="15" customHeight="1" s="95">
      <c r="A886" s="143" t="n">
        <v>45070</v>
      </c>
      <c r="B886" s="177" t="n">
        <v>5.73</v>
      </c>
      <c r="C886" s="177" t="n">
        <v>5.37</v>
      </c>
      <c r="D886" s="177" t="n">
        <v>5.42</v>
      </c>
      <c r="E886" s="177" t="n">
        <v>5.12</v>
      </c>
    </row>
    <row r="887" ht="15" customHeight="1" s="95">
      <c r="A887" s="143" t="n">
        <v>45071</v>
      </c>
      <c r="B887" s="177" t="n">
        <v>5.95</v>
      </c>
      <c r="C887" s="177" t="n">
        <v>5.38</v>
      </c>
      <c r="D887" s="177" t="n">
        <v>5.46</v>
      </c>
      <c r="E887" s="177" t="n">
        <v>5.24</v>
      </c>
    </row>
    <row r="888" ht="15" customHeight="1" s="95">
      <c r="A888" s="143" t="n">
        <v>45072</v>
      </c>
      <c r="B888" s="177" t="n">
        <v>6.02</v>
      </c>
      <c r="C888" s="177" t="n">
        <v>5.34</v>
      </c>
      <c r="D888" s="177" t="n">
        <v>5.44</v>
      </c>
      <c r="E888" s="177" t="n">
        <v>5.25</v>
      </c>
    </row>
    <row r="889" ht="15" customHeight="1" s="95">
      <c r="A889" s="143" t="n">
        <v>45075</v>
      </c>
    </row>
    <row r="890" ht="15" customHeight="1" s="95">
      <c r="A890" s="143" t="n">
        <v>45076</v>
      </c>
      <c r="B890" s="177" t="n">
        <v>5.31</v>
      </c>
      <c r="C890" s="177" t="n">
        <v>5.55</v>
      </c>
      <c r="D890" s="177" t="n">
        <v>5.52</v>
      </c>
      <c r="E890" s="177" t="n">
        <v>5.22</v>
      </c>
    </row>
    <row r="891" ht="15" customHeight="1" s="95">
      <c r="A891" s="143" t="n">
        <v>45077</v>
      </c>
      <c r="B891" s="177" t="n">
        <v>5.28</v>
      </c>
      <c r="C891" s="177" t="n">
        <v>5.52</v>
      </c>
      <c r="D891" s="177" t="n">
        <v>5.46</v>
      </c>
      <c r="E891" s="177" t="n">
        <v>5.18</v>
      </c>
    </row>
    <row r="892" ht="15" customHeight="1" s="95">
      <c r="A892" s="143" t="n">
        <v>45078</v>
      </c>
      <c r="B892" s="177" t="n">
        <v>5.3</v>
      </c>
      <c r="C892" s="177" t="n">
        <v>5.5</v>
      </c>
      <c r="D892" s="177" t="n">
        <v>5.44</v>
      </c>
      <c r="E892" s="177" t="n">
        <v>5.11</v>
      </c>
    </row>
    <row r="893" ht="15" customHeight="1" s="95">
      <c r="A893" s="143" t="n">
        <v>45079</v>
      </c>
      <c r="B893" s="177" t="n">
        <v>5.28</v>
      </c>
      <c r="C893" s="177" t="n">
        <v>5.5</v>
      </c>
      <c r="D893" s="177" t="n">
        <v>5.5</v>
      </c>
      <c r="E893" s="177" t="n">
        <v>5.22</v>
      </c>
    </row>
    <row r="894" ht="15" customHeight="1" s="95">
      <c r="A894" s="143" t="n">
        <v>45082</v>
      </c>
      <c r="B894" s="177" t="n">
        <v>5.25</v>
      </c>
      <c r="C894" s="177" t="n">
        <v>5.46</v>
      </c>
      <c r="D894" s="177" t="n">
        <v>5.46</v>
      </c>
      <c r="E894" s="177" t="n">
        <v>5.17</v>
      </c>
    </row>
    <row r="895" ht="15" customHeight="1" s="95">
      <c r="A895" s="143" t="n">
        <v>45083</v>
      </c>
      <c r="B895" s="177" t="n">
        <v>5.15</v>
      </c>
      <c r="C895" s="177" t="n">
        <v>5.44</v>
      </c>
      <c r="D895" s="177" t="n">
        <v>5.44</v>
      </c>
      <c r="E895" s="177" t="n">
        <v>5.2</v>
      </c>
    </row>
    <row r="896" ht="15" customHeight="1" s="95">
      <c r="A896" s="143" t="n">
        <v>45084</v>
      </c>
      <c r="B896" s="177" t="n">
        <v>5.07</v>
      </c>
      <c r="C896" s="177" t="n">
        <v>5.42</v>
      </c>
      <c r="D896" s="177" t="n">
        <v>5.43</v>
      </c>
      <c r="E896" s="177" t="n">
        <v>5.16</v>
      </c>
    </row>
    <row r="897" ht="15" customHeight="1" s="95">
      <c r="A897" s="143" t="n">
        <v>45085</v>
      </c>
      <c r="B897" s="177" t="n">
        <v>5.25</v>
      </c>
      <c r="C897" s="177" t="n">
        <v>5.38</v>
      </c>
      <c r="D897" s="177" t="n">
        <v>5.39</v>
      </c>
      <c r="E897" s="177" t="n">
        <v>5.12</v>
      </c>
    </row>
    <row r="898" ht="15" customHeight="1" s="95">
      <c r="A898" s="143" t="n">
        <v>45086</v>
      </c>
      <c r="B898" s="177" t="n">
        <v>5.25</v>
      </c>
      <c r="C898" s="177" t="n">
        <v>5.37</v>
      </c>
      <c r="D898" s="177" t="n">
        <v>5.39</v>
      </c>
      <c r="E898" s="177" t="n">
        <v>5.17</v>
      </c>
    </row>
    <row r="899" ht="15" customHeight="1" s="95">
      <c r="A899" s="143" t="n">
        <v>45089</v>
      </c>
      <c r="B899" s="177" t="n">
        <v>5.24</v>
      </c>
      <c r="C899" s="177" t="n">
        <v>5.4</v>
      </c>
      <c r="D899" s="177" t="n">
        <v>5.38</v>
      </c>
      <c r="E899" s="177" t="n">
        <v>5.18</v>
      </c>
    </row>
    <row r="900" ht="15" customHeight="1" s="95">
      <c r="A900" s="143" t="n">
        <v>45090</v>
      </c>
      <c r="B900" s="177" t="n">
        <v>5.19</v>
      </c>
      <c r="C900" s="177" t="n">
        <v>5.36</v>
      </c>
      <c r="D900" s="177" t="n">
        <v>5.36</v>
      </c>
      <c r="E900" s="177" t="n">
        <v>5.26</v>
      </c>
    </row>
    <row r="901" ht="15" customHeight="1" s="95">
      <c r="A901" s="143" t="n">
        <v>45091</v>
      </c>
      <c r="B901" s="177" t="n">
        <v>5.18</v>
      </c>
      <c r="C901" s="177" t="n">
        <v>5.36</v>
      </c>
      <c r="D901" s="177" t="n">
        <v>5.36</v>
      </c>
      <c r="E901" s="177" t="n">
        <v>5.27</v>
      </c>
    </row>
    <row r="902" ht="15" customHeight="1" s="95">
      <c r="A902" s="143" t="n">
        <v>45092</v>
      </c>
      <c r="B902" s="177" t="n">
        <v>5.18</v>
      </c>
      <c r="C902" s="177" t="n">
        <v>5.33</v>
      </c>
      <c r="D902" s="177" t="n">
        <v>5.33</v>
      </c>
      <c r="E902" s="177" t="n">
        <v>5.21</v>
      </c>
    </row>
    <row r="903" ht="15" customHeight="1" s="95">
      <c r="A903" s="143" t="n">
        <v>45093</v>
      </c>
      <c r="B903" s="177" t="n">
        <v>5.18</v>
      </c>
      <c r="C903" s="177" t="n">
        <v>5.34</v>
      </c>
      <c r="D903" s="177" t="n">
        <v>5.35</v>
      </c>
      <c r="E903" s="177" t="n">
        <v>5.24</v>
      </c>
    </row>
    <row r="904" ht="15" customHeight="1" s="95">
      <c r="A904" s="143" t="n">
        <v>45096</v>
      </c>
    </row>
    <row r="905" ht="15" customHeight="1" s="95">
      <c r="A905" s="143" t="n">
        <v>45097</v>
      </c>
      <c r="B905" s="177" t="n">
        <v>5.17</v>
      </c>
      <c r="C905" s="177" t="n">
        <v>5.39</v>
      </c>
      <c r="D905" s="177" t="n">
        <v>5.41</v>
      </c>
      <c r="E905" s="177" t="n">
        <v>5.24</v>
      </c>
    </row>
    <row r="906" ht="15" customHeight="1" s="95">
      <c r="A906" s="143" t="n">
        <v>45098</v>
      </c>
      <c r="B906" s="177" t="n">
        <v>5.16</v>
      </c>
      <c r="C906" s="177" t="n">
        <v>5.4</v>
      </c>
      <c r="D906" s="177" t="n">
        <v>5.41</v>
      </c>
      <c r="E906" s="177" t="n">
        <v>5.25</v>
      </c>
    </row>
    <row r="907" ht="15" customHeight="1" s="95">
      <c r="A907" s="143" t="n">
        <v>45099</v>
      </c>
      <c r="B907" s="177" t="n">
        <v>5.18</v>
      </c>
      <c r="C907" s="177" t="n">
        <v>5.4</v>
      </c>
      <c r="D907" s="177" t="n">
        <v>5.41</v>
      </c>
      <c r="E907" s="177" t="n">
        <v>5.29</v>
      </c>
    </row>
    <row r="908" ht="15" customHeight="1" s="95">
      <c r="A908" s="143" t="n">
        <v>45100</v>
      </c>
      <c r="B908" s="177" t="n">
        <v>5.17</v>
      </c>
      <c r="C908" s="177" t="n">
        <v>5.41</v>
      </c>
      <c r="D908" s="177" t="n">
        <v>5.41</v>
      </c>
      <c r="E908" s="177" t="n">
        <v>5.25</v>
      </c>
    </row>
    <row r="909" ht="15" customHeight="1" s="95">
      <c r="A909" s="143" t="n">
        <v>45103</v>
      </c>
      <c r="B909" s="177" t="n">
        <v>5.17</v>
      </c>
      <c r="C909" s="177" t="n">
        <v>5.5</v>
      </c>
      <c r="D909" s="177" t="n">
        <v>5.45</v>
      </c>
      <c r="E909" s="177" t="n">
        <v>5.27</v>
      </c>
    </row>
    <row r="910" ht="15" customHeight="1" s="95">
      <c r="A910" s="143" t="n">
        <v>45104</v>
      </c>
      <c r="B910" s="177" t="n">
        <v>5.17</v>
      </c>
      <c r="C910" s="177" t="n">
        <v>5.44</v>
      </c>
      <c r="D910" s="177" t="n">
        <v>5.46</v>
      </c>
      <c r="E910" s="177" t="n">
        <v>5.33</v>
      </c>
    </row>
    <row r="911" ht="15" customHeight="1" s="95">
      <c r="A911" s="143" t="n">
        <v>45105</v>
      </c>
      <c r="B911" s="177" t="n">
        <v>5.17</v>
      </c>
      <c r="C911" s="177" t="n">
        <v>5.44</v>
      </c>
      <c r="D911" s="177" t="n">
        <v>5.47</v>
      </c>
      <c r="E911" s="177" t="n">
        <v>5.32</v>
      </c>
    </row>
    <row r="912" ht="15" customHeight="1" s="95">
      <c r="A912" s="143" t="n">
        <v>45106</v>
      </c>
      <c r="B912" s="177" t="n">
        <v>5.25</v>
      </c>
      <c r="C912" s="177" t="n">
        <v>5.46</v>
      </c>
      <c r="D912" s="177" t="n">
        <v>5.5</v>
      </c>
      <c r="E912" s="177" t="n">
        <v>5.41</v>
      </c>
    </row>
    <row r="913" ht="15" customHeight="1" s="95">
      <c r="A913" s="143" t="n">
        <v>45107</v>
      </c>
      <c r="B913" s="177" t="n">
        <v>5.24</v>
      </c>
      <c r="C913" s="177" t="n">
        <v>5.43</v>
      </c>
      <c r="D913" s="177" t="n">
        <v>5.47</v>
      </c>
      <c r="E913" s="177" t="n">
        <v>5.4</v>
      </c>
    </row>
    <row r="914" ht="15" customHeight="1" s="95">
      <c r="A914" s="143" t="n">
        <v>45110</v>
      </c>
      <c r="B914" s="177" t="n">
        <v>5.27</v>
      </c>
      <c r="C914" s="177" t="n">
        <v>5.44</v>
      </c>
      <c r="D914" s="177" t="n">
        <v>5.53</v>
      </c>
      <c r="E914" s="177" t="n">
        <v>5.43</v>
      </c>
    </row>
    <row r="915" ht="15" customHeight="1" s="95">
      <c r="A915" s="143" t="n">
        <v>45111</v>
      </c>
    </row>
    <row r="916" ht="15" customHeight="1" s="95">
      <c r="A916" s="143" t="n">
        <v>45112</v>
      </c>
      <c r="B916" s="177" t="n">
        <v>5.28</v>
      </c>
      <c r="C916" s="177" t="n">
        <v>5.44</v>
      </c>
      <c r="D916" s="177" t="n">
        <v>5.52</v>
      </c>
      <c r="E916" s="177" t="n">
        <v>5.4</v>
      </c>
    </row>
    <row r="917" ht="15" customHeight="1" s="95">
      <c r="A917" s="143" t="n">
        <v>45113</v>
      </c>
      <c r="B917" s="177" t="n">
        <v>5.32</v>
      </c>
      <c r="C917" s="177" t="n">
        <v>5.46</v>
      </c>
      <c r="D917" s="177" t="n">
        <v>5.54</v>
      </c>
      <c r="E917" s="177" t="n">
        <v>5.44</v>
      </c>
    </row>
    <row r="918" ht="15" customHeight="1" s="95">
      <c r="A918" s="143" t="n">
        <v>45114</v>
      </c>
      <c r="B918" s="177" t="n">
        <v>5.32</v>
      </c>
      <c r="C918" s="177" t="n">
        <v>5.46</v>
      </c>
      <c r="D918" s="177" t="n">
        <v>5.53</v>
      </c>
      <c r="E918" s="177" t="n">
        <v>5.41</v>
      </c>
    </row>
    <row r="919" ht="15" customHeight="1" s="95">
      <c r="A919" s="143" t="n">
        <v>45117</v>
      </c>
      <c r="B919" s="177" t="n">
        <v>5.34</v>
      </c>
      <c r="C919" s="177" t="n">
        <v>5.48</v>
      </c>
      <c r="D919" s="177" t="n">
        <v>5.54</v>
      </c>
      <c r="E919" s="177" t="n">
        <v>5.38</v>
      </c>
    </row>
    <row r="920" ht="15" customHeight="1" s="95">
      <c r="A920" s="143" t="n">
        <v>45118</v>
      </c>
      <c r="B920" s="177" t="n">
        <v>5.35</v>
      </c>
      <c r="C920" s="177" t="n">
        <v>5.49</v>
      </c>
      <c r="D920" s="177" t="n">
        <v>5.55</v>
      </c>
      <c r="E920" s="177" t="n">
        <v>5.44</v>
      </c>
    </row>
    <row r="921" ht="15" customHeight="1" s="95">
      <c r="A921" s="143" t="n">
        <v>45119</v>
      </c>
      <c r="B921" s="177" t="n">
        <v>5.36</v>
      </c>
      <c r="C921" s="177" t="n">
        <v>5.47</v>
      </c>
      <c r="D921" s="177" t="n">
        <v>5.53</v>
      </c>
      <c r="E921" s="177" t="n">
        <v>5.35</v>
      </c>
    </row>
    <row r="922" ht="15" customHeight="1" s="95">
      <c r="A922" s="143" t="n">
        <v>45120</v>
      </c>
      <c r="B922" s="177" t="n">
        <v>5.37</v>
      </c>
      <c r="C922" s="177" t="n">
        <v>5.47</v>
      </c>
      <c r="D922" s="177" t="n">
        <v>5.49</v>
      </c>
      <c r="E922" s="177" t="n">
        <v>5.27</v>
      </c>
    </row>
    <row r="923" ht="15" customHeight="1" s="95">
      <c r="A923" s="143" t="n">
        <v>45121</v>
      </c>
      <c r="B923" s="177" t="n">
        <v>5.37</v>
      </c>
      <c r="C923" s="177" t="n">
        <v>5.49</v>
      </c>
      <c r="D923" s="177" t="n">
        <v>5.52</v>
      </c>
      <c r="E923" s="177" t="n">
        <v>5.34</v>
      </c>
    </row>
    <row r="924" ht="15" customHeight="1" s="95">
      <c r="A924" s="143" t="n">
        <v>45124</v>
      </c>
      <c r="B924" s="177" t="n">
        <v>5.37</v>
      </c>
      <c r="C924" s="177" t="n">
        <v>5.49</v>
      </c>
      <c r="D924" s="177" t="n">
        <v>5.52</v>
      </c>
      <c r="E924" s="177" t="n">
        <v>5.33</v>
      </c>
    </row>
    <row r="925" ht="15" customHeight="1" s="95">
      <c r="A925" s="143" t="n">
        <v>45125</v>
      </c>
      <c r="B925" s="177" t="n">
        <v>5.37</v>
      </c>
      <c r="C925" s="177" t="n">
        <v>5.49</v>
      </c>
      <c r="D925" s="177" t="n">
        <v>5.51</v>
      </c>
      <c r="E925" s="177" t="n">
        <v>5.32</v>
      </c>
    </row>
    <row r="926" ht="15" customHeight="1" s="95">
      <c r="A926" s="143" t="n">
        <v>45126</v>
      </c>
      <c r="B926" s="177" t="n">
        <v>5.37</v>
      </c>
      <c r="C926" s="177" t="n">
        <v>5.49</v>
      </c>
      <c r="D926" s="177" t="n">
        <v>5.51</v>
      </c>
      <c r="E926" s="177" t="n">
        <v>5.32</v>
      </c>
    </row>
    <row r="927" ht="15" customHeight="1" s="95">
      <c r="A927" s="143" t="n">
        <v>45127</v>
      </c>
      <c r="B927" s="177" t="n">
        <v>5.44</v>
      </c>
      <c r="C927" s="177" t="n">
        <v>5.49</v>
      </c>
      <c r="D927" s="177" t="n">
        <v>5.52</v>
      </c>
      <c r="E927" s="177" t="n">
        <v>5.35</v>
      </c>
    </row>
    <row r="928" ht="15" customHeight="1" s="95">
      <c r="A928" s="143" t="n">
        <v>45128</v>
      </c>
      <c r="B928" s="177" t="n">
        <v>5.43</v>
      </c>
      <c r="C928" s="177" t="n">
        <v>5.5</v>
      </c>
      <c r="D928" s="177" t="n">
        <v>5.53</v>
      </c>
      <c r="E928" s="177" t="n">
        <v>5.35</v>
      </c>
    </row>
    <row r="929" ht="15" customHeight="1" s="95">
      <c r="A929" s="143" t="n">
        <v>45131</v>
      </c>
      <c r="B929" s="177" t="n">
        <v>5.44</v>
      </c>
      <c r="C929" s="177" t="n">
        <v>5.51</v>
      </c>
      <c r="D929" s="177" t="n">
        <v>5.55</v>
      </c>
      <c r="E929" s="177" t="n">
        <v>5.38</v>
      </c>
    </row>
    <row r="930" ht="15" customHeight="1" s="95">
      <c r="A930" s="143" t="n">
        <v>45132</v>
      </c>
      <c r="B930" s="177" t="n">
        <v>5.46</v>
      </c>
      <c r="C930" s="177" t="n">
        <v>5.51</v>
      </c>
      <c r="D930" s="177" t="n">
        <v>5.57</v>
      </c>
      <c r="E930" s="177" t="n">
        <v>5.38</v>
      </c>
    </row>
    <row r="931" ht="15" customHeight="1" s="95">
      <c r="A931" s="143" t="n">
        <v>45133</v>
      </c>
      <c r="B931" s="177" t="n">
        <v>5.46</v>
      </c>
      <c r="C931" s="177" t="n">
        <v>5.51</v>
      </c>
      <c r="D931" s="177" t="n">
        <v>5.55</v>
      </c>
      <c r="E931" s="177" t="n">
        <v>5.37</v>
      </c>
    </row>
    <row r="932" ht="15" customHeight="1" s="95">
      <c r="A932" s="143" t="n">
        <v>45134</v>
      </c>
      <c r="B932" s="177" t="n">
        <v>5.47</v>
      </c>
      <c r="C932" s="177" t="n">
        <v>5.51</v>
      </c>
      <c r="D932" s="177" t="n">
        <v>5.56</v>
      </c>
      <c r="E932" s="177" t="n">
        <v>5.4</v>
      </c>
    </row>
    <row r="933" ht="15" customHeight="1" s="95">
      <c r="A933" s="143" t="n">
        <v>45135</v>
      </c>
      <c r="B933" s="177" t="n">
        <v>5.47</v>
      </c>
      <c r="C933" s="177" t="n">
        <v>5.52</v>
      </c>
      <c r="D933" s="177" t="n">
        <v>5.54</v>
      </c>
      <c r="E933" s="177" t="n">
        <v>5.37</v>
      </c>
    </row>
    <row r="934" ht="15" customHeight="1" s="95">
      <c r="A934" s="143" t="n">
        <v>45138</v>
      </c>
      <c r="B934" s="177" t="n">
        <v>5.48</v>
      </c>
      <c r="C934" s="177" t="n">
        <v>5.55</v>
      </c>
      <c r="D934" s="177" t="n">
        <v>5.53</v>
      </c>
      <c r="E934" s="177" t="n">
        <v>5.37</v>
      </c>
    </row>
    <row r="935" ht="15" customHeight="1" s="95">
      <c r="A935" s="143" t="n">
        <v>45139</v>
      </c>
      <c r="B935" s="177" t="n">
        <v>5.49</v>
      </c>
      <c r="C935" s="177" t="n">
        <v>5.54</v>
      </c>
      <c r="D935" s="177" t="n">
        <v>5.54</v>
      </c>
      <c r="E935" s="177" t="n">
        <v>5.38</v>
      </c>
    </row>
    <row r="936" ht="15" customHeight="1" s="95">
      <c r="A936" s="143" t="n">
        <v>45140</v>
      </c>
      <c r="B936" s="177" t="n">
        <v>5.48</v>
      </c>
      <c r="C936" s="177" t="n">
        <v>5.53</v>
      </c>
      <c r="D936" s="177" t="n">
        <v>5.52</v>
      </c>
      <c r="E936" s="177" t="n">
        <v>5.36</v>
      </c>
    </row>
    <row r="937" ht="15" customHeight="1" s="95">
      <c r="A937" s="143" t="n">
        <v>45141</v>
      </c>
      <c r="B937" s="177" t="n">
        <v>5.54</v>
      </c>
      <c r="C937" s="177" t="n">
        <v>5.54</v>
      </c>
      <c r="D937" s="177" t="n">
        <v>5.52</v>
      </c>
      <c r="E937" s="177" t="n">
        <v>5.37</v>
      </c>
    </row>
    <row r="938" ht="15" customHeight="1" s="95">
      <c r="A938" s="143" t="n">
        <v>45142</v>
      </c>
      <c r="B938" s="177" t="n">
        <v>5.54</v>
      </c>
      <c r="C938" s="177" t="n">
        <v>5.54</v>
      </c>
      <c r="D938" s="177" t="n">
        <v>5.5</v>
      </c>
      <c r="E938" s="177" t="n">
        <v>5.33</v>
      </c>
    </row>
    <row r="939" ht="15" customHeight="1" s="95">
      <c r="A939" s="143" t="n">
        <v>45145</v>
      </c>
      <c r="B939" s="177" t="n">
        <v>5.54</v>
      </c>
      <c r="C939" s="177" t="n">
        <v>5.56</v>
      </c>
      <c r="D939" s="177" t="n">
        <v>5.53</v>
      </c>
      <c r="E939" s="177" t="n">
        <v>5.3</v>
      </c>
    </row>
    <row r="940" ht="15" customHeight="1" s="95">
      <c r="A940" s="143" t="n">
        <v>45146</v>
      </c>
      <c r="B940" s="177" t="n">
        <v>5.54</v>
      </c>
      <c r="C940" s="177" t="n">
        <v>5.57</v>
      </c>
      <c r="D940" s="177" t="n">
        <v>5.53</v>
      </c>
      <c r="E940" s="177" t="n">
        <v>5.35</v>
      </c>
    </row>
    <row r="941" ht="15" customHeight="1" s="95">
      <c r="A941" s="143" t="n">
        <v>45147</v>
      </c>
      <c r="B941" s="177" t="n">
        <v>5.51</v>
      </c>
      <c r="C941" s="177" t="n">
        <v>5.55</v>
      </c>
      <c r="D941" s="177" t="n">
        <v>5.54</v>
      </c>
      <c r="E941" s="177" t="n">
        <v>5.35</v>
      </c>
    </row>
    <row r="942" ht="15" customHeight="1" s="95">
      <c r="A942" s="143" t="n">
        <v>45148</v>
      </c>
      <c r="B942" s="177" t="n">
        <v>5.55</v>
      </c>
      <c r="C942" s="177" t="n">
        <v>5.54</v>
      </c>
      <c r="D942" s="177" t="n">
        <v>5.52</v>
      </c>
      <c r="E942" s="177" t="n">
        <v>5.33</v>
      </c>
    </row>
    <row r="943" ht="15" customHeight="1" s="95">
      <c r="A943" s="143" t="n">
        <v>45149</v>
      </c>
      <c r="B943" s="177" t="n">
        <v>5.54</v>
      </c>
      <c r="C943" s="177" t="n">
        <v>5.54</v>
      </c>
      <c r="D943" s="177" t="n">
        <v>5.52</v>
      </c>
      <c r="E943" s="177" t="n">
        <v>5.36</v>
      </c>
    </row>
    <row r="944" ht="15" customHeight="1" s="95">
      <c r="A944" s="143" t="n">
        <v>45152</v>
      </c>
      <c r="B944" s="177" t="n">
        <v>5.55</v>
      </c>
      <c r="C944" s="177" t="n">
        <v>5.56</v>
      </c>
      <c r="D944" s="177" t="n">
        <v>5.56</v>
      </c>
      <c r="E944" s="177" t="n">
        <v>5.37</v>
      </c>
    </row>
    <row r="945" ht="15" customHeight="1" s="95">
      <c r="A945" s="143" t="n">
        <v>45153</v>
      </c>
      <c r="B945" s="177" t="n">
        <v>5.53</v>
      </c>
      <c r="C945" s="177" t="n">
        <v>5.56</v>
      </c>
      <c r="D945" s="177" t="n">
        <v>5.55</v>
      </c>
      <c r="E945" s="177" t="n">
        <v>5.36</v>
      </c>
    </row>
    <row r="946" ht="15" customHeight="1" s="95">
      <c r="A946" s="143" t="n">
        <v>45154</v>
      </c>
      <c r="B946" s="177" t="n">
        <v>5.52</v>
      </c>
      <c r="C946" s="177" t="n">
        <v>5.56</v>
      </c>
      <c r="D946" s="177" t="n">
        <v>5.54</v>
      </c>
      <c r="E946" s="177" t="n">
        <v>5.37</v>
      </c>
    </row>
    <row r="947" ht="15" customHeight="1" s="95">
      <c r="A947" s="143" t="n">
        <v>45155</v>
      </c>
      <c r="B947" s="177" t="n">
        <v>5.55</v>
      </c>
      <c r="C947" s="177" t="n">
        <v>5.56</v>
      </c>
      <c r="D947" s="177" t="n">
        <v>5.53</v>
      </c>
      <c r="E947" s="177" t="n">
        <v>5.36</v>
      </c>
    </row>
    <row r="948" ht="15" customHeight="1" s="95">
      <c r="A948" s="143" t="n">
        <v>45156</v>
      </c>
      <c r="B948" s="177" t="n">
        <v>5.53</v>
      </c>
      <c r="C948" s="177" t="n">
        <v>5.55</v>
      </c>
      <c r="D948" s="177" t="n">
        <v>5.52</v>
      </c>
      <c r="E948" s="177" t="n">
        <v>5.35</v>
      </c>
    </row>
    <row r="949" ht="15" customHeight="1" s="95">
      <c r="A949" s="143" t="n">
        <v>45159</v>
      </c>
      <c r="B949" s="177" t="n">
        <v>5.55</v>
      </c>
      <c r="C949" s="177" t="n">
        <v>5.57</v>
      </c>
      <c r="D949" s="177" t="n">
        <v>5.58</v>
      </c>
      <c r="E949" s="177" t="n">
        <v>5.37</v>
      </c>
    </row>
    <row r="950" ht="15" customHeight="1" s="95">
      <c r="A950" s="143" t="n">
        <v>45160</v>
      </c>
      <c r="B950" s="177" t="n">
        <v>5.54</v>
      </c>
      <c r="C950" s="177" t="n">
        <v>5.57</v>
      </c>
      <c r="D950" s="177" t="n">
        <v>5.57</v>
      </c>
      <c r="E950" s="177" t="n">
        <v>5.39</v>
      </c>
    </row>
    <row r="951" ht="15" customHeight="1" s="95">
      <c r="A951" s="143" t="n">
        <v>45161</v>
      </c>
      <c r="B951" s="177" t="n">
        <v>5.54</v>
      </c>
      <c r="C951" s="177" t="n">
        <v>5.57</v>
      </c>
      <c r="D951" s="177" t="n">
        <v>5.55</v>
      </c>
      <c r="E951" s="177" t="n">
        <v>5.35</v>
      </c>
    </row>
    <row r="952" ht="15" customHeight="1" s="95">
      <c r="A952" s="143" t="n">
        <v>45162</v>
      </c>
      <c r="B952" s="177" t="n">
        <v>5.55</v>
      </c>
      <c r="C952" s="177" t="n">
        <v>5.58</v>
      </c>
      <c r="D952" s="177" t="n">
        <v>5.59</v>
      </c>
      <c r="E952" s="177" t="n">
        <v>5.39</v>
      </c>
    </row>
    <row r="953" ht="15" customHeight="1" s="95">
      <c r="A953" s="143" t="n">
        <v>45163</v>
      </c>
      <c r="B953" s="177" t="n">
        <v>5.56</v>
      </c>
      <c r="C953" s="177" t="n">
        <v>5.61</v>
      </c>
      <c r="D953" s="177" t="n">
        <v>5.61</v>
      </c>
      <c r="E953" s="177" t="n">
        <v>5.44</v>
      </c>
    </row>
    <row r="954" ht="15" customHeight="1" s="95">
      <c r="A954" s="143" t="n">
        <v>45166</v>
      </c>
      <c r="B954" s="177" t="n">
        <v>5.56</v>
      </c>
      <c r="C954" s="177" t="n">
        <v>5.58</v>
      </c>
      <c r="D954" s="177" t="n">
        <v>5.56</v>
      </c>
      <c r="E954" s="177" t="n">
        <v>5.44</v>
      </c>
    </row>
    <row r="955" ht="15" customHeight="1" s="95">
      <c r="A955" s="143" t="n">
        <v>45167</v>
      </c>
      <c r="B955" s="177" t="n">
        <v>5.54</v>
      </c>
      <c r="C955" s="177" t="n">
        <v>5.56</v>
      </c>
      <c r="D955" s="177" t="n">
        <v>5.52</v>
      </c>
      <c r="E955" s="177" t="n">
        <v>5.37</v>
      </c>
    </row>
    <row r="956" ht="15" customHeight="1" s="95">
      <c r="A956" s="143" t="n">
        <v>45168</v>
      </c>
      <c r="B956" s="177" t="n">
        <v>5.55</v>
      </c>
      <c r="C956" s="177" t="n">
        <v>5.56</v>
      </c>
      <c r="D956" s="177" t="n">
        <v>5.51</v>
      </c>
      <c r="E956" s="177" t="n">
        <v>5.39</v>
      </c>
    </row>
    <row r="957" ht="15" customHeight="1" s="95">
      <c r="A957" s="143" t="n">
        <v>45169</v>
      </c>
      <c r="B957" s="177" t="n">
        <v>5.52</v>
      </c>
      <c r="C957" s="177" t="n">
        <v>5.56</v>
      </c>
      <c r="D957" s="177" t="n">
        <v>5.48</v>
      </c>
      <c r="E957" s="177" t="n">
        <v>5.37</v>
      </c>
    </row>
    <row r="958" ht="15" customHeight="1" s="95">
      <c r="A958" s="143" t="n">
        <v>45170</v>
      </c>
      <c r="B958" s="177" t="n">
        <v>5.51</v>
      </c>
      <c r="C958" s="177" t="n">
        <v>5.53</v>
      </c>
      <c r="D958" s="177" t="n">
        <v>5.47</v>
      </c>
      <c r="E958" s="177" t="n">
        <v>5.36</v>
      </c>
    </row>
    <row r="959" ht="15" customHeight="1" s="95">
      <c r="A959" s="143" t="n">
        <v>45173</v>
      </c>
    </row>
    <row r="960" ht="15" customHeight="1" s="95">
      <c r="A960" s="143" t="n">
        <v>45174</v>
      </c>
      <c r="B960" s="177" t="n">
        <v>5.51</v>
      </c>
      <c r="C960" s="177" t="n">
        <v>5.55</v>
      </c>
      <c r="D960" s="177" t="n">
        <v>5.51</v>
      </c>
      <c r="E960" s="177" t="n">
        <v>5.42</v>
      </c>
    </row>
    <row r="961" ht="15" customHeight="1" s="95">
      <c r="A961" s="143" t="n">
        <v>45175</v>
      </c>
      <c r="B961" s="177" t="n">
        <v>5.52</v>
      </c>
      <c r="C961" s="177" t="n">
        <v>5.55</v>
      </c>
      <c r="D961" s="177" t="n">
        <v>5.52</v>
      </c>
      <c r="E961" s="177" t="n">
        <v>5.44</v>
      </c>
    </row>
    <row r="962" ht="15" customHeight="1" s="95">
      <c r="A962" s="143" t="n">
        <v>45176</v>
      </c>
      <c r="B962" s="177" t="n">
        <v>5.52</v>
      </c>
      <c r="C962" s="177" t="n">
        <v>5.53</v>
      </c>
      <c r="D962" s="177" t="n">
        <v>5.5</v>
      </c>
      <c r="E962" s="177" t="n">
        <v>5.4</v>
      </c>
    </row>
    <row r="963" ht="15" customHeight="1" s="95">
      <c r="A963" s="143" t="n">
        <v>45177</v>
      </c>
      <c r="B963" s="177" t="n">
        <v>5.52</v>
      </c>
      <c r="C963" s="177" t="n">
        <v>5.55</v>
      </c>
      <c r="D963" s="177" t="n">
        <v>5.49</v>
      </c>
      <c r="E963" s="177" t="n">
        <v>5.42</v>
      </c>
    </row>
    <row r="964" ht="15" customHeight="1" s="95">
      <c r="A964" s="143" t="n">
        <v>45180</v>
      </c>
      <c r="B964" s="177" t="n">
        <v>5.52</v>
      </c>
      <c r="C964" s="177" t="n">
        <v>5.55</v>
      </c>
      <c r="D964" s="177" t="n">
        <v>5.51</v>
      </c>
      <c r="E964" s="177" t="n">
        <v>5.4</v>
      </c>
    </row>
    <row r="965" ht="15" customHeight="1" s="95">
      <c r="A965" s="143" t="n">
        <v>45181</v>
      </c>
      <c r="B965" s="177" t="n">
        <v>5.52</v>
      </c>
      <c r="C965" s="177" t="n">
        <v>5.56</v>
      </c>
      <c r="D965" s="177" t="n">
        <v>5.53</v>
      </c>
      <c r="E965" s="177" t="n">
        <v>5.42</v>
      </c>
    </row>
    <row r="966" ht="15" customHeight="1" s="95">
      <c r="A966" s="143" t="n">
        <v>45182</v>
      </c>
      <c r="B966" s="177" t="n">
        <v>5.53</v>
      </c>
      <c r="C966" s="177" t="n">
        <v>5.55</v>
      </c>
      <c r="D966" s="177" t="n">
        <v>5.51</v>
      </c>
      <c r="E966" s="177" t="n">
        <v>5.42</v>
      </c>
    </row>
    <row r="967" ht="15" customHeight="1" s="95">
      <c r="A967" s="143" t="n">
        <v>45183</v>
      </c>
      <c r="B967" s="177" t="n">
        <v>5.52</v>
      </c>
      <c r="C967" s="177" t="n">
        <v>5.55</v>
      </c>
      <c r="D967" s="177" t="n">
        <v>5.5</v>
      </c>
      <c r="E967" s="177" t="n">
        <v>5.42</v>
      </c>
    </row>
    <row r="968" ht="15" customHeight="1" s="95">
      <c r="A968" s="143" t="n">
        <v>45184</v>
      </c>
      <c r="B968" s="177" t="n">
        <v>5.51</v>
      </c>
      <c r="C968" s="177" t="n">
        <v>5.56</v>
      </c>
      <c r="D968" s="177" t="n">
        <v>5.49</v>
      </c>
      <c r="E968" s="177" t="n">
        <v>5.43</v>
      </c>
    </row>
    <row r="969" ht="15" customHeight="1" s="95">
      <c r="A969" s="143" t="n">
        <v>45187</v>
      </c>
      <c r="B969" s="177" t="n">
        <v>5.53</v>
      </c>
      <c r="C969" s="177" t="n">
        <v>5.55</v>
      </c>
      <c r="D969" s="177" t="n">
        <v>5.51</v>
      </c>
      <c r="E969" s="177" t="n">
        <v>5.44</v>
      </c>
    </row>
    <row r="970" ht="15" customHeight="1" s="95">
      <c r="A970" s="143" t="n">
        <v>45188</v>
      </c>
      <c r="B970" s="177" t="n">
        <v>5.53</v>
      </c>
      <c r="C970" s="177" t="n">
        <v>5.54</v>
      </c>
      <c r="D970" s="177" t="n">
        <v>5.51</v>
      </c>
      <c r="E970" s="177" t="n">
        <v>5.45</v>
      </c>
    </row>
    <row r="971" ht="15" customHeight="1" s="95">
      <c r="A971" s="143" t="n">
        <v>45189</v>
      </c>
      <c r="B971" s="177" t="n">
        <v>5.53</v>
      </c>
      <c r="C971" s="177" t="n">
        <v>5.56</v>
      </c>
      <c r="D971" s="177" t="n">
        <v>5.51</v>
      </c>
      <c r="E971" s="177" t="n">
        <v>5.47</v>
      </c>
    </row>
    <row r="972" ht="15" customHeight="1" s="95">
      <c r="A972" s="143" t="n">
        <v>45190</v>
      </c>
      <c r="B972" s="177" t="n">
        <v>5.52</v>
      </c>
      <c r="C972" s="177" t="n">
        <v>5.57</v>
      </c>
      <c r="D972" s="177" t="n">
        <v>5.52</v>
      </c>
      <c r="E972" s="177" t="n">
        <v>5.46</v>
      </c>
    </row>
    <row r="973" ht="15" customHeight="1" s="95">
      <c r="A973" s="143" t="n">
        <v>45191</v>
      </c>
      <c r="B973" s="177" t="n">
        <v>5.52</v>
      </c>
      <c r="C973" s="177" t="n">
        <v>5.56</v>
      </c>
      <c r="D973" s="177" t="n">
        <v>5.52</v>
      </c>
      <c r="E973" s="177" t="n">
        <v>5.46</v>
      </c>
    </row>
    <row r="974" ht="15" customHeight="1" s="95">
      <c r="A974" s="143" t="n">
        <v>45194</v>
      </c>
      <c r="B974" s="177" t="n">
        <v>5.54</v>
      </c>
      <c r="C974" s="177" t="n">
        <v>5.58</v>
      </c>
      <c r="D974" s="177" t="n">
        <v>5.52</v>
      </c>
      <c r="E974" s="177" t="n">
        <v>5.45</v>
      </c>
    </row>
    <row r="975" ht="15" customHeight="1" s="95">
      <c r="A975" s="143" t="n">
        <v>45195</v>
      </c>
      <c r="B975" s="177" t="n">
        <v>5.54</v>
      </c>
      <c r="C975" s="177" t="n">
        <v>5.58</v>
      </c>
      <c r="D975" s="177" t="n">
        <v>5.53</v>
      </c>
      <c r="E975" s="177" t="n">
        <v>5.45</v>
      </c>
    </row>
    <row r="976" ht="15" customHeight="1" s="95">
      <c r="A976" s="143" t="n">
        <v>45196</v>
      </c>
      <c r="B976" s="177" t="n">
        <v>5.54</v>
      </c>
      <c r="C976" s="177" t="n">
        <v>5.58</v>
      </c>
      <c r="D976" s="177" t="n">
        <v>5.53</v>
      </c>
      <c r="E976" s="177" t="n">
        <v>5.49</v>
      </c>
    </row>
    <row r="977" ht="15" customHeight="1" s="95">
      <c r="A977" s="143" t="n">
        <v>45197</v>
      </c>
      <c r="B977" s="177" t="n">
        <v>5.56</v>
      </c>
      <c r="C977" s="177" t="n">
        <v>5.56</v>
      </c>
      <c r="D977" s="177" t="n">
        <v>5.53</v>
      </c>
      <c r="E977" s="177" t="n">
        <v>5.46</v>
      </c>
    </row>
    <row r="978" ht="15" customHeight="1" s="95">
      <c r="A978" s="143" t="n">
        <v>45198</v>
      </c>
      <c r="B978" s="177" t="n">
        <v>5.55</v>
      </c>
      <c r="C978" s="177" t="n">
        <v>5.55</v>
      </c>
      <c r="D978" s="177" t="n">
        <v>5.53</v>
      </c>
      <c r="E978" s="177" t="n">
        <v>5.46</v>
      </c>
    </row>
    <row r="979" ht="15" customHeight="1" s="95">
      <c r="A979" s="143" t="n">
        <v>45201</v>
      </c>
      <c r="B979" s="177" t="n">
        <v>5.56</v>
      </c>
      <c r="C979" s="177" t="n">
        <v>5.62</v>
      </c>
      <c r="D979" s="177" t="n">
        <v>5.58</v>
      </c>
      <c r="E979" s="177" t="n">
        <v>5.49</v>
      </c>
    </row>
    <row r="980" ht="15" customHeight="1" s="95">
      <c r="A980" s="143" t="n">
        <v>45202</v>
      </c>
      <c r="B980" s="177" t="n">
        <v>5.55</v>
      </c>
      <c r="C980" s="177" t="n">
        <v>5.62</v>
      </c>
      <c r="D980" s="177" t="n">
        <v>5.58</v>
      </c>
      <c r="E980" s="177" t="n">
        <v>5.49</v>
      </c>
    </row>
    <row r="981" ht="15" customHeight="1" s="95">
      <c r="A981" s="143" t="n">
        <v>45203</v>
      </c>
      <c r="B981" s="177" t="n">
        <v>5.56</v>
      </c>
      <c r="C981" s="177" t="n">
        <v>5.61</v>
      </c>
      <c r="D981" s="177" t="n">
        <v>5.57</v>
      </c>
      <c r="E981" s="177" t="n">
        <v>5.42</v>
      </c>
    </row>
    <row r="982" ht="15" customHeight="1" s="95">
      <c r="A982" s="143" t="n">
        <v>45204</v>
      </c>
      <c r="B982" s="177" t="n">
        <v>5.57</v>
      </c>
      <c r="C982" s="177" t="n">
        <v>5.61</v>
      </c>
      <c r="D982" s="177" t="n">
        <v>5.56</v>
      </c>
      <c r="E982" s="177" t="n">
        <v>5.39</v>
      </c>
    </row>
    <row r="983" ht="15" customHeight="1" s="95">
      <c r="A983" s="143" t="n">
        <v>45205</v>
      </c>
      <c r="B983" s="177" t="n">
        <v>5.59</v>
      </c>
      <c r="C983" s="177" t="n">
        <v>5.63</v>
      </c>
      <c r="D983" s="177" t="n">
        <v>5.59</v>
      </c>
      <c r="E983" s="177" t="n">
        <v>5.43</v>
      </c>
    </row>
    <row r="984" ht="15" customHeight="1" s="95">
      <c r="A984" s="143" t="n">
        <v>45208</v>
      </c>
    </row>
    <row r="985" ht="15" customHeight="1" s="95">
      <c r="A985" s="143" t="n">
        <v>45209</v>
      </c>
      <c r="B985" s="177" t="n">
        <v>5.6</v>
      </c>
      <c r="C985" s="177" t="n">
        <v>5.61</v>
      </c>
      <c r="D985" s="177" t="n">
        <v>5.57</v>
      </c>
      <c r="E985" s="177" t="n">
        <v>5.37</v>
      </c>
    </row>
    <row r="986" ht="15" customHeight="1" s="95">
      <c r="A986" s="143" t="n">
        <v>45210</v>
      </c>
      <c r="B986" s="177" t="n">
        <v>5.58</v>
      </c>
      <c r="C986" s="177" t="n">
        <v>5.61</v>
      </c>
      <c r="D986" s="177" t="n">
        <v>5.56</v>
      </c>
      <c r="E986" s="177" t="n">
        <v>5.38</v>
      </c>
    </row>
    <row r="987" ht="15" customHeight="1" s="95">
      <c r="A987" s="143" t="n">
        <v>45211</v>
      </c>
      <c r="B987" s="177" t="n">
        <v>5.61</v>
      </c>
      <c r="C987" s="177" t="n">
        <v>5.63</v>
      </c>
      <c r="D987" s="177" t="n">
        <v>5.58</v>
      </c>
      <c r="E987" s="177" t="n">
        <v>5.43</v>
      </c>
    </row>
    <row r="988" ht="15" customHeight="1" s="95">
      <c r="A988" s="143" t="n">
        <v>45212</v>
      </c>
      <c r="B988" s="177" t="n">
        <v>5.6</v>
      </c>
      <c r="C988" s="177" t="n">
        <v>5.62</v>
      </c>
      <c r="D988" s="177" t="n">
        <v>5.57</v>
      </c>
      <c r="E988" s="177" t="n">
        <v>5.41</v>
      </c>
    </row>
    <row r="989" ht="15" customHeight="1" s="95">
      <c r="A989" s="143" t="n">
        <v>45215</v>
      </c>
      <c r="B989" s="177" t="n">
        <v>5.57</v>
      </c>
      <c r="C989" s="177" t="n">
        <v>5.61</v>
      </c>
      <c r="D989" s="177" t="n">
        <v>5.58</v>
      </c>
      <c r="E989" s="177" t="n">
        <v>5.42</v>
      </c>
    </row>
    <row r="990" ht="15" customHeight="1" s="95">
      <c r="A990" s="143" t="n">
        <v>45216</v>
      </c>
      <c r="B990" s="177" t="n">
        <v>5.58</v>
      </c>
      <c r="C990" s="177" t="n">
        <v>5.62</v>
      </c>
      <c r="D990" s="177" t="n">
        <v>5.6</v>
      </c>
      <c r="E990" s="177" t="n">
        <v>5.48</v>
      </c>
    </row>
    <row r="991" ht="15" customHeight="1" s="95">
      <c r="A991" s="143" t="n">
        <v>45217</v>
      </c>
      <c r="B991" s="177" t="n">
        <v>5.57</v>
      </c>
      <c r="C991" s="177" t="n">
        <v>5.61</v>
      </c>
      <c r="D991" s="177" t="n">
        <v>5.58</v>
      </c>
      <c r="E991" s="177" t="n">
        <v>5.47</v>
      </c>
    </row>
    <row r="992" ht="15" customHeight="1" s="95">
      <c r="A992" s="143" t="n">
        <v>45218</v>
      </c>
      <c r="B992" s="177" t="n">
        <v>5.58</v>
      </c>
      <c r="C992" s="177" t="n">
        <v>5.6</v>
      </c>
      <c r="D992" s="177" t="n">
        <v>5.56</v>
      </c>
      <c r="E992" s="177" t="n">
        <v>5.44</v>
      </c>
    </row>
    <row r="993" ht="15" customHeight="1" s="95">
      <c r="A993" s="143" t="n">
        <v>45219</v>
      </c>
      <c r="B993" s="177" t="n">
        <v>5.56</v>
      </c>
      <c r="C993" s="177" t="n">
        <v>5.58</v>
      </c>
      <c r="D993" s="177" t="n">
        <v>5.54</v>
      </c>
      <c r="E993" s="177" t="n">
        <v>5.41</v>
      </c>
    </row>
    <row r="994" ht="15" customHeight="1" s="95">
      <c r="A994" s="143" t="n">
        <v>45222</v>
      </c>
      <c r="B994" s="177" t="n">
        <v>5.57</v>
      </c>
      <c r="C994" s="177" t="n">
        <v>5.58</v>
      </c>
      <c r="D994" s="177" t="n">
        <v>5.56</v>
      </c>
      <c r="E994" s="177" t="n">
        <v>5.42</v>
      </c>
    </row>
    <row r="995" ht="15" customHeight="1" s="95">
      <c r="A995" s="143" t="n">
        <v>45223</v>
      </c>
      <c r="B995" s="177" t="n">
        <v>5.57</v>
      </c>
      <c r="C995" s="177" t="n">
        <v>5.58</v>
      </c>
      <c r="D995" s="177" t="n">
        <v>5.57</v>
      </c>
      <c r="E995" s="177" t="n">
        <v>5.41</v>
      </c>
    </row>
    <row r="996" ht="15" customHeight="1" s="95">
      <c r="A996" s="143" t="n">
        <v>45224</v>
      </c>
      <c r="B996" s="177" t="n">
        <v>5.56</v>
      </c>
      <c r="C996" s="177" t="n">
        <v>5.59</v>
      </c>
      <c r="D996" s="177" t="n">
        <v>5.57</v>
      </c>
      <c r="E996" s="177" t="n">
        <v>5.43</v>
      </c>
    </row>
    <row r="997" ht="15" customHeight="1" s="95">
      <c r="A997" s="143" t="n">
        <v>45225</v>
      </c>
      <c r="B997" s="177" t="n">
        <v>5.57</v>
      </c>
      <c r="C997" s="177" t="n">
        <v>5.59</v>
      </c>
      <c r="D997" s="177" t="n">
        <v>5.55</v>
      </c>
      <c r="E997" s="177" t="n">
        <v>5.39</v>
      </c>
    </row>
    <row r="998" ht="15" customHeight="1" s="95">
      <c r="A998" s="143" t="n">
        <v>45226</v>
      </c>
      <c r="B998" s="177" t="n">
        <v>5.57</v>
      </c>
      <c r="C998" s="177" t="n">
        <v>5.59</v>
      </c>
      <c r="D998" s="177" t="n">
        <v>5.55</v>
      </c>
      <c r="E998" s="177" t="n">
        <v>5.39</v>
      </c>
    </row>
    <row r="999" ht="15" customHeight="1" s="95">
      <c r="A999" s="143" t="n">
        <v>45229</v>
      </c>
      <c r="B999" s="177" t="n">
        <v>5.56</v>
      </c>
      <c r="C999" s="177" t="n">
        <v>5.6</v>
      </c>
      <c r="D999" s="177" t="n">
        <v>5.53</v>
      </c>
      <c r="E999" s="177" t="n">
        <v>5.41</v>
      </c>
    </row>
    <row r="1000" ht="15" customHeight="1" s="95">
      <c r="A1000" s="143" t="n">
        <v>45230</v>
      </c>
      <c r="B1000" s="177" t="n">
        <v>5.56</v>
      </c>
      <c r="C1000" s="177" t="n">
        <v>5.59</v>
      </c>
      <c r="D1000" s="177" t="n">
        <v>5.54</v>
      </c>
      <c r="E1000" s="177" t="n">
        <v>5.44</v>
      </c>
    </row>
    <row r="1001" ht="15" customHeight="1" s="95">
      <c r="A1001" s="143" t="n">
        <v>45231</v>
      </c>
      <c r="B1001" s="177" t="n">
        <v>5.56</v>
      </c>
      <c r="C1001" s="177" t="n">
        <v>5.57</v>
      </c>
      <c r="D1001" s="177" t="n">
        <v>5.51</v>
      </c>
      <c r="E1001" s="177" t="n">
        <v>5.37</v>
      </c>
    </row>
    <row r="1002" ht="15" customHeight="1" s="95">
      <c r="A1002" s="143" t="n">
        <v>45232</v>
      </c>
      <c r="B1002" s="177" t="n">
        <v>5.52</v>
      </c>
      <c r="C1002" s="177" t="n">
        <v>5.54</v>
      </c>
      <c r="D1002" s="177" t="n">
        <v>5.5</v>
      </c>
      <c r="E1002" s="177" t="n">
        <v>5.38</v>
      </c>
    </row>
    <row r="1003" ht="15" customHeight="1" s="95">
      <c r="A1003" s="143" t="n">
        <v>45233</v>
      </c>
      <c r="B1003" s="177" t="n">
        <v>5.53</v>
      </c>
      <c r="C1003" s="177" t="n">
        <v>5.53</v>
      </c>
      <c r="D1003" s="177" t="n">
        <v>5.45</v>
      </c>
      <c r="E1003" s="177" t="n">
        <v>5.29</v>
      </c>
    </row>
    <row r="1004" ht="15" customHeight="1" s="95">
      <c r="A1004" s="143" t="n">
        <v>45236</v>
      </c>
      <c r="B1004" s="177" t="n">
        <v>5.53</v>
      </c>
      <c r="C1004" s="177" t="n">
        <v>5.56</v>
      </c>
      <c r="D1004" s="177" t="n">
        <v>5.47</v>
      </c>
      <c r="E1004" s="177" t="n">
        <v>5.33</v>
      </c>
    </row>
    <row r="1005" ht="15" customHeight="1" s="95">
      <c r="A1005" s="143" t="n">
        <v>45237</v>
      </c>
      <c r="B1005" s="177" t="n">
        <v>5.53</v>
      </c>
      <c r="C1005" s="177" t="n">
        <v>5.55</v>
      </c>
      <c r="D1005" s="177" t="n">
        <v>5.47</v>
      </c>
      <c r="E1005" s="177" t="n">
        <v>5.33</v>
      </c>
    </row>
    <row r="1006" ht="15" customHeight="1" s="95">
      <c r="A1006" s="143" t="n">
        <v>45238</v>
      </c>
      <c r="B1006" s="177" t="n">
        <v>5.52</v>
      </c>
      <c r="C1006" s="177" t="n">
        <v>5.54</v>
      </c>
      <c r="D1006" s="177" t="n">
        <v>5.46</v>
      </c>
      <c r="E1006" s="177" t="n">
        <v>5.34</v>
      </c>
    </row>
    <row r="1007" ht="15" customHeight="1" s="95">
      <c r="A1007" s="143" t="n">
        <v>45239</v>
      </c>
      <c r="B1007" s="177" t="n">
        <v>5.53</v>
      </c>
      <c r="C1007" s="177" t="n">
        <v>5.54</v>
      </c>
      <c r="D1007" s="177" t="n">
        <v>5.46</v>
      </c>
      <c r="E1007" s="177" t="n">
        <v>5.39</v>
      </c>
    </row>
    <row r="1008" ht="15" customHeight="1" s="95">
      <c r="A1008" s="143" t="n">
        <v>45240</v>
      </c>
      <c r="B1008" s="177" t="n">
        <v>5.53</v>
      </c>
      <c r="C1008" s="177" t="n">
        <v>5.53</v>
      </c>
      <c r="D1008" s="177" t="n">
        <v>5.46</v>
      </c>
      <c r="E1008" s="177" t="n">
        <v>5.38</v>
      </c>
    </row>
    <row r="1009" ht="15" customHeight="1" s="95">
      <c r="A1009" s="143" t="n">
        <v>45243</v>
      </c>
      <c r="B1009" s="177" t="n">
        <v>5.53</v>
      </c>
      <c r="C1009" s="177" t="n">
        <v>5.55</v>
      </c>
      <c r="D1009" s="177" t="n">
        <v>5.48</v>
      </c>
      <c r="E1009" s="177" t="n">
        <v>5.37</v>
      </c>
    </row>
    <row r="1010" ht="15" customHeight="1" s="95">
      <c r="A1010" s="143" t="n">
        <v>45244</v>
      </c>
      <c r="B1010" s="177" t="n">
        <v>5.52</v>
      </c>
      <c r="C1010" s="177" t="n">
        <v>5.52</v>
      </c>
      <c r="D1010" s="177" t="n">
        <v>5.41</v>
      </c>
      <c r="E1010" s="177" t="n">
        <v>5.24</v>
      </c>
    </row>
    <row r="1011" ht="15" customHeight="1" s="95">
      <c r="A1011" s="143" t="n">
        <v>45245</v>
      </c>
      <c r="B1011" s="177" t="n">
        <v>5.52</v>
      </c>
      <c r="C1011" s="177" t="n">
        <v>5.53</v>
      </c>
      <c r="D1011" s="177" t="n">
        <v>5.41</v>
      </c>
      <c r="E1011" s="177" t="n">
        <v>5.27</v>
      </c>
    </row>
    <row r="1012" ht="15" customHeight="1" s="95">
      <c r="A1012" s="143" t="n">
        <v>45246</v>
      </c>
      <c r="B1012" s="177" t="n">
        <v>5.53</v>
      </c>
      <c r="C1012" s="177" t="n">
        <v>5.51</v>
      </c>
      <c r="D1012" s="177" t="n">
        <v>5.38</v>
      </c>
      <c r="E1012" s="177" t="n">
        <v>5.23</v>
      </c>
    </row>
    <row r="1013" ht="15" customHeight="1" s="95">
      <c r="A1013" s="143" t="n">
        <v>45247</v>
      </c>
      <c r="B1013" s="177" t="n">
        <v>5.52</v>
      </c>
      <c r="C1013" s="177" t="n">
        <v>5.5</v>
      </c>
      <c r="D1013" s="177" t="n">
        <v>5.39</v>
      </c>
      <c r="E1013" s="177" t="n">
        <v>5.24</v>
      </c>
    </row>
    <row r="1014" ht="15" customHeight="1" s="95">
      <c r="A1014" s="143" t="n">
        <v>45250</v>
      </c>
      <c r="B1014" s="177" t="n">
        <v>5.53</v>
      </c>
      <c r="C1014" s="177" t="n">
        <v>5.54</v>
      </c>
      <c r="D1014" s="177" t="n">
        <v>5.43</v>
      </c>
      <c r="E1014" s="177" t="n">
        <v>5.25</v>
      </c>
    </row>
    <row r="1015" ht="15" customHeight="1" s="95">
      <c r="A1015" s="143" t="n">
        <v>45251</v>
      </c>
      <c r="B1015" s="177" t="n">
        <v>5.52</v>
      </c>
      <c r="C1015" s="177" t="n">
        <v>5.53</v>
      </c>
      <c r="D1015" s="177" t="n">
        <v>5.42</v>
      </c>
      <c r="E1015" s="177" t="n">
        <v>5.24</v>
      </c>
    </row>
    <row r="1016" ht="15" customHeight="1" s="95">
      <c r="A1016" s="143" t="n">
        <v>45252</v>
      </c>
      <c r="B1016" s="177" t="n">
        <v>5.54</v>
      </c>
      <c r="C1016" s="177" t="n">
        <v>5.54</v>
      </c>
      <c r="D1016" s="177" t="n">
        <v>5.42</v>
      </c>
      <c r="E1016" s="177" t="n">
        <v>5.26</v>
      </c>
    </row>
    <row r="1017" ht="15" customHeight="1" s="95">
      <c r="A1017" s="143" t="n">
        <v>45253</v>
      </c>
    </row>
    <row r="1018" ht="15" customHeight="1" s="95">
      <c r="A1018" s="143" t="n">
        <v>45254</v>
      </c>
      <c r="B1018" s="177" t="n">
        <v>5.55</v>
      </c>
      <c r="C1018" s="177" t="n">
        <v>5.54</v>
      </c>
      <c r="D1018" s="177" t="n">
        <v>5.45</v>
      </c>
      <c r="E1018" s="177" t="n">
        <v>5.27</v>
      </c>
    </row>
    <row r="1019" ht="15" customHeight="1" s="95">
      <c r="A1019" s="143" t="n">
        <v>45257</v>
      </c>
      <c r="B1019" s="177" t="n">
        <v>5.54</v>
      </c>
      <c r="C1019" s="177" t="n">
        <v>5.49</v>
      </c>
      <c r="D1019" s="177" t="n">
        <v>5.45</v>
      </c>
      <c r="E1019" s="177" t="n">
        <v>5.24</v>
      </c>
    </row>
    <row r="1020" ht="15" customHeight="1" s="95">
      <c r="A1020" s="143" t="n">
        <v>45258</v>
      </c>
      <c r="B1020" s="177" t="n">
        <v>5.53</v>
      </c>
      <c r="C1020" s="177" t="n">
        <v>5.47</v>
      </c>
      <c r="D1020" s="177" t="n">
        <v>5.42</v>
      </c>
      <c r="E1020" s="177" t="n">
        <v>5.21</v>
      </c>
    </row>
    <row r="1021" ht="15" customHeight="1" s="95">
      <c r="A1021" s="143" t="n">
        <v>45259</v>
      </c>
      <c r="B1021" s="177" t="n">
        <v>5.53</v>
      </c>
      <c r="C1021" s="177" t="n">
        <v>5.45</v>
      </c>
      <c r="D1021" s="177" t="n">
        <v>5.38</v>
      </c>
      <c r="E1021" s="177" t="n">
        <v>5.12</v>
      </c>
    </row>
    <row r="1022" ht="15" customHeight="1" s="95">
      <c r="A1022" s="143" t="n">
        <v>45260</v>
      </c>
      <c r="B1022" s="177" t="n">
        <v>5.56</v>
      </c>
      <c r="C1022" s="177" t="n">
        <v>5.45</v>
      </c>
      <c r="D1022" s="177" t="n">
        <v>5.38</v>
      </c>
      <c r="E1022" s="177" t="n">
        <v>5.16</v>
      </c>
    </row>
    <row r="1023" ht="15" customHeight="1" s="95">
      <c r="A1023" s="143" t="n">
        <v>45261</v>
      </c>
      <c r="B1023" s="177" t="n">
        <v>5.55</v>
      </c>
      <c r="C1023" s="177" t="n">
        <v>5.43</v>
      </c>
      <c r="D1023" s="177" t="n">
        <v>5.33</v>
      </c>
      <c r="E1023" s="177" t="n">
        <v>5.05</v>
      </c>
    </row>
    <row r="1024" ht="15" customHeight="1" s="95">
      <c r="A1024" s="143" t="n">
        <v>45264</v>
      </c>
      <c r="B1024" s="177" t="n">
        <v>5.55</v>
      </c>
      <c r="C1024" s="177" t="n">
        <v>5.46</v>
      </c>
      <c r="D1024" s="177" t="n">
        <v>5.41</v>
      </c>
      <c r="E1024" s="177" t="n">
        <v>5.1</v>
      </c>
    </row>
    <row r="1025" ht="15" customHeight="1" s="95">
      <c r="A1025" s="143" t="n">
        <v>45265</v>
      </c>
      <c r="B1025" s="177" t="n">
        <v>5.54</v>
      </c>
      <c r="C1025" s="177" t="n">
        <v>5.45</v>
      </c>
      <c r="D1025" s="177" t="n">
        <v>5.37</v>
      </c>
      <c r="E1025" s="177" t="n">
        <v>5.06</v>
      </c>
    </row>
    <row r="1026" ht="15" customHeight="1" s="95">
      <c r="A1026" s="143" t="n">
        <v>45266</v>
      </c>
      <c r="B1026" s="177" t="n">
        <v>5.54</v>
      </c>
      <c r="C1026" s="177" t="n">
        <v>5.45</v>
      </c>
      <c r="D1026" s="177" t="n">
        <v>5.38</v>
      </c>
      <c r="E1026" s="177" t="n">
        <v>5.07</v>
      </c>
    </row>
    <row r="1027" ht="15" customHeight="1" s="95">
      <c r="A1027" s="143" t="n">
        <v>45267</v>
      </c>
      <c r="B1027" s="177" t="n">
        <v>5.53</v>
      </c>
      <c r="C1027" s="177" t="n">
        <v>5.44</v>
      </c>
      <c r="D1027" s="177" t="n">
        <v>5.36</v>
      </c>
      <c r="E1027" s="177" t="n">
        <v>5.05</v>
      </c>
    </row>
    <row r="1028" ht="15" customHeight="1" s="95">
      <c r="A1028" s="143" t="n">
        <v>45268</v>
      </c>
      <c r="B1028" s="177" t="n">
        <v>5.54</v>
      </c>
      <c r="C1028" s="177" t="n">
        <v>5.44</v>
      </c>
      <c r="D1028" s="177" t="n">
        <v>5.39</v>
      </c>
      <c r="E1028" s="177" t="n">
        <v>5.13</v>
      </c>
    </row>
    <row r="1029" ht="15" customHeight="1" s="95">
      <c r="A1029" s="143" t="n">
        <v>45271</v>
      </c>
      <c r="B1029" s="177" t="n">
        <v>5.55</v>
      </c>
      <c r="C1029" s="177" t="n">
        <v>5.47</v>
      </c>
      <c r="D1029" s="177" t="n">
        <v>5.4</v>
      </c>
      <c r="E1029" s="177" t="n">
        <v>5.14</v>
      </c>
    </row>
    <row r="1030" ht="15" customHeight="1" s="95">
      <c r="A1030" s="143" t="n">
        <v>45272</v>
      </c>
      <c r="B1030" s="177" t="n">
        <v>5.53</v>
      </c>
      <c r="C1030" s="177" t="n">
        <v>5.46</v>
      </c>
      <c r="D1030" s="177" t="n">
        <v>5.41</v>
      </c>
      <c r="E1030" s="177" t="n">
        <v>5.14</v>
      </c>
    </row>
    <row r="1031" ht="15" customHeight="1" s="95">
      <c r="A1031" s="143" t="n">
        <v>45273</v>
      </c>
      <c r="B1031" s="177" t="n">
        <v>5.52</v>
      </c>
      <c r="C1031" s="177" t="n">
        <v>5.44</v>
      </c>
      <c r="D1031" s="177" t="n">
        <v>5.33</v>
      </c>
      <c r="E1031" s="177" t="n">
        <v>4.94</v>
      </c>
    </row>
    <row r="1032" ht="15" customHeight="1" s="95">
      <c r="A1032" s="143" t="n">
        <v>45274</v>
      </c>
      <c r="B1032" s="177" t="n">
        <v>5.54</v>
      </c>
      <c r="C1032" s="177" t="n">
        <v>5.43</v>
      </c>
      <c r="D1032" s="177" t="n">
        <v>5.31</v>
      </c>
      <c r="E1032" s="177" t="n">
        <v>4.9</v>
      </c>
    </row>
    <row r="1033" ht="15" customHeight="1" s="95">
      <c r="A1033" s="143" t="n">
        <v>45275</v>
      </c>
      <c r="B1033" s="177" t="n">
        <v>5.54</v>
      </c>
      <c r="C1033" s="177" t="n">
        <v>5.44</v>
      </c>
      <c r="D1033" s="177" t="n">
        <v>5.33</v>
      </c>
      <c r="E1033" s="177" t="n">
        <v>4.95</v>
      </c>
    </row>
    <row r="1034" ht="15" customHeight="1" s="95">
      <c r="A1034" s="143" t="n">
        <v>45278</v>
      </c>
      <c r="B1034" s="177" t="n">
        <v>5.52</v>
      </c>
      <c r="C1034" s="177" t="n">
        <v>5.46</v>
      </c>
      <c r="D1034" s="177" t="n">
        <v>5.36</v>
      </c>
      <c r="E1034" s="177" t="n">
        <v>4.95</v>
      </c>
    </row>
    <row r="1035" ht="15" customHeight="1" s="95">
      <c r="A1035" s="143" t="n">
        <v>45279</v>
      </c>
      <c r="B1035" s="177" t="n">
        <v>5.51</v>
      </c>
      <c r="C1035" s="177" t="n">
        <v>5.43</v>
      </c>
      <c r="D1035" s="177" t="n">
        <v>5.35</v>
      </c>
      <c r="E1035" s="177" t="n">
        <v>4.93</v>
      </c>
    </row>
    <row r="1036" ht="15" customHeight="1" s="95">
      <c r="A1036" s="143" t="n">
        <v>45280</v>
      </c>
      <c r="B1036" s="177" t="n">
        <v>5.5</v>
      </c>
      <c r="C1036" s="177" t="n">
        <v>5.44</v>
      </c>
      <c r="D1036" s="177" t="n">
        <v>5.33</v>
      </c>
      <c r="E1036" s="177" t="n">
        <v>4.88</v>
      </c>
    </row>
    <row r="1037" ht="15" customHeight="1" s="95">
      <c r="A1037" s="143" t="n">
        <v>45281</v>
      </c>
      <c r="B1037" s="177" t="n">
        <v>5.54</v>
      </c>
      <c r="C1037" s="177" t="n">
        <v>5.42</v>
      </c>
      <c r="D1037" s="177" t="n">
        <v>5.31</v>
      </c>
      <c r="E1037" s="177" t="n">
        <v>4.84</v>
      </c>
    </row>
    <row r="1038" ht="15" customHeight="1" s="95">
      <c r="A1038" s="143" t="n">
        <v>45282</v>
      </c>
      <c r="B1038" s="177" t="n">
        <v>5.54</v>
      </c>
      <c r="C1038" s="177" t="n">
        <v>5.44</v>
      </c>
      <c r="D1038" s="177" t="n">
        <v>5.31</v>
      </c>
      <c r="E1038" s="177" t="n">
        <v>4.82</v>
      </c>
    </row>
    <row r="1039" ht="15" customHeight="1" s="95">
      <c r="A1039" s="143" t="n">
        <v>45285</v>
      </c>
    </row>
    <row r="1040" ht="15" customHeight="1" s="95">
      <c r="A1040" s="143" t="n">
        <v>45286</v>
      </c>
      <c r="B1040" s="177" t="n">
        <v>5.53</v>
      </c>
      <c r="C1040" s="177" t="n">
        <v>5.45</v>
      </c>
      <c r="D1040" s="177" t="n">
        <v>5.28</v>
      </c>
      <c r="E1040" s="177" t="n">
        <v>4.83</v>
      </c>
    </row>
    <row r="1041" ht="15" customHeight="1" s="95">
      <c r="A1041" s="143" t="n">
        <v>45287</v>
      </c>
      <c r="B1041" s="177" t="n">
        <v>5.55</v>
      </c>
      <c r="C1041" s="177" t="n">
        <v>5.44</v>
      </c>
      <c r="D1041" s="177" t="n">
        <v>5.26</v>
      </c>
      <c r="E1041" s="177" t="n">
        <v>4.79</v>
      </c>
    </row>
    <row r="1042" ht="15" customHeight="1" s="95">
      <c r="A1042" s="143" t="n">
        <v>45288</v>
      </c>
      <c r="B1042" s="177" t="n">
        <v>5.57</v>
      </c>
      <c r="C1042" s="177" t="n">
        <v>5.45</v>
      </c>
      <c r="D1042" s="177" t="n">
        <v>5.28</v>
      </c>
      <c r="E1042" s="177" t="n">
        <v>4.82</v>
      </c>
    </row>
    <row r="1043" ht="15" customHeight="1" s="95">
      <c r="A1043" s="143" t="n">
        <v>45289</v>
      </c>
      <c r="B1043" s="177" t="n">
        <v>5.6</v>
      </c>
      <c r="C1043" s="177" t="n">
        <v>5.4</v>
      </c>
      <c r="D1043" s="177" t="n">
        <v>5.26</v>
      </c>
      <c r="E1043" s="177" t="n">
        <v>4.79</v>
      </c>
    </row>
    <row r="1044" ht="15" customHeight="1" s="95">
      <c r="A1044" s="143" t="n">
        <v>45292</v>
      </c>
    </row>
    <row r="1045" ht="15" customHeight="1" s="95">
      <c r="A1045" s="143" t="n">
        <v>45293</v>
      </c>
      <c r="B1045" s="177" t="n">
        <v>5.55</v>
      </c>
      <c r="C1045" s="177" t="n">
        <v>5.46</v>
      </c>
      <c r="D1045" s="177" t="n">
        <v>5.24</v>
      </c>
      <c r="E1045" s="177" t="n">
        <v>4.8</v>
      </c>
    </row>
    <row r="1046" ht="15" customHeight="1" s="95">
      <c r="A1046" s="143" t="n">
        <v>45294</v>
      </c>
      <c r="B1046" s="177" t="n">
        <v>5.54</v>
      </c>
      <c r="C1046" s="177" t="n">
        <v>5.48</v>
      </c>
      <c r="D1046" s="177" t="n">
        <v>5.25</v>
      </c>
      <c r="E1046" s="177" t="n">
        <v>4.81</v>
      </c>
    </row>
    <row r="1047" ht="15" customHeight="1" s="95">
      <c r="A1047" s="143" t="n">
        <v>45295</v>
      </c>
      <c r="B1047" s="177" t="n">
        <v>5.56</v>
      </c>
      <c r="C1047" s="177" t="n">
        <v>5.48</v>
      </c>
      <c r="D1047" s="177" t="n">
        <v>5.25</v>
      </c>
      <c r="E1047" s="177" t="n">
        <v>4.85</v>
      </c>
    </row>
    <row r="1048" ht="15" customHeight="1" s="95">
      <c r="A1048" s="143" t="n">
        <v>45296</v>
      </c>
      <c r="B1048" s="177" t="n">
        <v>5.54</v>
      </c>
      <c r="C1048" s="177" t="n">
        <v>5.47</v>
      </c>
      <c r="D1048" s="177" t="n">
        <v>5.24</v>
      </c>
      <c r="E1048" s="177" t="n">
        <v>4.84</v>
      </c>
    </row>
    <row r="1049" ht="15" customHeight="1" s="95">
      <c r="A1049" s="143" t="n">
        <v>45299</v>
      </c>
      <c r="B1049" s="177" t="n">
        <v>5.54</v>
      </c>
      <c r="C1049" s="177" t="n">
        <v>5.49</v>
      </c>
      <c r="D1049" s="177" t="n">
        <v>5.24</v>
      </c>
      <c r="E1049" s="177" t="n">
        <v>4.82</v>
      </c>
    </row>
    <row r="1050" ht="15" customHeight="1" s="95">
      <c r="A1050" s="143" t="n">
        <v>45300</v>
      </c>
      <c r="B1050" s="177" t="n">
        <v>5.53</v>
      </c>
      <c r="C1050" s="177" t="n">
        <v>5.47</v>
      </c>
      <c r="D1050" s="177" t="n">
        <v>5.24</v>
      </c>
      <c r="E1050" s="177" t="n">
        <v>4.82</v>
      </c>
    </row>
    <row r="1051" ht="15" customHeight="1" s="95">
      <c r="A1051" s="143" t="n">
        <v>45301</v>
      </c>
      <c r="B1051" s="177" t="n">
        <v>5.53</v>
      </c>
      <c r="C1051" s="177" t="n">
        <v>5.46</v>
      </c>
      <c r="D1051" s="177" t="n">
        <v>5.23</v>
      </c>
      <c r="E1051" s="177" t="n">
        <v>4.82</v>
      </c>
    </row>
    <row r="1052" ht="15" customHeight="1" s="95">
      <c r="A1052" s="143" t="n">
        <v>45302</v>
      </c>
      <c r="B1052" s="177" t="n">
        <v>5.54</v>
      </c>
      <c r="C1052" s="177" t="n">
        <v>5.46</v>
      </c>
      <c r="D1052" s="177" t="n">
        <v>5.22</v>
      </c>
      <c r="E1052" s="177" t="n">
        <v>4.75</v>
      </c>
    </row>
    <row r="1053" ht="15" customHeight="1" s="95">
      <c r="A1053" s="143" t="n">
        <v>45303</v>
      </c>
      <c r="B1053" s="177" t="n">
        <v>5.55</v>
      </c>
      <c r="C1053" s="177" t="n">
        <v>5.45</v>
      </c>
      <c r="D1053" s="177" t="n">
        <v>5.16</v>
      </c>
      <c r="E1053" s="177" t="n">
        <v>4.65</v>
      </c>
    </row>
    <row r="1054" ht="15" customHeight="1" s="95">
      <c r="A1054" s="143" t="n">
        <v>45306</v>
      </c>
    </row>
    <row r="1055" ht="15" customHeight="1" s="95">
      <c r="A1055" s="143" t="n">
        <v>45307</v>
      </c>
      <c r="B1055" s="177" t="n">
        <v>5.54</v>
      </c>
      <c r="C1055" s="177" t="n">
        <v>5.45</v>
      </c>
      <c r="D1055" s="177" t="n">
        <v>5.18</v>
      </c>
      <c r="E1055" s="177" t="n">
        <v>4.7</v>
      </c>
    </row>
    <row r="1056" ht="15" customHeight="1" s="95">
      <c r="A1056" s="143" t="n">
        <v>45308</v>
      </c>
      <c r="B1056" s="177" t="n">
        <v>5.54</v>
      </c>
      <c r="C1056" s="177" t="n">
        <v>5.47</v>
      </c>
      <c r="D1056" s="177" t="n">
        <v>5.2</v>
      </c>
      <c r="E1056" s="177" t="n">
        <v>4.8</v>
      </c>
    </row>
    <row r="1057" ht="15" customHeight="1" s="95">
      <c r="A1057" s="143" t="n">
        <v>45309</v>
      </c>
      <c r="B1057" s="177" t="n">
        <v>5.53</v>
      </c>
      <c r="C1057" s="177" t="n">
        <v>5.45</v>
      </c>
      <c r="D1057" s="177" t="n">
        <v>5.2</v>
      </c>
      <c r="E1057" s="177" t="n">
        <v>4.8</v>
      </c>
    </row>
    <row r="1058" ht="15" customHeight="1" s="95">
      <c r="A1058" s="143" t="n">
        <v>45310</v>
      </c>
      <c r="B1058" s="177" t="n">
        <v>5.54</v>
      </c>
      <c r="C1058" s="177" t="n">
        <v>5.45</v>
      </c>
      <c r="D1058" s="177" t="n">
        <v>5.21</v>
      </c>
      <c r="E1058" s="177" t="n">
        <v>4.84</v>
      </c>
    </row>
    <row r="1059" ht="15" customHeight="1" s="95">
      <c r="A1059" s="143" t="n">
        <v>45313</v>
      </c>
      <c r="B1059" s="177" t="n">
        <v>5.53</v>
      </c>
      <c r="C1059" s="177" t="n">
        <v>5.46</v>
      </c>
      <c r="D1059" s="177" t="n">
        <v>5.22</v>
      </c>
      <c r="E1059" s="177" t="n">
        <v>4.83</v>
      </c>
    </row>
    <row r="1060" ht="15" customHeight="1" s="95">
      <c r="A1060" s="143" t="n">
        <v>45314</v>
      </c>
      <c r="B1060" s="177" t="n">
        <v>5.53</v>
      </c>
      <c r="C1060" s="177" t="n">
        <v>5.45</v>
      </c>
      <c r="D1060" s="177" t="n">
        <v>5.21</v>
      </c>
      <c r="E1060" s="177" t="n">
        <v>4.81</v>
      </c>
    </row>
    <row r="1061" ht="15" customHeight="1" s="95">
      <c r="A1061" s="143" t="n">
        <v>45315</v>
      </c>
      <c r="B1061" s="177" t="n">
        <v>5.52</v>
      </c>
      <c r="C1061" s="177" t="n">
        <v>5.44</v>
      </c>
      <c r="D1061" s="177" t="n">
        <v>5.22</v>
      </c>
      <c r="E1061" s="177" t="n">
        <v>4.83</v>
      </c>
    </row>
    <row r="1062" ht="15" customHeight="1" s="95">
      <c r="A1062" s="143" t="n">
        <v>45316</v>
      </c>
      <c r="B1062" s="177" t="n">
        <v>5.54</v>
      </c>
      <c r="C1062" s="177" t="n">
        <v>5.44</v>
      </c>
      <c r="D1062" s="177" t="n">
        <v>5.19</v>
      </c>
      <c r="E1062" s="177" t="n">
        <v>4.76</v>
      </c>
    </row>
    <row r="1063" ht="15" customHeight="1" s="95">
      <c r="A1063" s="143" t="n">
        <v>45317</v>
      </c>
      <c r="B1063" s="177" t="n">
        <v>5.54</v>
      </c>
      <c r="C1063" s="177" t="n">
        <v>5.44</v>
      </c>
      <c r="D1063" s="177" t="n">
        <v>5.19</v>
      </c>
      <c r="E1063" s="177" t="n">
        <v>4.78</v>
      </c>
    </row>
    <row r="1064" ht="15" customHeight="1" s="95">
      <c r="A1064" s="143" t="n">
        <v>45320</v>
      </c>
      <c r="B1064" s="177" t="n">
        <v>5.53</v>
      </c>
      <c r="C1064" s="177" t="n">
        <v>5.42</v>
      </c>
      <c r="D1064" s="177" t="n">
        <v>5.19</v>
      </c>
      <c r="E1064" s="177" t="n">
        <v>4.76</v>
      </c>
    </row>
    <row r="1065" ht="15" customHeight="1" s="95">
      <c r="A1065" s="143" t="n">
        <v>45321</v>
      </c>
      <c r="B1065" s="177" t="n">
        <v>5.53</v>
      </c>
      <c r="C1065" s="177" t="n">
        <v>5.42</v>
      </c>
      <c r="D1065" s="177" t="n">
        <v>5.19</v>
      </c>
      <c r="E1065" s="177" t="n">
        <v>4.8</v>
      </c>
    </row>
    <row r="1066" ht="15" customHeight="1" s="95">
      <c r="A1066" s="143" t="n">
        <v>45322</v>
      </c>
      <c r="B1066" s="177" t="n">
        <v>5.53</v>
      </c>
      <c r="C1066" s="177" t="n">
        <v>5.42</v>
      </c>
      <c r="D1066" s="177" t="n">
        <v>5.18</v>
      </c>
      <c r="E1066" s="177" t="n">
        <v>4.73</v>
      </c>
    </row>
    <row r="1067" ht="15" customHeight="1" s="95">
      <c r="A1067" s="143" t="n">
        <v>45323</v>
      </c>
      <c r="B1067" s="177" t="n">
        <v>5.49</v>
      </c>
      <c r="C1067" s="177" t="n">
        <v>5.42</v>
      </c>
      <c r="D1067" s="177" t="n">
        <v>5.15</v>
      </c>
      <c r="E1067" s="177" t="n">
        <v>4.68</v>
      </c>
    </row>
    <row r="1068" ht="15" customHeight="1" s="95">
      <c r="A1068" s="143" t="n">
        <v>45324</v>
      </c>
      <c r="B1068" s="177" t="n">
        <v>5.49</v>
      </c>
      <c r="C1068" s="177" t="n">
        <v>5.43</v>
      </c>
      <c r="D1068" s="177" t="n">
        <v>5.22</v>
      </c>
      <c r="E1068" s="177" t="n">
        <v>4.81</v>
      </c>
    </row>
    <row r="1069" ht="15" customHeight="1" s="95">
      <c r="A1069" s="143" t="n">
        <v>45327</v>
      </c>
      <c r="B1069" s="177" t="n">
        <v>5.49</v>
      </c>
      <c r="C1069" s="177" t="n">
        <v>5.42</v>
      </c>
      <c r="D1069" s="177" t="n">
        <v>5.25</v>
      </c>
      <c r="E1069" s="177" t="n">
        <v>4.87</v>
      </c>
    </row>
    <row r="1070" ht="15" customHeight="1" s="95">
      <c r="A1070" s="143" t="n">
        <v>45328</v>
      </c>
      <c r="B1070" s="177" t="n">
        <v>5.48</v>
      </c>
      <c r="C1070" s="177" t="n">
        <v>5.44</v>
      </c>
      <c r="D1070" s="177" t="n">
        <v>5.23</v>
      </c>
      <c r="E1070" s="177" t="n">
        <v>4.82</v>
      </c>
    </row>
    <row r="1071" ht="15" customHeight="1" s="95">
      <c r="A1071" s="143" t="n">
        <v>45329</v>
      </c>
      <c r="B1071" s="177" t="n">
        <v>5.47</v>
      </c>
      <c r="C1071" s="177" t="n">
        <v>5.43</v>
      </c>
      <c r="D1071" s="177" t="n">
        <v>5.23</v>
      </c>
      <c r="E1071" s="177" t="n">
        <v>4.83</v>
      </c>
    </row>
    <row r="1072" ht="15" customHeight="1" s="95">
      <c r="A1072" s="143" t="n">
        <v>45330</v>
      </c>
      <c r="B1072" s="177" t="n">
        <v>5.49</v>
      </c>
      <c r="C1072" s="177" t="n">
        <v>5.44</v>
      </c>
      <c r="D1072" s="177" t="n">
        <v>5.24</v>
      </c>
      <c r="E1072" s="177" t="n">
        <v>4.83</v>
      </c>
    </row>
    <row r="1073" ht="15" customHeight="1" s="95">
      <c r="A1073" s="143" t="n">
        <v>45331</v>
      </c>
      <c r="B1073" s="177" t="n">
        <v>5.49</v>
      </c>
      <c r="C1073" s="177" t="n">
        <v>5.44</v>
      </c>
      <c r="D1073" s="177" t="n">
        <v>5.26</v>
      </c>
      <c r="E1073" s="177" t="n">
        <v>4.86</v>
      </c>
    </row>
    <row r="1074" ht="15" customHeight="1" s="95">
      <c r="A1074" s="143" t="n">
        <v>45334</v>
      </c>
      <c r="B1074" s="177" t="n">
        <v>5.49</v>
      </c>
      <c r="C1074" s="177" t="n">
        <v>5.43</v>
      </c>
      <c r="D1074" s="177" t="n">
        <v>5.27</v>
      </c>
      <c r="E1074" s="177" t="n">
        <v>4.87</v>
      </c>
    </row>
    <row r="1075" ht="15" customHeight="1" s="95">
      <c r="A1075" s="143" t="n">
        <v>45335</v>
      </c>
      <c r="B1075" s="177" t="n">
        <v>5.48</v>
      </c>
      <c r="C1075" s="177" t="n">
        <v>5.45</v>
      </c>
      <c r="D1075" s="177" t="n">
        <v>5.32</v>
      </c>
      <c r="E1075" s="177" t="n">
        <v>4.99</v>
      </c>
    </row>
    <row r="1076" ht="15" customHeight="1" s="95">
      <c r="A1076" s="143" t="n">
        <v>45336</v>
      </c>
      <c r="B1076" s="177" t="n">
        <v>5.48</v>
      </c>
      <c r="C1076" s="177" t="n">
        <v>5.43</v>
      </c>
      <c r="D1076" s="177" t="n">
        <v>5.31</v>
      </c>
      <c r="E1076" s="177" t="n">
        <v>4.94</v>
      </c>
    </row>
    <row r="1077" ht="15" customHeight="1" s="95">
      <c r="A1077" s="143" t="n">
        <v>45337</v>
      </c>
      <c r="B1077" s="177" t="n">
        <v>5.49</v>
      </c>
      <c r="C1077" s="177" t="n">
        <v>5.43</v>
      </c>
      <c r="D1077" s="177" t="n">
        <v>5.3</v>
      </c>
      <c r="E1077" s="177" t="n">
        <v>4.93</v>
      </c>
    </row>
    <row r="1078" ht="15" customHeight="1" s="95">
      <c r="A1078" s="143" t="n">
        <v>45338</v>
      </c>
      <c r="B1078" s="177" t="n">
        <v>5.48</v>
      </c>
      <c r="C1078" s="177" t="n">
        <v>5.44</v>
      </c>
      <c r="D1078" s="177" t="n">
        <v>5.31</v>
      </c>
      <c r="E1078" s="177" t="n">
        <v>4.98</v>
      </c>
    </row>
    <row r="1079" ht="15" customHeight="1" s="95">
      <c r="A1079" s="143" t="n">
        <v>45341</v>
      </c>
    </row>
    <row r="1080" ht="15" customHeight="1" s="95">
      <c r="A1080" s="143" t="n">
        <v>45342</v>
      </c>
      <c r="B1080" s="177" t="n">
        <v>5.49</v>
      </c>
      <c r="C1080" s="177" t="n">
        <v>5.44</v>
      </c>
      <c r="D1080" s="177" t="n">
        <v>5.32</v>
      </c>
      <c r="E1080" s="177" t="n">
        <v>4.97</v>
      </c>
    </row>
    <row r="1081" ht="15" customHeight="1" s="95">
      <c r="A1081" s="143" t="n">
        <v>45343</v>
      </c>
      <c r="B1081" s="177" t="n">
        <v>5.5</v>
      </c>
      <c r="C1081" s="177" t="n">
        <v>5.44</v>
      </c>
      <c r="D1081" s="177" t="n">
        <v>5.32</v>
      </c>
      <c r="E1081" s="177" t="n">
        <v>4.98</v>
      </c>
    </row>
    <row r="1082" ht="15" customHeight="1" s="95">
      <c r="A1082" s="143" t="n">
        <v>45344</v>
      </c>
      <c r="B1082" s="177" t="n">
        <v>5.49</v>
      </c>
      <c r="C1082" s="177" t="n">
        <v>5.45</v>
      </c>
      <c r="D1082" s="177" t="n">
        <v>5.32</v>
      </c>
      <c r="E1082" s="177" t="n">
        <v>5.02</v>
      </c>
    </row>
    <row r="1083" ht="15" customHeight="1" s="95">
      <c r="A1083" s="143" t="n">
        <v>45345</v>
      </c>
      <c r="B1083" s="177" t="n">
        <v>5.49</v>
      </c>
      <c r="C1083" s="177" t="n">
        <v>5.46</v>
      </c>
      <c r="D1083" s="177" t="n">
        <v>5.32</v>
      </c>
      <c r="E1083" s="177" t="n">
        <v>5</v>
      </c>
    </row>
    <row r="1084" ht="15" customHeight="1" s="95">
      <c r="A1084" s="143" t="n">
        <v>45348</v>
      </c>
      <c r="B1084" s="177" t="n">
        <v>5.5</v>
      </c>
      <c r="C1084" s="177" t="n">
        <v>5.47</v>
      </c>
      <c r="D1084" s="177" t="n">
        <v>5.34</v>
      </c>
      <c r="E1084" s="177" t="n">
        <v>5.03</v>
      </c>
    </row>
    <row r="1085" ht="15" customHeight="1" s="95">
      <c r="A1085" s="143" t="n">
        <v>45349</v>
      </c>
      <c r="B1085" s="177" t="n">
        <v>5.5</v>
      </c>
      <c r="C1085" s="177" t="n">
        <v>5.45</v>
      </c>
      <c r="D1085" s="177" t="n">
        <v>5.33</v>
      </c>
      <c r="E1085" s="177" t="n">
        <v>5.03</v>
      </c>
    </row>
    <row r="1086" ht="15" customHeight="1" s="95">
      <c r="A1086" s="143" t="n">
        <v>45350</v>
      </c>
      <c r="B1086" s="177" t="n">
        <v>5.5</v>
      </c>
      <c r="C1086" s="177" t="n">
        <v>5.45</v>
      </c>
      <c r="D1086" s="177" t="n">
        <v>5.31</v>
      </c>
      <c r="E1086" s="177" t="n">
        <v>5</v>
      </c>
    </row>
    <row r="1087" ht="15" customHeight="1" s="95">
      <c r="A1087" s="143" t="n">
        <v>45351</v>
      </c>
      <c r="B1087" s="177" t="n">
        <v>5.53</v>
      </c>
      <c r="C1087" s="177" t="n">
        <v>5.45</v>
      </c>
      <c r="D1087" s="177" t="n">
        <v>5.3</v>
      </c>
      <c r="E1087" s="177" t="n">
        <v>5.01</v>
      </c>
    </row>
    <row r="1088" ht="15" customHeight="1" s="95">
      <c r="A1088" s="143" t="n">
        <v>45352</v>
      </c>
      <c r="B1088" s="177" t="n">
        <v>5.54</v>
      </c>
      <c r="C1088" s="177" t="n">
        <v>5.42</v>
      </c>
      <c r="D1088" s="177" t="n">
        <v>5.27</v>
      </c>
      <c r="E1088" s="177" t="n">
        <v>4.94</v>
      </c>
    </row>
    <row r="1089" ht="15" customHeight="1" s="95">
      <c r="A1089" s="143" t="n">
        <v>45355</v>
      </c>
      <c r="B1089" s="177" t="n">
        <v>5.51</v>
      </c>
      <c r="C1089" s="177" t="n">
        <v>5.48</v>
      </c>
      <c r="D1089" s="177" t="n">
        <v>5.37</v>
      </c>
      <c r="E1089" s="177" t="n">
        <v>4.98</v>
      </c>
    </row>
    <row r="1090" ht="15" customHeight="1" s="95">
      <c r="A1090" s="143" t="n">
        <v>45356</v>
      </c>
      <c r="B1090" s="177" t="n">
        <v>5.5</v>
      </c>
      <c r="C1090" s="177" t="n">
        <v>5.47</v>
      </c>
      <c r="D1090" s="177" t="n">
        <v>5.35</v>
      </c>
      <c r="E1090" s="177" t="n">
        <v>4.94</v>
      </c>
    </row>
    <row r="1091" ht="15" customHeight="1" s="95">
      <c r="A1091" s="143" t="n">
        <v>45357</v>
      </c>
      <c r="B1091" s="177" t="n">
        <v>5.5</v>
      </c>
      <c r="C1091" s="177" t="n">
        <v>5.47</v>
      </c>
      <c r="D1091" s="177" t="n">
        <v>5.35</v>
      </c>
      <c r="E1091" s="177" t="n">
        <v>4.95</v>
      </c>
    </row>
    <row r="1092" ht="15" customHeight="1" s="95">
      <c r="A1092" s="143" t="n">
        <v>45358</v>
      </c>
      <c r="B1092" s="177" t="n">
        <v>5.51</v>
      </c>
      <c r="C1092" s="177" t="n">
        <v>5.47</v>
      </c>
      <c r="D1092" s="177" t="n">
        <v>5.34</v>
      </c>
      <c r="E1092" s="177" t="n">
        <v>4.93</v>
      </c>
    </row>
    <row r="1093" ht="15" customHeight="1" s="95">
      <c r="A1093" s="143" t="n">
        <v>45359</v>
      </c>
      <c r="B1093" s="177" t="n">
        <v>5.51</v>
      </c>
      <c r="C1093" s="177" t="n">
        <v>5.46</v>
      </c>
      <c r="D1093" s="177" t="n">
        <v>5.34</v>
      </c>
      <c r="E1093" s="177" t="n">
        <v>4.92</v>
      </c>
    </row>
    <row r="1094" ht="15" customHeight="1" s="95">
      <c r="A1094" s="143" t="n">
        <v>45362</v>
      </c>
      <c r="B1094" s="177" t="n">
        <v>5.5</v>
      </c>
      <c r="C1094" s="177" t="n">
        <v>5.48</v>
      </c>
      <c r="D1094" s="177" t="n">
        <v>5.35</v>
      </c>
      <c r="E1094" s="177" t="n">
        <v>4.95</v>
      </c>
    </row>
    <row r="1095" ht="15" customHeight="1" s="95">
      <c r="A1095" s="143" t="n">
        <v>45363</v>
      </c>
      <c r="B1095" s="177" t="n">
        <v>5.52</v>
      </c>
      <c r="C1095" s="177" t="n">
        <v>5.48</v>
      </c>
      <c r="D1095" s="177" t="n">
        <v>5.37</v>
      </c>
      <c r="E1095" s="177" t="n">
        <v>5</v>
      </c>
    </row>
    <row r="1096" ht="15" customHeight="1" s="95">
      <c r="A1096" s="143" t="n">
        <v>45364</v>
      </c>
      <c r="B1096" s="177" t="n">
        <v>5.52</v>
      </c>
      <c r="C1096" s="177" t="n">
        <v>5.48</v>
      </c>
      <c r="D1096" s="177" t="n">
        <v>5.37</v>
      </c>
      <c r="E1096" s="177" t="n">
        <v>5.01</v>
      </c>
    </row>
    <row r="1097" ht="15" customHeight="1" s="95">
      <c r="A1097" s="143" t="n">
        <v>45365</v>
      </c>
      <c r="B1097" s="177" t="n">
        <v>5.52</v>
      </c>
      <c r="C1097" s="177" t="n">
        <v>5.48</v>
      </c>
      <c r="D1097" s="177" t="n">
        <v>5.38</v>
      </c>
      <c r="E1097" s="177" t="n">
        <v>5.04</v>
      </c>
    </row>
    <row r="1098" ht="15" customHeight="1" s="95">
      <c r="A1098" s="143" t="n">
        <v>45366</v>
      </c>
      <c r="B1098" s="177" t="n">
        <v>5.52</v>
      </c>
      <c r="C1098" s="177" t="n">
        <v>5.48</v>
      </c>
      <c r="D1098" s="177" t="n">
        <v>5.38</v>
      </c>
      <c r="E1098" s="177" t="n">
        <v>5.05</v>
      </c>
    </row>
    <row r="1099" ht="15" customHeight="1" s="95">
      <c r="A1099" s="143" t="n">
        <v>45369</v>
      </c>
      <c r="B1099" s="177" t="n">
        <v>5.52</v>
      </c>
      <c r="C1099" s="177" t="n">
        <v>5.48</v>
      </c>
      <c r="D1099" s="177" t="n">
        <v>5.39</v>
      </c>
      <c r="E1099" s="177" t="n">
        <v>5.06</v>
      </c>
    </row>
    <row r="1100" ht="15" customHeight="1" s="95">
      <c r="A1100" s="143" t="n">
        <v>45370</v>
      </c>
      <c r="B1100" s="177" t="n">
        <v>5.52</v>
      </c>
      <c r="C1100" s="177" t="n">
        <v>5.48</v>
      </c>
      <c r="D1100" s="177" t="n">
        <v>5.39</v>
      </c>
      <c r="E1100" s="177" t="n">
        <v>5.06</v>
      </c>
    </row>
    <row r="1101" ht="15" customHeight="1" s="95">
      <c r="A1101" s="143" t="n">
        <v>45371</v>
      </c>
      <c r="B1101" s="177" t="n">
        <v>5.5</v>
      </c>
      <c r="C1101" s="177" t="n">
        <v>5.47</v>
      </c>
      <c r="D1101" s="177" t="n">
        <v>5.36</v>
      </c>
      <c r="E1101" s="177" t="n">
        <v>5.01</v>
      </c>
    </row>
    <row r="1102" ht="15" customHeight="1" s="95">
      <c r="A1102" s="143" t="n">
        <v>45372</v>
      </c>
      <c r="B1102" s="177" t="n">
        <v>5.51</v>
      </c>
      <c r="C1102" s="177" t="n">
        <v>5.48</v>
      </c>
      <c r="D1102" s="177" t="n">
        <v>5.36</v>
      </c>
      <c r="E1102" s="177" t="n">
        <v>5.01</v>
      </c>
    </row>
    <row r="1103" ht="15" customHeight="1" s="95">
      <c r="A1103" s="143" t="n">
        <v>45373</v>
      </c>
      <c r="B1103" s="177" t="n">
        <v>5.51</v>
      </c>
      <c r="C1103" s="177" t="n">
        <v>5.46</v>
      </c>
      <c r="D1103" s="177" t="n">
        <v>5.34</v>
      </c>
      <c r="E1103" s="177" t="n">
        <v>4.98</v>
      </c>
    </row>
    <row r="1104" ht="15" customHeight="1" s="95">
      <c r="A1104" s="143" t="n">
        <v>45376</v>
      </c>
      <c r="B1104" s="177" t="n">
        <v>5.51</v>
      </c>
      <c r="C1104" s="177" t="n">
        <v>5.46</v>
      </c>
      <c r="D1104" s="177" t="n">
        <v>5.36</v>
      </c>
      <c r="E1104" s="177" t="n">
        <v>5</v>
      </c>
    </row>
    <row r="1105" ht="15" customHeight="1" s="95">
      <c r="A1105" s="143" t="n">
        <v>45377</v>
      </c>
      <c r="B1105" s="177" t="n">
        <v>5.5</v>
      </c>
      <c r="C1105" s="177" t="n">
        <v>5.46</v>
      </c>
      <c r="D1105" s="177" t="n">
        <v>5.36</v>
      </c>
      <c r="E1105" s="177" t="n">
        <v>5</v>
      </c>
    </row>
    <row r="1106" ht="15" customHeight="1" s="95">
      <c r="A1106" s="143" t="n">
        <v>45378</v>
      </c>
      <c r="B1106" s="177" t="n">
        <v>5.5</v>
      </c>
      <c r="C1106" s="177" t="n">
        <v>5.45</v>
      </c>
      <c r="D1106" s="177" t="n">
        <v>5.36</v>
      </c>
      <c r="E1106" s="177" t="n">
        <v>4.99</v>
      </c>
    </row>
    <row r="1107" ht="15" customHeight="1" s="95">
      <c r="A1107" s="143" t="n">
        <v>45379</v>
      </c>
      <c r="B1107" s="177" t="n">
        <v>5.49</v>
      </c>
      <c r="C1107" s="177" t="n">
        <v>5.46</v>
      </c>
      <c r="D1107" s="177" t="n">
        <v>5.38</v>
      </c>
      <c r="E1107" s="177" t="n">
        <v>5.03</v>
      </c>
    </row>
    <row r="1108" ht="15" customHeight="1" s="95">
      <c r="A1108" s="143" t="n">
        <v>45380</v>
      </c>
    </row>
    <row r="1109" ht="15" customHeight="1" s="95">
      <c r="A1109" s="143" t="n">
        <v>45383</v>
      </c>
      <c r="B1109" s="177" t="n">
        <v>5.49</v>
      </c>
      <c r="C1109" s="177" t="n">
        <v>5.44</v>
      </c>
      <c r="D1109" s="177" t="n">
        <v>5.36</v>
      </c>
      <c r="E1109" s="177" t="n">
        <v>5.06</v>
      </c>
    </row>
    <row r="1110" ht="15" customHeight="1" s="95">
      <c r="A1110" s="143" t="n">
        <v>45384</v>
      </c>
      <c r="B1110" s="177" t="n">
        <v>5.49</v>
      </c>
      <c r="C1110" s="177" t="n">
        <v>5.42</v>
      </c>
      <c r="D1110" s="177" t="n">
        <v>5.34</v>
      </c>
      <c r="E1110" s="177" t="n">
        <v>5.05</v>
      </c>
    </row>
    <row r="1111" ht="15" customHeight="1" s="95">
      <c r="A1111" s="143" t="n">
        <v>45385</v>
      </c>
      <c r="B1111" s="177" t="n">
        <v>5.47</v>
      </c>
      <c r="C1111" s="177" t="n">
        <v>5.42</v>
      </c>
      <c r="D1111" s="177" t="n">
        <v>5.33</v>
      </c>
      <c r="E1111" s="177" t="n">
        <v>5.03</v>
      </c>
    </row>
    <row r="1112" ht="15" customHeight="1" s="95">
      <c r="A1112" s="143" t="n">
        <v>45386</v>
      </c>
      <c r="B1112" s="177" t="n">
        <v>5.47</v>
      </c>
      <c r="C1112" s="177" t="n">
        <v>5.41</v>
      </c>
      <c r="D1112" s="177" t="n">
        <v>5.32</v>
      </c>
      <c r="E1112" s="177" t="n">
        <v>5</v>
      </c>
    </row>
    <row r="1113" ht="15" customHeight="1" s="95">
      <c r="A1113" s="143" t="n">
        <v>45387</v>
      </c>
      <c r="B1113" s="177" t="n">
        <v>5.47</v>
      </c>
      <c r="C1113" s="177" t="n">
        <v>5.43</v>
      </c>
      <c r="D1113" s="177" t="n">
        <v>5.34</v>
      </c>
      <c r="E1113" s="177" t="n">
        <v>5.05</v>
      </c>
    </row>
    <row r="1114" ht="15" customHeight="1" s="95">
      <c r="A1114" s="143" t="n">
        <v>45390</v>
      </c>
      <c r="B1114" s="177" t="n">
        <v>5.48</v>
      </c>
      <c r="C1114" s="177" t="n">
        <v>5.43</v>
      </c>
      <c r="D1114" s="177" t="n">
        <v>5.35</v>
      </c>
      <c r="E1114" s="177" t="n">
        <v>5.07</v>
      </c>
    </row>
    <row r="1115" ht="15" customHeight="1" s="95">
      <c r="A1115" s="143" t="n">
        <v>45391</v>
      </c>
      <c r="B1115" s="177" t="n">
        <v>5.48</v>
      </c>
      <c r="C1115" s="177" t="n">
        <v>5.43</v>
      </c>
      <c r="D1115" s="177" t="n">
        <v>5.34</v>
      </c>
      <c r="E1115" s="177" t="n">
        <v>5.03</v>
      </c>
    </row>
    <row r="1116" ht="15" customHeight="1" s="95">
      <c r="A1116" s="143" t="n">
        <v>45392</v>
      </c>
      <c r="B1116" s="177" t="n">
        <v>5.49</v>
      </c>
      <c r="C1116" s="177" t="n">
        <v>5.45</v>
      </c>
      <c r="D1116" s="177" t="n">
        <v>5.4</v>
      </c>
      <c r="E1116" s="177" t="n">
        <v>5.19</v>
      </c>
    </row>
    <row r="1117" ht="15" customHeight="1" s="95">
      <c r="A1117" s="143" t="n">
        <v>45393</v>
      </c>
      <c r="B1117" s="177" t="n">
        <v>5.48</v>
      </c>
      <c r="C1117" s="177" t="n">
        <v>5.45</v>
      </c>
      <c r="D1117" s="177" t="n">
        <v>5.38</v>
      </c>
      <c r="E1117" s="177" t="n">
        <v>5.17</v>
      </c>
    </row>
    <row r="1118" ht="15" customHeight="1" s="95">
      <c r="A1118" s="143" t="n">
        <v>45394</v>
      </c>
      <c r="B1118" s="177" t="n">
        <v>5.48</v>
      </c>
      <c r="C1118" s="177" t="n">
        <v>5.45</v>
      </c>
      <c r="D1118" s="177" t="n">
        <v>5.36</v>
      </c>
      <c r="E1118" s="177" t="n">
        <v>5.13</v>
      </c>
    </row>
    <row r="1119" ht="15" customHeight="1" s="95">
      <c r="A1119" s="143" t="n">
        <v>45397</v>
      </c>
      <c r="B1119" s="177" t="n">
        <v>5.49</v>
      </c>
      <c r="C1119" s="177" t="n">
        <v>5.45</v>
      </c>
      <c r="D1119" s="177" t="n">
        <v>5.38</v>
      </c>
      <c r="E1119" s="177" t="n">
        <v>5.16</v>
      </c>
    </row>
    <row r="1120" ht="15" customHeight="1" s="95">
      <c r="A1120" s="143" t="n">
        <v>45398</v>
      </c>
      <c r="B1120" s="177" t="n">
        <v>5.49</v>
      </c>
      <c r="C1120" s="177" t="n">
        <v>5.45</v>
      </c>
      <c r="D1120" s="177" t="n">
        <v>5.39</v>
      </c>
      <c r="E1120" s="177" t="n">
        <v>5.18</v>
      </c>
    </row>
    <row r="1121" ht="15" customHeight="1" s="95">
      <c r="A1121" s="143" t="n">
        <v>45399</v>
      </c>
      <c r="B1121" s="177" t="n">
        <v>5.49</v>
      </c>
      <c r="C1121" s="177" t="n">
        <v>5.45</v>
      </c>
      <c r="D1121" s="177" t="n">
        <v>5.38</v>
      </c>
      <c r="E1121" s="177" t="n">
        <v>5.16</v>
      </c>
    </row>
    <row r="1122" ht="15" customHeight="1" s="95">
      <c r="A1122" s="143" t="n">
        <v>45400</v>
      </c>
      <c r="B1122" s="177" t="n">
        <v>5.49</v>
      </c>
      <c r="C1122" s="177" t="n">
        <v>5.46</v>
      </c>
      <c r="D1122" s="177" t="n">
        <v>5.39</v>
      </c>
      <c r="E1122" s="177" t="n">
        <v>5.18</v>
      </c>
    </row>
    <row r="1123" ht="15" customHeight="1" s="95">
      <c r="A1123" s="143" t="n">
        <v>45401</v>
      </c>
      <c r="B1123" s="177" t="n">
        <v>5.49</v>
      </c>
      <c r="C1123" s="177" t="n">
        <v>5.45</v>
      </c>
      <c r="D1123" s="177" t="n">
        <v>5.39</v>
      </c>
      <c r="E1123" s="177" t="n">
        <v>5.17</v>
      </c>
    </row>
    <row r="1124" ht="15" customHeight="1" s="95">
      <c r="A1124" s="143" t="n">
        <v>45404</v>
      </c>
      <c r="B1124" s="177" t="n">
        <v>5.49</v>
      </c>
      <c r="C1124" s="177" t="n">
        <v>5.42</v>
      </c>
      <c r="D1124" s="177" t="n">
        <v>5.39</v>
      </c>
      <c r="E1124" s="177" t="n">
        <v>5.16</v>
      </c>
    </row>
    <row r="1125" ht="15" customHeight="1" s="95">
      <c r="A1125" s="143" t="n">
        <v>45405</v>
      </c>
      <c r="B1125" s="177" t="n">
        <v>5.49</v>
      </c>
      <c r="C1125" s="177" t="n">
        <v>5.45</v>
      </c>
      <c r="D1125" s="177" t="n">
        <v>5.39</v>
      </c>
      <c r="E1125" s="177" t="n">
        <v>5.14</v>
      </c>
    </row>
    <row r="1126" ht="15" customHeight="1" s="95">
      <c r="A1126" s="143" t="n">
        <v>45406</v>
      </c>
      <c r="B1126" s="177" t="n">
        <v>5.49</v>
      </c>
      <c r="C1126" s="177" t="n">
        <v>5.46</v>
      </c>
      <c r="D1126" s="177" t="n">
        <v>5.4</v>
      </c>
      <c r="E1126" s="177" t="n">
        <v>5.17</v>
      </c>
    </row>
    <row r="1127" ht="15" customHeight="1" s="95">
      <c r="A1127" s="143" t="n">
        <v>45407</v>
      </c>
      <c r="B1127" s="177" t="n">
        <v>5.48</v>
      </c>
      <c r="C1127" s="177" t="n">
        <v>5.47</v>
      </c>
      <c r="D1127" s="177" t="n">
        <v>5.41</v>
      </c>
      <c r="E1127" s="177" t="n">
        <v>5.21</v>
      </c>
    </row>
    <row r="1128" ht="15" customHeight="1" s="95">
      <c r="A1128" s="143" t="n">
        <v>45408</v>
      </c>
      <c r="B1128" s="177" t="n">
        <v>5.48</v>
      </c>
      <c r="C1128" s="177" t="n">
        <v>5.46</v>
      </c>
      <c r="D1128" s="177" t="n">
        <v>5.4</v>
      </c>
      <c r="E1128" s="177" t="n">
        <v>5.21</v>
      </c>
    </row>
    <row r="1129" ht="15" customHeight="1" s="95">
      <c r="A1129" s="143" t="n">
        <v>45411</v>
      </c>
      <c r="B1129" s="177" t="n">
        <v>5.48</v>
      </c>
      <c r="C1129" s="177" t="n">
        <v>5.45</v>
      </c>
      <c r="D1129" s="177" t="n">
        <v>5.43</v>
      </c>
      <c r="E1129" s="177" t="n">
        <v>5.2</v>
      </c>
    </row>
    <row r="1130" ht="15" customHeight="1" s="95">
      <c r="A1130" s="143" t="n">
        <v>45412</v>
      </c>
      <c r="B1130" s="177" t="n">
        <v>5.48</v>
      </c>
      <c r="C1130" s="177" t="n">
        <v>5.46</v>
      </c>
      <c r="D1130" s="177" t="n">
        <v>5.44</v>
      </c>
      <c r="E1130" s="177" t="n">
        <v>5.25</v>
      </c>
    </row>
    <row r="1131" ht="15" customHeight="1" s="95">
      <c r="A1131" s="143" t="n">
        <v>45413</v>
      </c>
      <c r="B1131" s="177" t="n">
        <v>5.47</v>
      </c>
      <c r="C1131" s="177" t="n">
        <v>5.46</v>
      </c>
      <c r="D1131" s="177" t="n">
        <v>5.43</v>
      </c>
      <c r="E1131" s="177" t="n">
        <v>5.21</v>
      </c>
    </row>
    <row r="1132" ht="15" customHeight="1" s="95">
      <c r="A1132" s="143" t="n">
        <v>45414</v>
      </c>
      <c r="B1132" s="177" t="n">
        <v>5.51</v>
      </c>
      <c r="C1132" s="177" t="n">
        <v>5.46</v>
      </c>
      <c r="D1132" s="177" t="n">
        <v>5.42</v>
      </c>
      <c r="E1132" s="177" t="n">
        <v>5.16</v>
      </c>
    </row>
    <row r="1133" ht="15" customHeight="1" s="95">
      <c r="A1133" s="143" t="n">
        <v>45415</v>
      </c>
      <c r="B1133" s="177" t="n">
        <v>5.51</v>
      </c>
      <c r="C1133" s="177" t="n">
        <v>5.45</v>
      </c>
      <c r="D1133" s="177" t="n">
        <v>5.41</v>
      </c>
      <c r="E1133" s="177" t="n">
        <v>5.12</v>
      </c>
    </row>
    <row r="1134" ht="15" customHeight="1" s="95">
      <c r="A1134" s="143" t="n">
        <v>45418</v>
      </c>
      <c r="B1134" s="177" t="n">
        <v>5.51</v>
      </c>
      <c r="C1134" s="177" t="n">
        <v>5.45</v>
      </c>
      <c r="D1134" s="177" t="n">
        <v>5.42</v>
      </c>
      <c r="E1134" s="177" t="n">
        <v>5.12</v>
      </c>
    </row>
    <row r="1135" ht="15" customHeight="1" s="95">
      <c r="A1135" s="143" t="n">
        <v>45419</v>
      </c>
      <c r="B1135" s="177" t="n">
        <v>5.51</v>
      </c>
      <c r="C1135" s="177" t="n">
        <v>5.45</v>
      </c>
      <c r="D1135" s="177" t="n">
        <v>5.41</v>
      </c>
      <c r="E1135" s="177" t="n">
        <v>5.13</v>
      </c>
    </row>
    <row r="1136" ht="15" customHeight="1" s="95">
      <c r="A1136" s="143" t="n">
        <v>45420</v>
      </c>
      <c r="B1136" s="177" t="n">
        <v>5.51</v>
      </c>
      <c r="C1136" s="177" t="n">
        <v>5.45</v>
      </c>
      <c r="D1136" s="177" t="n">
        <v>5.41</v>
      </c>
      <c r="E1136" s="177" t="n">
        <v>5.13</v>
      </c>
    </row>
    <row r="1137" ht="15" customHeight="1" s="95">
      <c r="A1137" s="143" t="n">
        <v>45421</v>
      </c>
      <c r="B1137" s="177" t="n">
        <v>5.51</v>
      </c>
      <c r="C1137" s="177" t="n">
        <v>5.46</v>
      </c>
      <c r="D1137" s="177" t="n">
        <v>5.41</v>
      </c>
      <c r="E1137" s="177" t="n">
        <v>5.12</v>
      </c>
    </row>
    <row r="1138" ht="15" customHeight="1" s="95">
      <c r="A1138" s="143" t="n">
        <v>45422</v>
      </c>
      <c r="B1138" s="177" t="n">
        <v>5.51</v>
      </c>
      <c r="C1138" s="177" t="n">
        <v>5.47</v>
      </c>
      <c r="D1138" s="177" t="n">
        <v>5.43</v>
      </c>
      <c r="E1138" s="177" t="n">
        <v>5.17</v>
      </c>
    </row>
    <row r="1139" ht="15" customHeight="1" s="95">
      <c r="A1139" s="143" t="n">
        <v>45425</v>
      </c>
      <c r="B1139" s="177" t="n">
        <v>5.5</v>
      </c>
      <c r="C1139" s="177" t="n">
        <v>5.45</v>
      </c>
      <c r="D1139" s="177" t="n">
        <v>5.43</v>
      </c>
      <c r="E1139" s="177" t="n">
        <v>5.16</v>
      </c>
    </row>
    <row r="1140" ht="15" customHeight="1" s="95">
      <c r="A1140" s="143" t="n">
        <v>45426</v>
      </c>
      <c r="B1140" s="177" t="n">
        <v>5.5</v>
      </c>
      <c r="C1140" s="177" t="n">
        <v>5.44</v>
      </c>
      <c r="D1140" s="177" t="n">
        <v>5.43</v>
      </c>
      <c r="E1140" s="177" t="n">
        <v>5.16</v>
      </c>
    </row>
    <row r="1141" ht="15" customHeight="1" s="95">
      <c r="A1141" s="143" t="n">
        <v>45427</v>
      </c>
      <c r="B1141" s="177" t="n">
        <v>5.49</v>
      </c>
      <c r="C1141" s="177" t="n">
        <v>5.45</v>
      </c>
      <c r="D1141" s="177" t="n">
        <v>5.4</v>
      </c>
      <c r="E1141" s="177" t="n">
        <v>5.1</v>
      </c>
    </row>
    <row r="1142" ht="15" customHeight="1" s="95">
      <c r="A1142" s="143" t="n">
        <v>45428</v>
      </c>
      <c r="B1142" s="177" t="n">
        <v>5.51</v>
      </c>
      <c r="C1142" s="177" t="n">
        <v>5.45</v>
      </c>
      <c r="D1142" s="177" t="n">
        <v>5.41</v>
      </c>
      <c r="E1142" s="177" t="n">
        <v>5.13</v>
      </c>
    </row>
    <row r="1143" ht="15" customHeight="1" s="95">
      <c r="A1143" s="143" t="n">
        <v>45429</v>
      </c>
      <c r="B1143" s="177" t="n">
        <v>5.5</v>
      </c>
      <c r="C1143" s="177" t="n">
        <v>5.46</v>
      </c>
      <c r="D1143" s="177" t="n">
        <v>5.41</v>
      </c>
      <c r="E1143" s="177" t="n">
        <v>5.14</v>
      </c>
    </row>
    <row r="1144" ht="15" customHeight="1" s="95">
      <c r="A1144" s="143" t="n">
        <v>45432</v>
      </c>
      <c r="B1144" s="177" t="n">
        <v>5.5</v>
      </c>
      <c r="C1144" s="177" t="n">
        <v>5.45</v>
      </c>
      <c r="D1144" s="177" t="n">
        <v>5.43</v>
      </c>
      <c r="E1144" s="177" t="n">
        <v>5.15</v>
      </c>
    </row>
    <row r="1145" ht="15" customHeight="1" s="95">
      <c r="A1145" s="143" t="n">
        <v>45433</v>
      </c>
      <c r="B1145" s="177" t="n">
        <v>5.5</v>
      </c>
      <c r="C1145" s="177" t="n">
        <v>5.45</v>
      </c>
      <c r="D1145" s="177" t="n">
        <v>5.42</v>
      </c>
      <c r="E1145" s="177" t="n">
        <v>5.14</v>
      </c>
    </row>
    <row r="1146" ht="15" customHeight="1" s="95">
      <c r="A1146" s="143" t="n">
        <v>45434</v>
      </c>
      <c r="B1146" s="177" t="n">
        <v>5.49</v>
      </c>
      <c r="C1146" s="177" t="n">
        <v>5.45</v>
      </c>
      <c r="D1146" s="177" t="n">
        <v>5.43</v>
      </c>
      <c r="E1146" s="177" t="n">
        <v>5.16</v>
      </c>
    </row>
    <row r="1147" ht="15" customHeight="1" s="95">
      <c r="A1147" s="143" t="n">
        <v>45435</v>
      </c>
      <c r="B1147" s="177" t="n">
        <v>5.51</v>
      </c>
      <c r="C1147" s="177" t="n">
        <v>5.46</v>
      </c>
      <c r="D1147" s="177" t="n">
        <v>5.44</v>
      </c>
      <c r="E1147" s="177" t="n">
        <v>5.2</v>
      </c>
    </row>
    <row r="1148" ht="15" customHeight="1" s="95">
      <c r="A1148" s="143" t="n">
        <v>45436</v>
      </c>
      <c r="B1148" s="177" t="n">
        <v>5.56</v>
      </c>
      <c r="C1148" s="177" t="n">
        <v>5.46</v>
      </c>
      <c r="D1148" s="177" t="n">
        <v>5.44</v>
      </c>
      <c r="E1148" s="177" t="n">
        <v>5.21</v>
      </c>
    </row>
    <row r="1149" ht="15" customHeight="1" s="95">
      <c r="A1149" s="143" t="n">
        <v>45439</v>
      </c>
    </row>
    <row r="1150" ht="15" customHeight="1" s="95">
      <c r="A1150" s="143" t="n">
        <v>45440</v>
      </c>
      <c r="B1150" s="177" t="n">
        <v>5.5</v>
      </c>
      <c r="C1150" s="177" t="n">
        <v>5.46</v>
      </c>
      <c r="D1150" s="177" t="n">
        <v>5.43</v>
      </c>
      <c r="E1150" s="177" t="n">
        <v>5.21</v>
      </c>
    </row>
    <row r="1151" ht="15" customHeight="1" s="95">
      <c r="A1151" s="143" t="n">
        <v>45441</v>
      </c>
      <c r="B1151" s="177" t="n">
        <v>5.5</v>
      </c>
      <c r="C1151" s="177" t="n">
        <v>5.46</v>
      </c>
      <c r="D1151" s="177" t="n">
        <v>5.43</v>
      </c>
      <c r="E1151" s="177" t="n">
        <v>5.22</v>
      </c>
    </row>
    <row r="1152" ht="15" customHeight="1" s="95">
      <c r="A1152" s="143" t="n">
        <v>45442</v>
      </c>
      <c r="B1152" s="177" t="n">
        <v>5.48</v>
      </c>
      <c r="C1152" s="177" t="n">
        <v>5.46</v>
      </c>
      <c r="D1152" s="177" t="n">
        <v>5.42</v>
      </c>
      <c r="E1152" s="177" t="n">
        <v>5.19</v>
      </c>
    </row>
    <row r="1153" ht="15" customHeight="1" s="95">
      <c r="A1153" s="143" t="n">
        <v>45443</v>
      </c>
      <c r="B1153" s="177" t="n">
        <v>5.48</v>
      </c>
      <c r="C1153" s="177" t="n">
        <v>5.46</v>
      </c>
      <c r="D1153" s="177" t="n">
        <v>5.42</v>
      </c>
      <c r="E1153" s="177" t="n">
        <v>5.18</v>
      </c>
    </row>
    <row r="1154" ht="15" customHeight="1" s="95">
      <c r="A1154" s="143" t="n">
        <v>45446</v>
      </c>
      <c r="B1154" s="177" t="n">
        <v>5.49</v>
      </c>
      <c r="C1154" s="177" t="n">
        <v>5.52</v>
      </c>
      <c r="D1154" s="177" t="n">
        <v>5.39</v>
      </c>
      <c r="E1154" s="177" t="n">
        <v>5.14</v>
      </c>
    </row>
    <row r="1155" ht="15" customHeight="1" s="95">
      <c r="A1155" s="143" t="n">
        <v>45447</v>
      </c>
      <c r="B1155" s="177" t="n">
        <v>5.48</v>
      </c>
      <c r="C1155" s="177" t="n">
        <v>5.52</v>
      </c>
      <c r="D1155" s="177" t="n">
        <v>5.38</v>
      </c>
      <c r="E1155" s="177" t="n">
        <v>5.11</v>
      </c>
    </row>
    <row r="1156" ht="15" customHeight="1" s="95">
      <c r="A1156" s="143" t="n">
        <v>45448</v>
      </c>
      <c r="B1156" s="177" t="n">
        <v>5.48</v>
      </c>
      <c r="C1156" s="177" t="n">
        <v>5.51</v>
      </c>
      <c r="D1156" s="177" t="n">
        <v>5.37</v>
      </c>
      <c r="E1156" s="177" t="n">
        <v>5.08</v>
      </c>
    </row>
    <row r="1157" ht="15" customHeight="1" s="95">
      <c r="A1157" s="143" t="n">
        <v>45449</v>
      </c>
      <c r="B1157" s="177" t="n">
        <v>5.48</v>
      </c>
      <c r="C1157" s="177" t="n">
        <v>5.51</v>
      </c>
      <c r="D1157" s="177" t="n">
        <v>5.36</v>
      </c>
      <c r="E1157" s="177" t="n">
        <v>5.08</v>
      </c>
    </row>
    <row r="1158" ht="15" customHeight="1" s="95">
      <c r="A1158" s="143" t="n">
        <v>45450</v>
      </c>
      <c r="B1158" s="177" t="n">
        <v>5.47</v>
      </c>
      <c r="C1158" s="177" t="n">
        <v>5.52</v>
      </c>
      <c r="D1158" s="177" t="n">
        <v>5.4</v>
      </c>
      <c r="E1158" s="177" t="n">
        <v>5.17</v>
      </c>
    </row>
    <row r="1159" ht="15" customHeight="1" s="95">
      <c r="A1159" s="143" t="n">
        <v>45453</v>
      </c>
      <c r="B1159" s="177" t="n">
        <v>5.47</v>
      </c>
      <c r="C1159" s="177" t="n">
        <v>5.52</v>
      </c>
      <c r="D1159" s="177" t="n">
        <v>5.4</v>
      </c>
      <c r="E1159" s="177" t="n">
        <v>5.16</v>
      </c>
    </row>
    <row r="1160" ht="15" customHeight="1" s="95">
      <c r="A1160" s="143" t="n">
        <v>45454</v>
      </c>
      <c r="B1160" s="177" t="n">
        <v>5.46</v>
      </c>
      <c r="C1160" s="177" t="n">
        <v>5.52</v>
      </c>
      <c r="D1160" s="177" t="n">
        <v>5.39</v>
      </c>
      <c r="E1160" s="177" t="n">
        <v>5.17</v>
      </c>
    </row>
    <row r="1161" ht="15" customHeight="1" s="95">
      <c r="A1161" s="143" t="n">
        <v>45455</v>
      </c>
      <c r="B1161" s="177" t="n">
        <v>5.47</v>
      </c>
      <c r="C1161" s="177" t="n">
        <v>5.51</v>
      </c>
      <c r="D1161" s="177" t="n">
        <v>5.38</v>
      </c>
      <c r="E1161" s="177" t="n">
        <v>5.13</v>
      </c>
    </row>
    <row r="1162" ht="15" customHeight="1" s="95">
      <c r="A1162" s="143" t="n">
        <v>45456</v>
      </c>
      <c r="B1162" s="177" t="n">
        <v>5.47</v>
      </c>
      <c r="C1162" s="177" t="n">
        <v>5.51</v>
      </c>
      <c r="D1162" s="177" t="n">
        <v>5.36</v>
      </c>
      <c r="E1162" s="177" t="n">
        <v>5.07</v>
      </c>
    </row>
    <row r="1163" ht="15" customHeight="1" s="95">
      <c r="A1163" s="143" t="n">
        <v>45457</v>
      </c>
      <c r="B1163" s="177" t="n">
        <v>5.47</v>
      </c>
      <c r="C1163" s="177" t="n">
        <v>5.51</v>
      </c>
      <c r="D1163" s="177" t="n">
        <v>5.36</v>
      </c>
      <c r="E1163" s="177" t="n">
        <v>5.07</v>
      </c>
    </row>
    <row r="1164" ht="15" customHeight="1" s="95">
      <c r="A1164" s="143" t="n">
        <v>45460</v>
      </c>
      <c r="B1164" s="177" t="n">
        <v>5.45</v>
      </c>
      <c r="C1164" s="177" t="n">
        <v>5.52</v>
      </c>
      <c r="D1164" s="177" t="n">
        <v>5.39</v>
      </c>
      <c r="E1164" s="177" t="n">
        <v>5.11</v>
      </c>
    </row>
    <row r="1165" ht="15" customHeight="1" s="95">
      <c r="A1165" s="143" t="n">
        <v>45461</v>
      </c>
      <c r="B1165" s="177" t="n">
        <v>5.4</v>
      </c>
      <c r="C1165" s="177" t="n">
        <v>5.5</v>
      </c>
      <c r="D1165" s="177" t="n">
        <v>5.37</v>
      </c>
      <c r="E1165" s="177" t="n">
        <v>5.09</v>
      </c>
    </row>
    <row r="1166" ht="15" customHeight="1" s="95">
      <c r="A1166" s="143" t="n">
        <v>45462</v>
      </c>
    </row>
    <row r="1167" ht="15" customHeight="1" s="95">
      <c r="A1167" s="143" t="n">
        <v>45463</v>
      </c>
      <c r="B1167" s="177" t="n">
        <v>5.42</v>
      </c>
      <c r="C1167" s="177" t="n">
        <v>5.5</v>
      </c>
      <c r="D1167" s="177" t="n">
        <v>5.37</v>
      </c>
      <c r="E1167" s="177" t="n">
        <v>5.1</v>
      </c>
    </row>
    <row r="1168" ht="15" customHeight="1" s="95">
      <c r="A1168" s="143" t="n">
        <v>45464</v>
      </c>
      <c r="B1168" s="177" t="n">
        <v>5.42</v>
      </c>
      <c r="C1168" s="177" t="n">
        <v>5.49</v>
      </c>
      <c r="D1168" s="177" t="n">
        <v>5.36</v>
      </c>
      <c r="E1168" s="177" t="n">
        <v>5.1</v>
      </c>
    </row>
    <row r="1169" ht="15" customHeight="1" s="95">
      <c r="A1169" s="143" t="n">
        <v>45467</v>
      </c>
      <c r="B1169" s="177" t="n">
        <v>5.42</v>
      </c>
      <c r="C1169" s="177" t="n">
        <v>5.5</v>
      </c>
      <c r="D1169" s="177" t="n">
        <v>5.37</v>
      </c>
      <c r="E1169" s="177" t="n">
        <v>5.1</v>
      </c>
    </row>
    <row r="1170" ht="15" customHeight="1" s="95">
      <c r="A1170" s="143" t="n">
        <v>45468</v>
      </c>
      <c r="B1170" s="177" t="n">
        <v>5.43</v>
      </c>
      <c r="C1170" s="177" t="n">
        <v>5.49</v>
      </c>
      <c r="D1170" s="177" t="n">
        <v>5.37</v>
      </c>
      <c r="E1170" s="177" t="n">
        <v>5.1</v>
      </c>
    </row>
    <row r="1171" ht="15" customHeight="1" s="95">
      <c r="A1171" s="143" t="n">
        <v>45469</v>
      </c>
      <c r="B1171" s="177" t="n">
        <v>5.44</v>
      </c>
      <c r="C1171" s="177" t="n">
        <v>5.5</v>
      </c>
      <c r="D1171" s="177" t="n">
        <v>5.36</v>
      </c>
      <c r="E1171" s="177" t="n">
        <v>5.13</v>
      </c>
    </row>
    <row r="1172" ht="15" customHeight="1" s="95">
      <c r="A1172" s="143" t="n">
        <v>45470</v>
      </c>
      <c r="B1172" s="177" t="n">
        <v>5.48</v>
      </c>
      <c r="C1172" s="177" t="n">
        <v>5.49</v>
      </c>
      <c r="D1172" s="177" t="n">
        <v>5.35</v>
      </c>
      <c r="E1172" s="177" t="n">
        <v>5.1</v>
      </c>
    </row>
    <row r="1173" ht="15" customHeight="1" s="95">
      <c r="A1173" s="143" t="n">
        <v>45471</v>
      </c>
      <c r="B1173" s="177" t="n">
        <v>5.47</v>
      </c>
      <c r="C1173" s="177" t="n">
        <v>5.48</v>
      </c>
      <c r="D1173" s="177" t="n">
        <v>5.33</v>
      </c>
      <c r="E1173" s="177" t="n">
        <v>5.09</v>
      </c>
    </row>
    <row r="1174" ht="15" customHeight="1" s="95">
      <c r="A1174" s="143" t="n">
        <v>45474</v>
      </c>
      <c r="B1174" s="177" t="n">
        <v>5.48</v>
      </c>
      <c r="C1174" s="177" t="n">
        <v>5.47</v>
      </c>
      <c r="D1174" s="177" t="n">
        <v>5.37</v>
      </c>
      <c r="E1174" s="177" t="n">
        <v>5.1</v>
      </c>
    </row>
    <row r="1175" ht="15" customHeight="1" s="95">
      <c r="A1175" s="143" t="n">
        <v>45475</v>
      </c>
      <c r="B1175" s="177" t="n">
        <v>5.48</v>
      </c>
      <c r="C1175" s="177" t="n">
        <v>5.47</v>
      </c>
      <c r="D1175" s="177" t="n">
        <v>5.36</v>
      </c>
      <c r="E1175" s="177" t="n">
        <v>5.07</v>
      </c>
    </row>
    <row r="1176" ht="15" customHeight="1" s="95">
      <c r="A1176" s="143" t="n">
        <v>45476</v>
      </c>
      <c r="B1176" s="177" t="n">
        <v>5.49</v>
      </c>
      <c r="C1176" s="177" t="n">
        <v>5.47</v>
      </c>
      <c r="D1176" s="177" t="n">
        <v>5.36</v>
      </c>
      <c r="E1176" s="177" t="n">
        <v>5.04</v>
      </c>
    </row>
    <row r="1177" ht="15" customHeight="1" s="95">
      <c r="A1177" s="143" t="n">
        <v>45477</v>
      </c>
    </row>
    <row r="1178" ht="15" customHeight="1" s="95">
      <c r="A1178" s="143" t="n">
        <v>45478</v>
      </c>
      <c r="B1178" s="177" t="n">
        <v>5.48</v>
      </c>
      <c r="C1178" s="177" t="n">
        <v>5.46</v>
      </c>
      <c r="D1178" s="177" t="n">
        <v>5.34</v>
      </c>
      <c r="E1178" s="177" t="n">
        <v>4.98</v>
      </c>
    </row>
    <row r="1179" ht="15" customHeight="1" s="95">
      <c r="A1179" s="143" t="n">
        <v>45481</v>
      </c>
      <c r="B1179" s="177" t="n">
        <v>5.48</v>
      </c>
      <c r="C1179" s="177" t="n">
        <v>5.46</v>
      </c>
      <c r="D1179" s="177" t="n">
        <v>5.33</v>
      </c>
      <c r="E1179" s="177" t="n">
        <v>4.99</v>
      </c>
    </row>
    <row r="1180" ht="15" customHeight="1" s="95">
      <c r="A1180" s="143" t="n">
        <v>45482</v>
      </c>
      <c r="B1180" s="177" t="n">
        <v>5.45</v>
      </c>
      <c r="C1180" s="177" t="n">
        <v>5.46</v>
      </c>
      <c r="D1180" s="177" t="n">
        <v>5.34</v>
      </c>
      <c r="E1180" s="177" t="n">
        <v>5.02</v>
      </c>
    </row>
    <row r="1181" ht="15" customHeight="1" s="95">
      <c r="A1181" s="143" t="n">
        <v>45483</v>
      </c>
      <c r="B1181" s="177" t="n">
        <v>5.46</v>
      </c>
      <c r="C1181" s="177" t="n">
        <v>5.46</v>
      </c>
      <c r="D1181" s="177" t="n">
        <v>5.33</v>
      </c>
      <c r="E1181" s="177" t="n">
        <v>5.01</v>
      </c>
    </row>
    <row r="1182" ht="15" customHeight="1" s="95">
      <c r="A1182" s="143" t="n">
        <v>45484</v>
      </c>
      <c r="B1182" s="177" t="n">
        <v>5.48</v>
      </c>
      <c r="C1182" s="177" t="n">
        <v>5.44</v>
      </c>
      <c r="D1182" s="177" t="n">
        <v>5.25</v>
      </c>
      <c r="E1182" s="177" t="n">
        <v>4.91</v>
      </c>
    </row>
    <row r="1183" ht="15" customHeight="1" s="95">
      <c r="A1183" s="143" t="n">
        <v>45485</v>
      </c>
      <c r="B1183" s="177" t="n">
        <v>5.47</v>
      </c>
      <c r="C1183" s="177" t="n">
        <v>5.43</v>
      </c>
      <c r="D1183" s="177" t="n">
        <v>5.23</v>
      </c>
      <c r="E1183" s="177" t="n">
        <v>4.87</v>
      </c>
    </row>
    <row r="1184" ht="15" customHeight="1" s="95">
      <c r="A1184" s="143" t="n">
        <v>45488</v>
      </c>
      <c r="B1184" s="177" t="n">
        <v>5.48</v>
      </c>
      <c r="C1184" s="177" t="n">
        <v>5.43</v>
      </c>
      <c r="D1184" s="177" t="n">
        <v>5.23</v>
      </c>
      <c r="E1184" s="177" t="n">
        <v>4.85</v>
      </c>
    </row>
    <row r="1185" ht="15" customHeight="1" s="95">
      <c r="A1185" s="143" t="n">
        <v>45489</v>
      </c>
      <c r="B1185" s="177" t="n">
        <v>5.48</v>
      </c>
      <c r="C1185" s="177" t="n">
        <v>5.43</v>
      </c>
      <c r="D1185" s="177" t="n">
        <v>5.23</v>
      </c>
      <c r="E1185" s="177" t="n">
        <v>4.85</v>
      </c>
    </row>
    <row r="1186" ht="15" customHeight="1" s="95">
      <c r="A1186" s="143" t="n">
        <v>45490</v>
      </c>
      <c r="B1186" s="177" t="n">
        <v>5.47</v>
      </c>
      <c r="C1186" s="177" t="n">
        <v>5.43</v>
      </c>
      <c r="D1186" s="177" t="n">
        <v>5.23</v>
      </c>
      <c r="E1186" s="177" t="n">
        <v>4.85</v>
      </c>
    </row>
    <row r="1187" ht="15" customHeight="1" s="95">
      <c r="A1187" s="143" t="n">
        <v>45491</v>
      </c>
      <c r="B1187" s="177" t="n">
        <v>5.48</v>
      </c>
      <c r="C1187" s="177" t="n">
        <v>5.43</v>
      </c>
      <c r="D1187" s="177" t="n">
        <v>5.23</v>
      </c>
      <c r="E1187" s="177" t="n">
        <v>4.86</v>
      </c>
    </row>
    <row r="1188" ht="15" customHeight="1" s="95">
      <c r="A1188" s="143" t="n">
        <v>45492</v>
      </c>
      <c r="B1188" s="177" t="n">
        <v>5.48</v>
      </c>
      <c r="C1188" s="177" t="n">
        <v>5.43</v>
      </c>
      <c r="D1188" s="177" t="n">
        <v>5.24</v>
      </c>
      <c r="E1188" s="177" t="n">
        <v>4.87</v>
      </c>
    </row>
    <row r="1189" ht="15" customHeight="1" s="95">
      <c r="A1189" s="143" t="n">
        <v>45495</v>
      </c>
      <c r="B1189" s="177" t="n">
        <v>5.49</v>
      </c>
      <c r="C1189" s="177" t="n">
        <v>5.43</v>
      </c>
      <c r="D1189" s="177" t="n">
        <v>5.24</v>
      </c>
      <c r="E1189" s="177" t="n">
        <v>4.88</v>
      </c>
    </row>
    <row r="1190" ht="15" customHeight="1" s="95">
      <c r="A1190" s="143" t="n">
        <v>45496</v>
      </c>
      <c r="B1190" s="177" t="n">
        <v>5.49</v>
      </c>
      <c r="C1190" s="177" t="n">
        <v>5.41</v>
      </c>
      <c r="D1190" s="177" t="n">
        <v>5.22</v>
      </c>
      <c r="E1190" s="177" t="n">
        <v>4.85</v>
      </c>
    </row>
    <row r="1191" ht="15" customHeight="1" s="95">
      <c r="A1191" s="143" t="n">
        <v>45497</v>
      </c>
      <c r="B1191" s="177" t="n">
        <v>5.5</v>
      </c>
      <c r="C1191" s="177" t="n">
        <v>5.4</v>
      </c>
      <c r="D1191" s="177" t="n">
        <v>5.19</v>
      </c>
      <c r="E1191" s="177" t="n">
        <v>4.82</v>
      </c>
    </row>
    <row r="1192" ht="15" customHeight="1" s="95">
      <c r="A1192" s="143" t="n">
        <v>45498</v>
      </c>
      <c r="B1192" s="177" t="n">
        <v>5.49</v>
      </c>
      <c r="C1192" s="177" t="n">
        <v>5.39</v>
      </c>
      <c r="D1192" s="177" t="n">
        <v>5.19</v>
      </c>
      <c r="E1192" s="177" t="n">
        <v>4.83</v>
      </c>
    </row>
    <row r="1193" ht="15" customHeight="1" s="95">
      <c r="A1193" s="143" t="n">
        <v>45499</v>
      </c>
      <c r="B1193" s="177" t="n">
        <v>5.49</v>
      </c>
      <c r="C1193" s="177" t="n">
        <v>5.38</v>
      </c>
      <c r="D1193" s="177" t="n">
        <v>5.18</v>
      </c>
      <c r="E1193" s="177" t="n">
        <v>4.79</v>
      </c>
    </row>
    <row r="1194" ht="15" customHeight="1" s="95">
      <c r="A1194" s="143" t="n">
        <v>45502</v>
      </c>
      <c r="B1194" s="177" t="n">
        <v>5.5</v>
      </c>
      <c r="C1194" s="177" t="n">
        <v>5.41</v>
      </c>
      <c r="D1194" s="177" t="n">
        <v>5.18</v>
      </c>
      <c r="E1194" s="177" t="n">
        <v>4.79</v>
      </c>
    </row>
    <row r="1195" ht="15" customHeight="1" s="95">
      <c r="A1195" s="143" t="n">
        <v>45503</v>
      </c>
      <c r="B1195" s="177" t="n">
        <v>5.5</v>
      </c>
      <c r="C1195" s="177" t="n">
        <v>5.4</v>
      </c>
      <c r="D1195" s="177" t="n">
        <v>5.16</v>
      </c>
      <c r="E1195" s="177" t="n">
        <v>4.78</v>
      </c>
    </row>
    <row r="1196" ht="15" customHeight="1" s="95">
      <c r="A1196" s="143" t="n">
        <v>45504</v>
      </c>
      <c r="B1196" s="177" t="n">
        <v>5.49</v>
      </c>
      <c r="C1196" s="177" t="n">
        <v>5.41</v>
      </c>
      <c r="D1196" s="177" t="n">
        <v>5.14</v>
      </c>
      <c r="E1196" s="177" t="n">
        <v>4.73</v>
      </c>
    </row>
    <row r="1197" ht="15" customHeight="1" s="95">
      <c r="A1197" s="143" t="n">
        <v>45505</v>
      </c>
      <c r="B1197" s="177" t="n">
        <v>5.55</v>
      </c>
      <c r="C1197" s="177" t="n">
        <v>5.37</v>
      </c>
      <c r="D1197" s="177" t="n">
        <v>5.08</v>
      </c>
      <c r="E1197" s="177" t="n">
        <v>4.62</v>
      </c>
    </row>
    <row r="1198" ht="15" customHeight="1" s="95">
      <c r="A1198" s="143" t="n">
        <v>45506</v>
      </c>
      <c r="B1198" s="177" t="n">
        <v>5.54</v>
      </c>
      <c r="C1198" s="177" t="n">
        <v>5.29</v>
      </c>
      <c r="D1198" s="177" t="n">
        <v>4.88</v>
      </c>
      <c r="E1198" s="177" t="n">
        <v>4.33</v>
      </c>
    </row>
    <row r="1199" ht="15" customHeight="1" s="95">
      <c r="A1199" s="143" t="n">
        <v>45509</v>
      </c>
      <c r="B1199" s="177" t="n">
        <v>5.52</v>
      </c>
      <c r="C1199" s="177" t="n">
        <v>5.35</v>
      </c>
      <c r="D1199" s="177" t="n">
        <v>4.91</v>
      </c>
      <c r="E1199" s="177" t="n">
        <v>4.34</v>
      </c>
    </row>
    <row r="1200" ht="15" customHeight="1" s="95">
      <c r="A1200" s="143" t="n">
        <v>45510</v>
      </c>
      <c r="B1200" s="177" t="n">
        <v>5.5</v>
      </c>
      <c r="C1200" s="177" t="n">
        <v>5.34</v>
      </c>
      <c r="D1200" s="177" t="n">
        <v>5</v>
      </c>
      <c r="E1200" s="177" t="n">
        <v>4.46</v>
      </c>
    </row>
    <row r="1201" ht="15" customHeight="1" s="95">
      <c r="A1201" s="143" t="n">
        <v>45511</v>
      </c>
      <c r="B1201" s="177" t="n">
        <v>5.5</v>
      </c>
      <c r="C1201" s="177" t="n">
        <v>5.34</v>
      </c>
      <c r="D1201" s="177" t="n">
        <v>4.99</v>
      </c>
      <c r="E1201" s="177" t="n">
        <v>4.45</v>
      </c>
    </row>
    <row r="1202" ht="15" customHeight="1" s="95">
      <c r="A1202" s="143" t="n">
        <v>45512</v>
      </c>
      <c r="B1202" s="177" t="n">
        <v>5.55</v>
      </c>
      <c r="C1202" s="177" t="n">
        <v>5.34</v>
      </c>
      <c r="D1202" s="177" t="n">
        <v>5.01</v>
      </c>
      <c r="E1202" s="177" t="n">
        <v>4.48</v>
      </c>
    </row>
    <row r="1203" ht="15" customHeight="1" s="95">
      <c r="A1203" s="143" t="n">
        <v>45513</v>
      </c>
      <c r="B1203" s="177" t="n">
        <v>5.54</v>
      </c>
      <c r="C1203" s="177" t="n">
        <v>5.33</v>
      </c>
      <c r="D1203" s="177" t="n">
        <v>5.02</v>
      </c>
      <c r="E1203" s="177" t="n">
        <v>4.5</v>
      </c>
    </row>
    <row r="1204" ht="15" customHeight="1" s="95">
      <c r="A1204" s="143" t="n">
        <v>45516</v>
      </c>
      <c r="B1204" s="177" t="n">
        <v>5.53</v>
      </c>
      <c r="C1204" s="177" t="n">
        <v>5.33</v>
      </c>
      <c r="D1204" s="177" t="n">
        <v>5.02</v>
      </c>
      <c r="E1204" s="177" t="n">
        <v>4.47</v>
      </c>
    </row>
    <row r="1205" ht="15" customHeight="1" s="95">
      <c r="A1205" s="143" t="n">
        <v>45517</v>
      </c>
      <c r="B1205" s="177" t="n">
        <v>5.48</v>
      </c>
      <c r="C1205" s="177" t="n">
        <v>5.32</v>
      </c>
      <c r="D1205" s="177" t="n">
        <v>4.97</v>
      </c>
      <c r="E1205" s="177" t="n">
        <v>4.4</v>
      </c>
    </row>
    <row r="1206" ht="15" customHeight="1" s="95">
      <c r="A1206" s="143" t="n">
        <v>45518</v>
      </c>
      <c r="B1206" s="177" t="n">
        <v>5.49</v>
      </c>
      <c r="C1206" s="177" t="n">
        <v>5.32</v>
      </c>
      <c r="D1206" s="177" t="n">
        <v>5</v>
      </c>
      <c r="E1206" s="177" t="n">
        <v>4.42</v>
      </c>
    </row>
    <row r="1207" ht="15" customHeight="1" s="95">
      <c r="A1207" s="143" t="n">
        <v>45519</v>
      </c>
      <c r="B1207" s="177" t="n">
        <v>5.53</v>
      </c>
      <c r="C1207" s="177" t="n">
        <v>5.34</v>
      </c>
      <c r="D1207" s="177" t="n">
        <v>5.04</v>
      </c>
      <c r="E1207" s="177" t="n">
        <v>4.52</v>
      </c>
    </row>
    <row r="1208" ht="15" customHeight="1" s="95">
      <c r="A1208" s="143" t="n">
        <v>45520</v>
      </c>
      <c r="B1208" s="177" t="n">
        <v>5.53</v>
      </c>
      <c r="C1208" s="177" t="n">
        <v>5.33</v>
      </c>
      <c r="D1208" s="177" t="n">
        <v>5.02</v>
      </c>
      <c r="E1208" s="177" t="n">
        <v>4.49</v>
      </c>
    </row>
    <row r="1209" ht="15" customHeight="1" s="95">
      <c r="A1209" s="143" t="n">
        <v>45523</v>
      </c>
      <c r="B1209" s="177" t="n">
        <v>5.51</v>
      </c>
      <c r="C1209" s="177" t="n">
        <v>5.31</v>
      </c>
      <c r="D1209" s="177" t="n">
        <v>5</v>
      </c>
      <c r="E1209" s="177" t="n">
        <v>4.48</v>
      </c>
    </row>
    <row r="1210" ht="15" customHeight="1" s="95">
      <c r="A1210" s="143" t="n">
        <v>45524</v>
      </c>
      <c r="B1210" s="177" t="n">
        <v>5.48</v>
      </c>
      <c r="C1210" s="177" t="n">
        <v>5.29</v>
      </c>
      <c r="D1210" s="177" t="n">
        <v>4.97</v>
      </c>
      <c r="E1210" s="177" t="n">
        <v>4.43</v>
      </c>
    </row>
    <row r="1211" ht="15" customHeight="1" s="95">
      <c r="A1211" s="143" t="n">
        <v>45525</v>
      </c>
      <c r="B1211" s="177" t="n">
        <v>5.45</v>
      </c>
      <c r="C1211" s="177" t="n">
        <v>5.26</v>
      </c>
      <c r="D1211" s="177" t="n">
        <v>4.92</v>
      </c>
      <c r="E1211" s="177" t="n">
        <v>4.36</v>
      </c>
    </row>
    <row r="1212" ht="15" customHeight="1" s="95">
      <c r="A1212" s="143" t="n">
        <v>45526</v>
      </c>
      <c r="B1212" s="177" t="n">
        <v>5.51</v>
      </c>
      <c r="C1212" s="177" t="n">
        <v>5.28</v>
      </c>
      <c r="D1212" s="177" t="n">
        <v>4.96</v>
      </c>
      <c r="E1212" s="177" t="n">
        <v>4.43</v>
      </c>
    </row>
    <row r="1213" ht="15" customHeight="1" s="95">
      <c r="A1213" s="143" t="n">
        <v>45527</v>
      </c>
      <c r="B1213" s="177" t="n">
        <v>5.51</v>
      </c>
      <c r="C1213" s="177" t="n">
        <v>5.25</v>
      </c>
      <c r="D1213" s="177" t="n">
        <v>4.92</v>
      </c>
      <c r="E1213" s="177" t="n">
        <v>4.36</v>
      </c>
    </row>
    <row r="1214" ht="15" customHeight="1" s="95">
      <c r="A1214" s="143" t="n">
        <v>45530</v>
      </c>
      <c r="B1214" s="177" t="n">
        <v>5.49</v>
      </c>
      <c r="C1214" s="177" t="n">
        <v>5.24</v>
      </c>
      <c r="D1214" s="177" t="n">
        <v>4.91</v>
      </c>
      <c r="E1214" s="177" t="n">
        <v>4.38</v>
      </c>
    </row>
    <row r="1215" ht="15" customHeight="1" s="95">
      <c r="A1215" s="143" t="n">
        <v>45531</v>
      </c>
      <c r="B1215" s="177" t="n">
        <v>5.49</v>
      </c>
      <c r="C1215" s="177" t="n">
        <v>5.23</v>
      </c>
      <c r="D1215" s="177" t="n">
        <v>4.89</v>
      </c>
      <c r="E1215" s="177" t="n">
        <v>4.34</v>
      </c>
    </row>
    <row r="1216" ht="15" customHeight="1" s="95">
      <c r="A1216" s="143" t="n">
        <v>45532</v>
      </c>
      <c r="B1216" s="177" t="n">
        <v>5.47</v>
      </c>
      <c r="C1216" s="177" t="n">
        <v>5.21</v>
      </c>
      <c r="D1216" s="177" t="n">
        <v>4.87</v>
      </c>
      <c r="E1216" s="177" t="n">
        <v>4.36</v>
      </c>
    </row>
    <row r="1217" ht="15" customHeight="1" s="95">
      <c r="A1217" s="143" t="n">
        <v>45533</v>
      </c>
      <c r="B1217" s="177" t="n">
        <v>5.4</v>
      </c>
      <c r="C1217" s="177" t="n">
        <v>5.22</v>
      </c>
      <c r="D1217" s="177" t="n">
        <v>4.89</v>
      </c>
      <c r="E1217" s="177" t="n">
        <v>4.38</v>
      </c>
    </row>
    <row r="1218" ht="15" customHeight="1" s="95">
      <c r="A1218" s="143" t="n">
        <v>45534</v>
      </c>
      <c r="B1218" s="177" t="n">
        <v>5.41</v>
      </c>
      <c r="C1218" s="177" t="n">
        <v>5.21</v>
      </c>
      <c r="D1218" s="177" t="n">
        <v>4.89</v>
      </c>
      <c r="E1218" s="177" t="n">
        <v>4.38</v>
      </c>
    </row>
    <row r="1219" ht="15" customHeight="1" s="95">
      <c r="A1219" s="143" t="n">
        <v>45537</v>
      </c>
    </row>
    <row r="1220" ht="15" customHeight="1" s="95">
      <c r="A1220" s="143" t="n">
        <v>45538</v>
      </c>
      <c r="B1220" s="177" t="n">
        <v>5.38</v>
      </c>
      <c r="C1220" s="177" t="n">
        <v>5.19</v>
      </c>
      <c r="D1220" s="177" t="n">
        <v>4.8</v>
      </c>
      <c r="E1220" s="177" t="n">
        <v>4.35</v>
      </c>
    </row>
    <row r="1221" ht="15" customHeight="1" s="95">
      <c r="A1221" s="143" t="n">
        <v>45539</v>
      </c>
      <c r="B1221" s="177" t="n">
        <v>5.33</v>
      </c>
      <c r="C1221" s="177" t="n">
        <v>5.18</v>
      </c>
      <c r="D1221" s="177" t="n">
        <v>4.74</v>
      </c>
      <c r="E1221" s="177" t="n">
        <v>4.23</v>
      </c>
    </row>
    <row r="1222" ht="15" customHeight="1" s="95">
      <c r="A1222" s="143" t="n">
        <v>45540</v>
      </c>
      <c r="B1222" s="177" t="n">
        <v>5.3</v>
      </c>
      <c r="C1222" s="177" t="n">
        <v>5.15</v>
      </c>
      <c r="D1222" s="177" t="n">
        <v>4.73</v>
      </c>
      <c r="E1222" s="177" t="n">
        <v>4.21</v>
      </c>
    </row>
    <row r="1223" ht="15" customHeight="1" s="95">
      <c r="A1223" s="143" t="n">
        <v>45541</v>
      </c>
      <c r="B1223" s="177" t="n">
        <v>5.28</v>
      </c>
      <c r="C1223" s="177" t="n">
        <v>5.13</v>
      </c>
      <c r="D1223" s="177" t="n">
        <v>4.69</v>
      </c>
      <c r="E1223" s="177" t="n">
        <v>4.1</v>
      </c>
    </row>
    <row r="1224" ht="15" customHeight="1" s="95">
      <c r="A1224" s="143" t="n">
        <v>45544</v>
      </c>
      <c r="B1224" s="177" t="n">
        <v>5.25</v>
      </c>
      <c r="C1224" s="177" t="n">
        <v>5.11</v>
      </c>
      <c r="D1224" s="177" t="n">
        <v>4.68</v>
      </c>
      <c r="E1224" s="177" t="n">
        <v>4.12</v>
      </c>
    </row>
    <row r="1225" ht="15" customHeight="1" s="95">
      <c r="A1225" s="143" t="n">
        <v>45545</v>
      </c>
      <c r="B1225" s="177" t="n">
        <v>5.18</v>
      </c>
      <c r="C1225" s="177" t="n">
        <v>5.06</v>
      </c>
      <c r="D1225" s="177" t="n">
        <v>4.65</v>
      </c>
      <c r="E1225" s="177" t="n">
        <v>4.07</v>
      </c>
    </row>
    <row r="1226" ht="15" customHeight="1" s="95">
      <c r="A1226" s="143" t="n">
        <v>45546</v>
      </c>
      <c r="B1226" s="177" t="n">
        <v>5.21</v>
      </c>
      <c r="C1226" s="177" t="n">
        <v>5.1</v>
      </c>
      <c r="D1226" s="177" t="n">
        <v>4.72</v>
      </c>
      <c r="E1226" s="177" t="n">
        <v>4.12</v>
      </c>
    </row>
    <row r="1227" ht="15" customHeight="1" s="95">
      <c r="A1227" s="143" t="n">
        <v>45547</v>
      </c>
      <c r="B1227" s="177" t="n">
        <v>5.18</v>
      </c>
      <c r="C1227" s="177" t="n">
        <v>5.06</v>
      </c>
      <c r="D1227" s="177" t="n">
        <v>4.68</v>
      </c>
      <c r="E1227" s="177" t="n">
        <v>4.09</v>
      </c>
    </row>
    <row r="1228" ht="15" customHeight="1" s="95">
      <c r="A1228" s="143" t="n">
        <v>45548</v>
      </c>
      <c r="B1228" s="177" t="n">
        <v>5.15</v>
      </c>
      <c r="C1228" s="177" t="n">
        <v>4.97</v>
      </c>
      <c r="D1228" s="177" t="n">
        <v>4.6</v>
      </c>
      <c r="E1228" s="177" t="n">
        <v>4</v>
      </c>
    </row>
    <row r="1229" ht="15" customHeight="1" s="95">
      <c r="A1229" s="143" t="n">
        <v>45551</v>
      </c>
      <c r="B1229" s="177" t="n">
        <v>5.11</v>
      </c>
      <c r="C1229" s="177" t="n">
        <v>4.96</v>
      </c>
      <c r="D1229" s="177" t="n">
        <v>4.55</v>
      </c>
      <c r="E1229" s="177" t="n">
        <v>3.96</v>
      </c>
    </row>
    <row r="1230" ht="15" customHeight="1" s="95">
      <c r="A1230" s="143" t="n">
        <v>45552</v>
      </c>
      <c r="B1230" s="177" t="n">
        <v>5.05</v>
      </c>
      <c r="C1230" s="177" t="n">
        <v>4.95</v>
      </c>
      <c r="D1230" s="177" t="n">
        <v>4.55</v>
      </c>
      <c r="E1230" s="177" t="n">
        <v>3.99</v>
      </c>
    </row>
    <row r="1231" ht="15" customHeight="1" s="95">
      <c r="A1231" s="143" t="n">
        <v>45553</v>
      </c>
      <c r="B1231" s="177" t="n">
        <v>4.91</v>
      </c>
      <c r="C1231" s="177" t="n">
        <v>4.84</v>
      </c>
      <c r="D1231" s="177" t="n">
        <v>4.5</v>
      </c>
      <c r="E1231" s="177" t="n">
        <v>3.95</v>
      </c>
    </row>
    <row r="1232" ht="15" customHeight="1" s="95">
      <c r="A1232" s="143" t="n">
        <v>45554</v>
      </c>
      <c r="B1232" s="177" t="n">
        <v>4.89</v>
      </c>
      <c r="C1232" s="177" t="n">
        <v>4.8</v>
      </c>
      <c r="D1232" s="177" t="n">
        <v>4.46</v>
      </c>
      <c r="E1232" s="177" t="n">
        <v>3.93</v>
      </c>
    </row>
    <row r="1233" ht="15" customHeight="1" s="95">
      <c r="A1233" s="143" t="n">
        <v>45555</v>
      </c>
      <c r="B1233" s="177" t="n">
        <v>4.87</v>
      </c>
      <c r="C1233" s="177" t="n">
        <v>4.75</v>
      </c>
      <c r="D1233" s="177" t="n">
        <v>4.43</v>
      </c>
      <c r="E1233" s="177" t="n">
        <v>3.92</v>
      </c>
    </row>
    <row r="1234" ht="15" customHeight="1" s="95">
      <c r="A1234" s="143" t="n">
        <v>45558</v>
      </c>
      <c r="B1234" s="177" t="n">
        <v>4.85</v>
      </c>
      <c r="C1234" s="177" t="n">
        <v>4.72</v>
      </c>
      <c r="D1234" s="177" t="n">
        <v>4.4</v>
      </c>
      <c r="E1234" s="177" t="n">
        <v>3.91</v>
      </c>
    </row>
    <row r="1235" ht="15" customHeight="1" s="95">
      <c r="A1235" s="143" t="n">
        <v>45559</v>
      </c>
      <c r="B1235" s="177" t="n">
        <v>4.78</v>
      </c>
      <c r="C1235" s="177" t="n">
        <v>4.69</v>
      </c>
      <c r="D1235" s="177" t="n">
        <v>4.36</v>
      </c>
      <c r="E1235" s="177" t="n">
        <v>3.88</v>
      </c>
    </row>
    <row r="1236" ht="15" customHeight="1" s="95">
      <c r="A1236" s="143" t="n">
        <v>45560</v>
      </c>
      <c r="B1236" s="177" t="n">
        <v>4.79</v>
      </c>
      <c r="C1236" s="177" t="n">
        <v>4.69</v>
      </c>
      <c r="D1236" s="177" t="n">
        <v>4.36</v>
      </c>
      <c r="E1236" s="177" t="n">
        <v>3.89</v>
      </c>
    </row>
    <row r="1237" ht="15" customHeight="1" s="95">
      <c r="A1237" s="143" t="n">
        <v>45561</v>
      </c>
      <c r="B1237" s="177" t="n">
        <v>4.9</v>
      </c>
      <c r="C1237" s="177" t="n">
        <v>4.68</v>
      </c>
      <c r="D1237" s="177" t="n">
        <v>4.38</v>
      </c>
      <c r="E1237" s="177" t="n">
        <v>3.96</v>
      </c>
    </row>
    <row r="1238" ht="15" customHeight="1" s="95">
      <c r="A1238" s="143" t="n">
        <v>45562</v>
      </c>
      <c r="B1238" s="177" t="n">
        <v>4.9</v>
      </c>
      <c r="C1238" s="177" t="n">
        <v>4.68</v>
      </c>
      <c r="D1238" s="177" t="n">
        <v>4.35</v>
      </c>
      <c r="E1238" s="177" t="n">
        <v>3.9</v>
      </c>
    </row>
    <row r="1239" ht="15" customHeight="1" s="95">
      <c r="A1239" s="143" t="n">
        <v>45565</v>
      </c>
      <c r="B1239" s="177" t="n">
        <v>4.93</v>
      </c>
      <c r="C1239" s="177" t="n">
        <v>4.73</v>
      </c>
      <c r="D1239" s="177" t="n">
        <v>4.38</v>
      </c>
      <c r="E1239" s="177" t="n">
        <v>3.98</v>
      </c>
    </row>
    <row r="1240" ht="15" customHeight="1" s="95">
      <c r="A1240" s="143" t="n">
        <v>45566</v>
      </c>
      <c r="B1240" s="177" t="n">
        <v>4.96</v>
      </c>
      <c r="C1240" s="177" t="n">
        <v>4.71</v>
      </c>
      <c r="D1240" s="177" t="n">
        <v>4.36</v>
      </c>
      <c r="E1240" s="177" t="n">
        <v>3.96</v>
      </c>
    </row>
    <row r="1241" ht="15" customHeight="1" s="95">
      <c r="A1241" s="143" t="n">
        <v>45567</v>
      </c>
      <c r="B1241" s="177" t="n">
        <v>4.92</v>
      </c>
      <c r="C1241" s="177" t="n">
        <v>4.69</v>
      </c>
      <c r="D1241" s="177" t="n">
        <v>4.36</v>
      </c>
      <c r="E1241" s="177" t="n">
        <v>3.97</v>
      </c>
    </row>
    <row r="1242" ht="15" customHeight="1" s="95">
      <c r="A1242" s="143" t="n">
        <v>45568</v>
      </c>
      <c r="B1242" s="177" t="n">
        <v>4.99</v>
      </c>
      <c r="C1242" s="177" t="n">
        <v>4.68</v>
      </c>
      <c r="D1242" s="177" t="n">
        <v>4.37</v>
      </c>
      <c r="E1242" s="177" t="n">
        <v>4.02</v>
      </c>
    </row>
    <row r="1243" ht="15" customHeight="1" s="95">
      <c r="A1243" s="143" t="n">
        <v>45569</v>
      </c>
      <c r="B1243" s="177" t="n">
        <v>5.01</v>
      </c>
      <c r="C1243" s="177" t="n">
        <v>4.73</v>
      </c>
      <c r="D1243" s="177" t="n">
        <v>4.45</v>
      </c>
      <c r="E1243" s="177" t="n">
        <v>4.2</v>
      </c>
    </row>
    <row r="1244" ht="15" customHeight="1" s="95">
      <c r="A1244" s="143" t="n">
        <v>45572</v>
      </c>
      <c r="B1244" s="177" t="n">
        <v>5</v>
      </c>
      <c r="C1244" s="177" t="n">
        <v>4.77</v>
      </c>
      <c r="D1244" s="177" t="n">
        <v>4.45</v>
      </c>
      <c r="E1244" s="177" t="n">
        <v>4.24</v>
      </c>
    </row>
    <row r="1245" ht="15" customHeight="1" s="95">
      <c r="A1245" s="143" t="n">
        <v>45573</v>
      </c>
      <c r="B1245" s="177" t="n">
        <v>4.96</v>
      </c>
      <c r="C1245" s="177" t="n">
        <v>4.75</v>
      </c>
      <c r="D1245" s="177" t="n">
        <v>4.44</v>
      </c>
      <c r="E1245" s="177" t="n">
        <v>4.21</v>
      </c>
    </row>
    <row r="1246" ht="15" customHeight="1" s="95">
      <c r="A1246" s="143" t="n">
        <v>45574</v>
      </c>
      <c r="B1246" s="177" t="n">
        <v>4.93</v>
      </c>
      <c r="C1246" s="177" t="n">
        <v>4.75</v>
      </c>
      <c r="D1246" s="177" t="n">
        <v>4.46</v>
      </c>
      <c r="E1246" s="177" t="n">
        <v>4.24</v>
      </c>
    </row>
    <row r="1247" ht="15" customHeight="1" s="95">
      <c r="A1247" s="143" t="n">
        <v>45575</v>
      </c>
      <c r="B1247" s="177" t="n">
        <v>4.98</v>
      </c>
      <c r="C1247" s="177" t="n">
        <v>4.75</v>
      </c>
      <c r="D1247" s="177" t="n">
        <v>4.45</v>
      </c>
      <c r="E1247" s="177" t="n">
        <v>4.22</v>
      </c>
    </row>
    <row r="1248" ht="15" customHeight="1" s="95">
      <c r="A1248" s="143" t="n">
        <v>45576</v>
      </c>
      <c r="B1248" s="177" t="n">
        <v>4.97</v>
      </c>
      <c r="C1248" s="177" t="n">
        <v>4.73</v>
      </c>
      <c r="D1248" s="177" t="n">
        <v>4.44</v>
      </c>
      <c r="E1248" s="177" t="n">
        <v>4.18</v>
      </c>
    </row>
    <row r="1249" ht="15" customHeight="1" s="95">
      <c r="A1249" s="143" t="n">
        <v>45579</v>
      </c>
    </row>
    <row r="1250" ht="15" customHeight="1" s="95">
      <c r="A1250" s="143" t="n">
        <v>45580</v>
      </c>
      <c r="B1250" s="177" t="n">
        <v>4.93</v>
      </c>
      <c r="C1250" s="177" t="n">
        <v>4.73</v>
      </c>
      <c r="D1250" s="177" t="n">
        <v>4.42</v>
      </c>
      <c r="E1250" s="177" t="n">
        <v>4.18</v>
      </c>
    </row>
    <row r="1251" ht="15" customHeight="1" s="95">
      <c r="A1251" s="143" t="n">
        <v>45581</v>
      </c>
      <c r="B1251" s="177" t="n">
        <v>4.91</v>
      </c>
      <c r="C1251" s="177" t="n">
        <v>4.72</v>
      </c>
      <c r="D1251" s="177" t="n">
        <v>4.42</v>
      </c>
      <c r="E1251" s="177" t="n">
        <v>4.17</v>
      </c>
    </row>
    <row r="1252" ht="15" customHeight="1" s="95">
      <c r="A1252" s="143" t="n">
        <v>45582</v>
      </c>
      <c r="B1252" s="177" t="n">
        <v>4.93</v>
      </c>
      <c r="C1252" s="177" t="n">
        <v>4.74</v>
      </c>
      <c r="D1252" s="177" t="n">
        <v>4.45</v>
      </c>
      <c r="E1252" s="177" t="n">
        <v>4.21</v>
      </c>
    </row>
    <row r="1253" ht="15" customHeight="1" s="95">
      <c r="A1253" s="143" t="n">
        <v>45583</v>
      </c>
      <c r="B1253" s="177" t="n">
        <v>4.92</v>
      </c>
      <c r="C1253" s="177" t="n">
        <v>4.73</v>
      </c>
      <c r="D1253" s="177" t="n">
        <v>4.45</v>
      </c>
      <c r="E1253" s="177" t="n">
        <v>4.19</v>
      </c>
    </row>
    <row r="1254" ht="15" customHeight="1" s="95">
      <c r="A1254" s="143" t="n">
        <v>45586</v>
      </c>
      <c r="B1254" s="177" t="n">
        <v>4.92</v>
      </c>
      <c r="C1254" s="177" t="n">
        <v>4.73</v>
      </c>
      <c r="D1254" s="177" t="n">
        <v>4.47</v>
      </c>
      <c r="E1254" s="177" t="n">
        <v>4.24</v>
      </c>
    </row>
    <row r="1255" ht="15" customHeight="1" s="95">
      <c r="A1255" s="143" t="n">
        <v>45587</v>
      </c>
      <c r="B1255" s="177" t="n">
        <v>4.89</v>
      </c>
      <c r="C1255" s="177" t="n">
        <v>4.72</v>
      </c>
      <c r="D1255" s="177" t="n">
        <v>4.47</v>
      </c>
      <c r="E1255" s="177" t="n">
        <v>4.24</v>
      </c>
    </row>
    <row r="1256" ht="15" customHeight="1" s="95">
      <c r="A1256" s="143" t="n">
        <v>45588</v>
      </c>
      <c r="B1256" s="177" t="n">
        <v>4.88</v>
      </c>
      <c r="C1256" s="177" t="n">
        <v>4.73</v>
      </c>
      <c r="D1256" s="177" t="n">
        <v>4.48</v>
      </c>
      <c r="E1256" s="177" t="n">
        <v>4.27</v>
      </c>
    </row>
    <row r="1257" ht="15" customHeight="1" s="95">
      <c r="A1257" s="143" t="n">
        <v>45589</v>
      </c>
      <c r="B1257" s="177" t="n">
        <v>4.87</v>
      </c>
      <c r="C1257" s="177" t="n">
        <v>4.7</v>
      </c>
      <c r="D1257" s="177" t="n">
        <v>4.48</v>
      </c>
      <c r="E1257" s="177" t="n">
        <v>4.25</v>
      </c>
    </row>
    <row r="1258" ht="15" customHeight="1" s="95">
      <c r="A1258" s="143" t="n">
        <v>45590</v>
      </c>
      <c r="B1258" s="177" t="n">
        <v>4.89</v>
      </c>
      <c r="C1258" s="177" t="n">
        <v>4.73</v>
      </c>
      <c r="D1258" s="177" t="n">
        <v>4.51</v>
      </c>
      <c r="E1258" s="177" t="n">
        <v>4.29</v>
      </c>
    </row>
    <row r="1259" ht="15" customHeight="1" s="95">
      <c r="A1259" s="143" t="n">
        <v>45593</v>
      </c>
      <c r="B1259" s="177" t="n">
        <v>4.88</v>
      </c>
      <c r="C1259" s="177" t="n">
        <v>4.7</v>
      </c>
      <c r="D1259" s="177" t="n">
        <v>4.46</v>
      </c>
      <c r="E1259" s="177" t="n">
        <v>4.28</v>
      </c>
    </row>
    <row r="1260" ht="15" customHeight="1" s="95">
      <c r="A1260" s="143" t="n">
        <v>45594</v>
      </c>
      <c r="B1260" s="177" t="n">
        <v>4.88</v>
      </c>
      <c r="C1260" s="177" t="n">
        <v>4.7</v>
      </c>
      <c r="D1260" s="177" t="n">
        <v>4.45</v>
      </c>
      <c r="E1260" s="177" t="n">
        <v>4.29</v>
      </c>
    </row>
    <row r="1261" ht="15" customHeight="1" s="95">
      <c r="A1261" s="143" t="n">
        <v>45595</v>
      </c>
      <c r="B1261" s="177" t="n">
        <v>4.87</v>
      </c>
      <c r="C1261" s="177" t="n">
        <v>4.67</v>
      </c>
      <c r="D1261" s="177" t="n">
        <v>4.44</v>
      </c>
      <c r="E1261" s="177" t="n">
        <v>4.28</v>
      </c>
    </row>
    <row r="1262" ht="15" customHeight="1" s="95">
      <c r="A1262" s="143" t="n">
        <v>45596</v>
      </c>
      <c r="B1262" s="177" t="n">
        <v>4.76</v>
      </c>
      <c r="C1262" s="177" t="n">
        <v>4.64</v>
      </c>
      <c r="D1262" s="177" t="n">
        <v>4.43</v>
      </c>
      <c r="E1262" s="177" t="n">
        <v>4.27</v>
      </c>
    </row>
    <row r="1263" ht="15" customHeight="1" s="95">
      <c r="A1263" s="143" t="n">
        <v>45597</v>
      </c>
      <c r="B1263" s="177" t="n">
        <v>4.75</v>
      </c>
      <c r="C1263" s="177" t="n">
        <v>4.61</v>
      </c>
      <c r="D1263" s="177" t="n">
        <v>4.42</v>
      </c>
      <c r="E1263" s="177" t="n">
        <v>4.28</v>
      </c>
    </row>
    <row r="1264" ht="15" customHeight="1" s="95">
      <c r="A1264" s="143" t="n">
        <v>45600</v>
      </c>
      <c r="B1264" s="177" t="n">
        <v>4.75</v>
      </c>
      <c r="C1264" s="177" t="n">
        <v>4.65</v>
      </c>
      <c r="D1264" s="177" t="n">
        <v>4.39</v>
      </c>
      <c r="E1264" s="177" t="n">
        <v>4.25</v>
      </c>
    </row>
    <row r="1265" ht="15" customHeight="1" s="95">
      <c r="A1265" s="143" t="n">
        <v>45601</v>
      </c>
      <c r="B1265" s="177" t="n">
        <v>4.72</v>
      </c>
      <c r="C1265" s="177" t="n">
        <v>4.64</v>
      </c>
      <c r="D1265" s="177" t="n">
        <v>4.39</v>
      </c>
      <c r="E1265" s="177" t="n">
        <v>4.27</v>
      </c>
    </row>
    <row r="1266" ht="15" customHeight="1" s="95">
      <c r="A1266" s="143" t="n">
        <v>45602</v>
      </c>
      <c r="B1266" s="177" t="n">
        <v>4.68</v>
      </c>
      <c r="C1266" s="177" t="n">
        <v>4.64</v>
      </c>
      <c r="D1266" s="177" t="n">
        <v>4.41</v>
      </c>
      <c r="E1266" s="177" t="n">
        <v>4.31</v>
      </c>
    </row>
    <row r="1267" ht="15" customHeight="1" s="95">
      <c r="A1267" s="143" t="n">
        <v>45603</v>
      </c>
      <c r="B1267" s="177" t="n">
        <v>4.69</v>
      </c>
      <c r="C1267" s="177" t="n">
        <v>4.63</v>
      </c>
      <c r="D1267" s="177" t="n">
        <v>4.4</v>
      </c>
      <c r="E1267" s="177" t="n">
        <v>4.28</v>
      </c>
    </row>
    <row r="1268" ht="15" customHeight="1" s="95">
      <c r="A1268" s="143" t="n">
        <v>45604</v>
      </c>
      <c r="B1268" s="177" t="n">
        <v>4.7</v>
      </c>
      <c r="C1268" s="177" t="n">
        <v>4.63</v>
      </c>
      <c r="D1268" s="177" t="n">
        <v>4.42</v>
      </c>
      <c r="E1268" s="177" t="n">
        <v>4.32</v>
      </c>
    </row>
    <row r="1269" ht="15" customHeight="1" s="95">
      <c r="A1269" s="143" t="n">
        <v>45607</v>
      </c>
    </row>
    <row r="1270" ht="15" customHeight="1" s="95">
      <c r="A1270" s="143" t="n">
        <v>45608</v>
      </c>
      <c r="B1270" s="177" t="n">
        <v>4.7</v>
      </c>
      <c r="C1270" s="177" t="n">
        <v>4.63</v>
      </c>
      <c r="D1270" s="177" t="n">
        <v>4.45</v>
      </c>
      <c r="E1270" s="177" t="n">
        <v>4.38</v>
      </c>
    </row>
    <row r="1271" ht="15" customHeight="1" s="95">
      <c r="A1271" s="143" t="n">
        <v>45609</v>
      </c>
      <c r="B1271" s="177" t="n">
        <v>4.69</v>
      </c>
      <c r="C1271" s="177" t="n">
        <v>4.6</v>
      </c>
      <c r="D1271" s="177" t="n">
        <v>4.4</v>
      </c>
      <c r="E1271" s="177" t="n">
        <v>4.31</v>
      </c>
    </row>
    <row r="1272" ht="15" customHeight="1" s="95">
      <c r="A1272" s="143" t="n">
        <v>45610</v>
      </c>
      <c r="B1272" s="177" t="n">
        <v>4.7</v>
      </c>
      <c r="C1272" s="177" t="n">
        <v>4.61</v>
      </c>
      <c r="D1272" s="177" t="n">
        <v>4.43</v>
      </c>
      <c r="E1272" s="177" t="n">
        <v>4.36</v>
      </c>
    </row>
    <row r="1273" ht="15" customHeight="1" s="95">
      <c r="A1273" s="143" t="n">
        <v>45611</v>
      </c>
      <c r="B1273" s="177" t="n">
        <v>4.7</v>
      </c>
      <c r="C1273" s="177" t="n">
        <v>4.6</v>
      </c>
      <c r="D1273" s="177" t="n">
        <v>4.44</v>
      </c>
      <c r="E1273" s="177" t="n">
        <v>4.34</v>
      </c>
    </row>
    <row r="1274" ht="15" customHeight="1" s="95">
      <c r="A1274" s="143" t="n">
        <v>45614</v>
      </c>
      <c r="B1274" s="177" t="n">
        <v>4.7</v>
      </c>
      <c r="C1274" s="177" t="n">
        <v>4.63</v>
      </c>
      <c r="D1274" s="177" t="n">
        <v>4.44</v>
      </c>
      <c r="E1274" s="177" t="n">
        <v>4.33</v>
      </c>
    </row>
    <row r="1275" ht="15" customHeight="1" s="95">
      <c r="A1275" s="143" t="n">
        <v>45615</v>
      </c>
      <c r="B1275" s="177" t="n">
        <v>4.67</v>
      </c>
      <c r="C1275" s="177" t="n">
        <v>4.62</v>
      </c>
      <c r="D1275" s="177" t="n">
        <v>4.44</v>
      </c>
      <c r="E1275" s="177" t="n">
        <v>4.34</v>
      </c>
    </row>
    <row r="1276" ht="15" customHeight="1" s="95">
      <c r="A1276" s="143" t="n">
        <v>45616</v>
      </c>
      <c r="B1276" s="177" t="n">
        <v>4.68</v>
      </c>
      <c r="C1276" s="177" t="n">
        <v>4.62</v>
      </c>
      <c r="D1276" s="177" t="n">
        <v>4.44</v>
      </c>
      <c r="E1276" s="177" t="n">
        <v>4.37</v>
      </c>
    </row>
    <row r="1277" ht="15" customHeight="1" s="95">
      <c r="A1277" s="143" t="n">
        <v>45617</v>
      </c>
      <c r="B1277" s="177" t="n">
        <v>4.72</v>
      </c>
      <c r="C1277" s="177" t="n">
        <v>4.63</v>
      </c>
      <c r="D1277" s="177" t="n">
        <v>4.45</v>
      </c>
      <c r="E1277" s="177" t="n">
        <v>4.39</v>
      </c>
    </row>
    <row r="1278" ht="15" customHeight="1" s="95">
      <c r="A1278" s="143" t="n">
        <v>45618</v>
      </c>
      <c r="B1278" s="177" t="n">
        <v>4.72</v>
      </c>
      <c r="C1278" s="177" t="n">
        <v>4.63</v>
      </c>
      <c r="D1278" s="177" t="n">
        <v>4.46</v>
      </c>
      <c r="E1278" s="177" t="n">
        <v>4.42</v>
      </c>
    </row>
    <row r="1279" ht="15" customHeight="1" s="95">
      <c r="A1279" s="143" t="n">
        <v>45621</v>
      </c>
      <c r="B1279" s="177" t="n">
        <v>4.74</v>
      </c>
      <c r="C1279" s="177" t="n">
        <v>4.62</v>
      </c>
      <c r="D1279" s="177" t="n">
        <v>4.46</v>
      </c>
      <c r="E1279" s="177" t="n">
        <v>4.37</v>
      </c>
    </row>
    <row r="1280" ht="15" customHeight="1" s="95">
      <c r="A1280" s="143" t="n">
        <v>45622</v>
      </c>
      <c r="B1280" s="177" t="n">
        <v>4.74</v>
      </c>
      <c r="C1280" s="177" t="n">
        <v>4.61</v>
      </c>
      <c r="D1280" s="177" t="n">
        <v>4.45</v>
      </c>
      <c r="E1280" s="177" t="n">
        <v>4.37</v>
      </c>
    </row>
    <row r="1281" ht="15" customHeight="1" s="95">
      <c r="A1281" s="143" t="n">
        <v>45623</v>
      </c>
      <c r="B1281" s="177" t="n">
        <v>4.76</v>
      </c>
      <c r="C1281" s="177" t="n">
        <v>4.6</v>
      </c>
      <c r="D1281" s="177" t="n">
        <v>4.43</v>
      </c>
      <c r="E1281" s="177" t="n">
        <v>4.34</v>
      </c>
    </row>
    <row r="1282" ht="15" customHeight="1" s="95">
      <c r="A1282" s="143" t="n">
        <v>45624</v>
      </c>
    </row>
    <row r="1283" ht="15" customHeight="1" s="95">
      <c r="A1283" s="143" t="n">
        <v>45625</v>
      </c>
      <c r="B1283" s="177" t="n">
        <v>4.76</v>
      </c>
      <c r="C1283" s="177" t="n">
        <v>4.58</v>
      </c>
      <c r="D1283" s="177" t="n">
        <v>4.42</v>
      </c>
      <c r="E1283" s="177" t="n">
        <v>4.3</v>
      </c>
    </row>
    <row r="1284" ht="15" customHeight="1" s="95">
      <c r="A1284" s="143" t="n">
        <v>45628</v>
      </c>
      <c r="B1284" s="177" t="n">
        <v>4.75</v>
      </c>
      <c r="C1284" s="177" t="n">
        <v>4.51</v>
      </c>
      <c r="D1284" s="177" t="n">
        <v>4.43</v>
      </c>
      <c r="E1284" s="177" t="n">
        <v>4.3</v>
      </c>
    </row>
    <row r="1285" ht="15" customHeight="1" s="95">
      <c r="A1285" s="143" t="n">
        <v>45629</v>
      </c>
      <c r="B1285" s="177" t="n">
        <v>4.66</v>
      </c>
      <c r="C1285" s="177" t="n">
        <v>4.49</v>
      </c>
      <c r="D1285" s="177" t="n">
        <v>4.4</v>
      </c>
      <c r="E1285" s="177" t="n">
        <v>4.27</v>
      </c>
    </row>
    <row r="1286" ht="15" customHeight="1" s="95">
      <c r="A1286" s="143" t="n">
        <v>45630</v>
      </c>
      <c r="B1286" s="177" t="n">
        <v>4.65</v>
      </c>
      <c r="C1286" s="177" t="n">
        <v>4.47</v>
      </c>
      <c r="D1286" s="177" t="n">
        <v>4.38</v>
      </c>
      <c r="E1286" s="177" t="n">
        <v>4.23</v>
      </c>
    </row>
    <row r="1287" ht="15" customHeight="1" s="95">
      <c r="A1287" s="143" t="n">
        <v>45631</v>
      </c>
      <c r="B1287" s="177" t="n">
        <v>4.59</v>
      </c>
      <c r="C1287" s="177" t="n">
        <v>4.46</v>
      </c>
      <c r="D1287" s="177" t="n">
        <v>4.38</v>
      </c>
      <c r="E1287" s="177" t="n">
        <v>4.23</v>
      </c>
    </row>
    <row r="1288" ht="15" customHeight="1" s="95">
      <c r="A1288" s="143" t="n">
        <v>45632</v>
      </c>
      <c r="B1288" s="177" t="n">
        <v>4.57</v>
      </c>
      <c r="C1288" s="177" t="n">
        <v>4.42</v>
      </c>
      <c r="D1288" s="177" t="n">
        <v>4.34</v>
      </c>
      <c r="E1288" s="177" t="n">
        <v>4.19</v>
      </c>
    </row>
    <row r="1289" ht="15" customHeight="1" s="95">
      <c r="A1289" s="143" t="n">
        <v>45635</v>
      </c>
      <c r="B1289" s="177" t="n">
        <v>4.56</v>
      </c>
      <c r="C1289" s="177" t="n">
        <v>4.42</v>
      </c>
      <c r="D1289" s="177" t="n">
        <v>4.34</v>
      </c>
      <c r="E1289" s="177" t="n">
        <v>4.2</v>
      </c>
    </row>
    <row r="1290" ht="15" customHeight="1" s="95">
      <c r="A1290" s="143" t="n">
        <v>45636</v>
      </c>
      <c r="B1290" s="177" t="n">
        <v>4.53</v>
      </c>
      <c r="C1290" s="177" t="n">
        <v>4.41</v>
      </c>
      <c r="D1290" s="177" t="n">
        <v>4.35</v>
      </c>
      <c r="E1290" s="177" t="n">
        <v>4.22</v>
      </c>
    </row>
    <row r="1291" ht="15" customHeight="1" s="95">
      <c r="A1291" s="143" t="n">
        <v>45637</v>
      </c>
      <c r="B1291" s="177" t="n">
        <v>4.49</v>
      </c>
      <c r="C1291" s="177" t="n">
        <v>4.38</v>
      </c>
      <c r="D1291" s="177" t="n">
        <v>4.32</v>
      </c>
      <c r="E1291" s="177" t="n">
        <v>4.21</v>
      </c>
    </row>
    <row r="1292" ht="15" customHeight="1" s="95">
      <c r="A1292" s="143" t="n">
        <v>45638</v>
      </c>
      <c r="B1292" s="177" t="n">
        <v>4.43</v>
      </c>
      <c r="C1292" s="177" t="n">
        <v>4.35</v>
      </c>
      <c r="D1292" s="177" t="n">
        <v>4.31</v>
      </c>
      <c r="E1292" s="177" t="n">
        <v>4.22</v>
      </c>
    </row>
    <row r="1293" ht="15" customHeight="1" s="95">
      <c r="A1293" s="143" t="n">
        <v>45639</v>
      </c>
      <c r="B1293" s="177" t="n">
        <v>4.43</v>
      </c>
      <c r="C1293" s="177" t="n">
        <v>4.34</v>
      </c>
      <c r="D1293" s="177" t="n">
        <v>4.32</v>
      </c>
      <c r="E1293" s="177" t="n">
        <v>4.24</v>
      </c>
    </row>
    <row r="1294" ht="15" customHeight="1" s="95">
      <c r="A1294" s="143" t="n">
        <v>45642</v>
      </c>
      <c r="B1294" s="177" t="n">
        <v>4.43</v>
      </c>
      <c r="C1294" s="177" t="n">
        <v>4.37</v>
      </c>
      <c r="D1294" s="177" t="n">
        <v>4.3</v>
      </c>
      <c r="E1294" s="177" t="n">
        <v>4.24</v>
      </c>
    </row>
    <row r="1295" ht="15" customHeight="1" s="95">
      <c r="A1295" s="143" t="n">
        <v>45643</v>
      </c>
      <c r="B1295" s="177" t="n">
        <v>4.46</v>
      </c>
      <c r="C1295" s="177" t="n">
        <v>4.38</v>
      </c>
      <c r="D1295" s="177" t="n">
        <v>4.3</v>
      </c>
      <c r="E1295" s="177" t="n">
        <v>4.25</v>
      </c>
    </row>
    <row r="1296" ht="15" customHeight="1" s="95">
      <c r="A1296" s="143" t="n">
        <v>45644</v>
      </c>
      <c r="B1296" s="177" t="n">
        <v>4.44</v>
      </c>
      <c r="C1296" s="177" t="n">
        <v>4.36</v>
      </c>
      <c r="D1296" s="177" t="n">
        <v>4.3</v>
      </c>
      <c r="E1296" s="177" t="n">
        <v>4.3</v>
      </c>
    </row>
    <row r="1297" ht="15" customHeight="1" s="95">
      <c r="A1297" s="143" t="n">
        <v>45645</v>
      </c>
      <c r="B1297" s="177" t="n">
        <v>4.42</v>
      </c>
      <c r="C1297" s="177" t="n">
        <v>4.35</v>
      </c>
      <c r="D1297" s="177" t="n">
        <v>4.29</v>
      </c>
      <c r="E1297" s="177" t="n">
        <v>4.28</v>
      </c>
    </row>
    <row r="1298" ht="15" customHeight="1" s="95">
      <c r="A1298" s="143" t="n">
        <v>45646</v>
      </c>
      <c r="B1298" s="177" t="n">
        <v>4.43</v>
      </c>
      <c r="C1298" s="177" t="n">
        <v>4.34</v>
      </c>
      <c r="D1298" s="177" t="n">
        <v>4.29</v>
      </c>
      <c r="E1298" s="177" t="n">
        <v>4.27</v>
      </c>
    </row>
    <row r="1299" ht="15" customHeight="1" s="95">
      <c r="A1299" s="143" t="n">
        <v>45649</v>
      </c>
      <c r="B1299" s="177" t="n">
        <v>4.44</v>
      </c>
      <c r="C1299" s="177" t="n">
        <v>4.36</v>
      </c>
      <c r="D1299" s="177" t="n">
        <v>4.3</v>
      </c>
      <c r="E1299" s="177" t="n">
        <v>4.26</v>
      </c>
    </row>
    <row r="1300" ht="15" customHeight="1" s="95">
      <c r="A1300" s="143" t="n">
        <v>45650</v>
      </c>
      <c r="B1300" s="177" t="n">
        <v>4.44</v>
      </c>
      <c r="C1300" s="177" t="n">
        <v>4.4</v>
      </c>
      <c r="D1300" s="177" t="n">
        <v>4.3</v>
      </c>
      <c r="E1300" s="177" t="n">
        <v>4.24</v>
      </c>
    </row>
    <row r="1301" ht="15" customHeight="1" s="95">
      <c r="A1301" s="143" t="n">
        <v>45651</v>
      </c>
    </row>
    <row r="1302" ht="15" customHeight="1" s="95">
      <c r="A1302" s="143" t="n">
        <v>45652</v>
      </c>
      <c r="B1302" s="177" t="n">
        <v>4.45</v>
      </c>
      <c r="C1302" s="177" t="n">
        <v>4.35</v>
      </c>
      <c r="D1302" s="177" t="n">
        <v>4.31</v>
      </c>
      <c r="E1302" s="177" t="n">
        <v>4.23</v>
      </c>
    </row>
    <row r="1303" ht="15" customHeight="1" s="95">
      <c r="A1303" s="143" t="n">
        <v>45653</v>
      </c>
      <c r="B1303" s="177" t="n">
        <v>4.44</v>
      </c>
      <c r="C1303" s="177" t="n">
        <v>4.31</v>
      </c>
      <c r="D1303" s="177" t="n">
        <v>4.29</v>
      </c>
      <c r="E1303" s="177" t="n">
        <v>4.2</v>
      </c>
    </row>
    <row r="1304" ht="15" customHeight="1" s="95">
      <c r="A1304" s="143" t="n">
        <v>45656</v>
      </c>
      <c r="B1304" s="177" t="n">
        <v>4.43</v>
      </c>
      <c r="C1304" s="177" t="n">
        <v>4.37</v>
      </c>
      <c r="D1304" s="177" t="n">
        <v>4.25</v>
      </c>
      <c r="E1304" s="177" t="n">
        <v>4.17</v>
      </c>
    </row>
    <row r="1305" ht="15" customHeight="1" s="95">
      <c r="A1305" s="143" t="n">
        <v>45657</v>
      </c>
      <c r="B1305" s="177" t="n">
        <v>4.4</v>
      </c>
      <c r="C1305" s="177" t="n">
        <v>4.37</v>
      </c>
      <c r="D1305" s="177" t="n">
        <v>4.24</v>
      </c>
      <c r="E1305" s="177" t="n">
        <v>4.16</v>
      </c>
    </row>
    <row r="1306" ht="15" customHeight="1" s="95">
      <c r="A1306" s="143" t="n">
        <v>45658</v>
      </c>
    </row>
    <row r="1307" ht="15" customHeight="1" s="95">
      <c r="A1307" s="143" t="n">
        <v>45659</v>
      </c>
      <c r="B1307" s="177" t="n">
        <v>4.45</v>
      </c>
      <c r="C1307" s="177" t="n">
        <v>4.36</v>
      </c>
      <c r="D1307" s="177" t="n">
        <v>4.25</v>
      </c>
      <c r="E1307" s="177" t="n">
        <v>4.17</v>
      </c>
    </row>
    <row r="1308" ht="15" customHeight="1" s="95">
      <c r="A1308" s="143" t="n">
        <v>45660</v>
      </c>
      <c r="B1308" s="177" t="n">
        <v>4.44</v>
      </c>
      <c r="C1308" s="177" t="n">
        <v>4.34</v>
      </c>
      <c r="D1308" s="177" t="n">
        <v>4.25</v>
      </c>
      <c r="E1308" s="177" t="n">
        <v>4.18</v>
      </c>
    </row>
    <row r="1309" ht="15" customHeight="1" s="95">
      <c r="A1309" s="143" t="n">
        <v>45663</v>
      </c>
      <c r="B1309" s="177" t="n">
        <v>4.43</v>
      </c>
      <c r="C1309" s="177" t="n">
        <v>4.35</v>
      </c>
      <c r="D1309" s="177" t="n">
        <v>4.24</v>
      </c>
      <c r="E1309" s="177" t="n">
        <v>4.17</v>
      </c>
    </row>
    <row r="1310" ht="15" customHeight="1" s="95">
      <c r="A1310" s="143" t="n">
        <v>45664</v>
      </c>
      <c r="B1310" s="177" t="n">
        <v>4.42</v>
      </c>
      <c r="C1310" s="177" t="n">
        <v>4.35</v>
      </c>
      <c r="D1310" s="177" t="n">
        <v>4.24</v>
      </c>
      <c r="E1310" s="177" t="n">
        <v>4.19</v>
      </c>
    </row>
    <row r="1311" ht="15" customHeight="1" s="95">
      <c r="A1311" s="143" t="n">
        <v>45665</v>
      </c>
      <c r="B1311" s="177" t="n">
        <v>4.41</v>
      </c>
      <c r="C1311" s="177" t="n">
        <v>4.35</v>
      </c>
      <c r="D1311" s="177" t="n">
        <v>4.25</v>
      </c>
      <c r="E1311" s="177" t="n">
        <v>4.19</v>
      </c>
    </row>
    <row r="1312" ht="15" customHeight="1" s="95">
      <c r="A1312" s="143" t="n">
        <v>45666</v>
      </c>
      <c r="B1312" s="177" t="n">
        <v>4.44</v>
      </c>
      <c r="C1312" s="177" t="n">
        <v>4.35</v>
      </c>
      <c r="D1312" s="177" t="n">
        <v>4.24</v>
      </c>
      <c r="E1312" s="177" t="n">
        <v>4.16</v>
      </c>
    </row>
    <row r="1313" ht="15" customHeight="1" s="95">
      <c r="A1313" s="143" t="n">
        <v>45667</v>
      </c>
      <c r="B1313" s="177" t="n">
        <v>4.42</v>
      </c>
      <c r="C1313" s="177" t="n">
        <v>4.36</v>
      </c>
      <c r="D1313" s="177" t="n">
        <v>4.27</v>
      </c>
      <c r="E1313" s="177" t="n">
        <v>4.25</v>
      </c>
    </row>
    <row r="1314" ht="15" customHeight="1" s="95">
      <c r="A1314" s="143" t="n">
        <v>45670</v>
      </c>
      <c r="B1314" s="177" t="n">
        <v>4.42</v>
      </c>
      <c r="C1314" s="177" t="n">
        <v>4.37</v>
      </c>
      <c r="D1314" s="177" t="n">
        <v>4.3</v>
      </c>
      <c r="E1314" s="177" t="n">
        <v>4.24</v>
      </c>
    </row>
    <row r="1315" ht="15" customHeight="1" s="95">
      <c r="A1315" s="143" t="n">
        <v>45671</v>
      </c>
      <c r="B1315" s="177" t="n">
        <v>4.42</v>
      </c>
      <c r="C1315" s="177" t="n">
        <v>4.36</v>
      </c>
      <c r="D1315" s="177" t="n">
        <v>4.29</v>
      </c>
      <c r="E1315" s="177" t="n">
        <v>4.22</v>
      </c>
    </row>
    <row r="1316" ht="15" customHeight="1" s="95">
      <c r="A1316" s="143" t="n">
        <v>45672</v>
      </c>
      <c r="B1316" s="177" t="n">
        <v>4.4</v>
      </c>
      <c r="C1316" s="177" t="n">
        <v>4.35</v>
      </c>
      <c r="D1316" s="177" t="n">
        <v>4.26</v>
      </c>
      <c r="E1316" s="177" t="n">
        <v>4.19</v>
      </c>
    </row>
    <row r="1317" ht="15" customHeight="1" s="95">
      <c r="A1317" s="143" t="n">
        <v>45673</v>
      </c>
      <c r="B1317" s="177" t="n">
        <v>4.43</v>
      </c>
      <c r="C1317" s="177" t="n">
        <v>4.34</v>
      </c>
      <c r="D1317" s="177" t="n">
        <v>4.26</v>
      </c>
      <c r="E1317" s="177" t="n">
        <v>4.18</v>
      </c>
    </row>
    <row r="1318" ht="15" customHeight="1" s="95">
      <c r="A1318" s="143" t="n">
        <v>45674</v>
      </c>
      <c r="B1318" s="177" t="n">
        <v>4.43</v>
      </c>
      <c r="C1318" s="177" t="n">
        <v>4.34</v>
      </c>
      <c r="D1318" s="177" t="n">
        <v>4.28</v>
      </c>
      <c r="E1318" s="177" t="n">
        <v>4.21</v>
      </c>
    </row>
    <row r="1319" ht="15" customHeight="1" s="95">
      <c r="A1319" s="143" t="n">
        <v>45677</v>
      </c>
    </row>
    <row r="1320" ht="15" customHeight="1" s="95">
      <c r="A1320" s="143" t="n">
        <v>45678</v>
      </c>
      <c r="B1320" s="177" t="n">
        <v>4.42</v>
      </c>
      <c r="C1320" s="177" t="n">
        <v>4.36</v>
      </c>
      <c r="D1320" s="177" t="n">
        <v>4.28</v>
      </c>
      <c r="E1320" s="177" t="n">
        <v>4.21</v>
      </c>
    </row>
    <row r="1321" ht="15" customHeight="1" s="95">
      <c r="A1321" s="143" t="n">
        <v>45679</v>
      </c>
      <c r="B1321" s="177" t="n">
        <v>4.42</v>
      </c>
      <c r="C1321" s="177" t="n">
        <v>4.36</v>
      </c>
      <c r="D1321" s="177" t="n">
        <v>4.28</v>
      </c>
      <c r="E1321" s="177" t="n">
        <v>4.2</v>
      </c>
    </row>
    <row r="1322" ht="15" customHeight="1" s="95">
      <c r="A1322" s="143" t="n">
        <v>45680</v>
      </c>
      <c r="B1322" s="177" t="n">
        <v>4.45</v>
      </c>
      <c r="C1322" s="177" t="n">
        <v>4.36</v>
      </c>
      <c r="D1322" s="177" t="n">
        <v>4.27</v>
      </c>
      <c r="E1322" s="177" t="n">
        <v>4.18</v>
      </c>
    </row>
    <row r="1323" ht="15" customHeight="1" s="95">
      <c r="A1323" s="143" t="n">
        <v>45681</v>
      </c>
      <c r="B1323" s="177" t="n">
        <v>4.45</v>
      </c>
      <c r="C1323" s="177" t="n">
        <v>4.35</v>
      </c>
      <c r="D1323" s="177" t="n">
        <v>4.25</v>
      </c>
      <c r="E1323" s="177" t="n">
        <v>4.17</v>
      </c>
    </row>
    <row r="1324" ht="15" customHeight="1" s="95">
      <c r="A1324" s="143" t="n">
        <v>45684</v>
      </c>
      <c r="B1324" s="177" t="n">
        <v>4.44</v>
      </c>
      <c r="C1324" s="177" t="n">
        <v>4.32</v>
      </c>
      <c r="D1324" s="177" t="n">
        <v>4.25</v>
      </c>
      <c r="E1324" s="177" t="n">
        <v>4.13</v>
      </c>
    </row>
    <row r="1325" ht="15" customHeight="1" s="95">
      <c r="A1325" s="143" t="n">
        <v>45685</v>
      </c>
      <c r="B1325" s="177" t="n">
        <v>4.44</v>
      </c>
      <c r="C1325" s="177" t="n">
        <v>4.31</v>
      </c>
      <c r="D1325" s="177" t="n">
        <v>4.26</v>
      </c>
      <c r="E1325" s="177" t="n">
        <v>4.14</v>
      </c>
    </row>
    <row r="1326" ht="15" customHeight="1" s="95">
      <c r="A1326" s="143" t="n">
        <v>45686</v>
      </c>
      <c r="B1326" s="177" t="n">
        <v>4.43</v>
      </c>
      <c r="C1326" s="177" t="n">
        <v>4.31</v>
      </c>
      <c r="D1326" s="177" t="n">
        <v>4.27</v>
      </c>
      <c r="E1326" s="177" t="n">
        <v>4.17</v>
      </c>
    </row>
    <row r="1327" ht="15" customHeight="1" s="95">
      <c r="A1327" s="143" t="n">
        <v>45687</v>
      </c>
      <c r="B1327" s="177" t="n">
        <v>4.37</v>
      </c>
      <c r="C1327" s="177" t="n">
        <v>4.3</v>
      </c>
      <c r="D1327" s="177" t="n">
        <v>4.27</v>
      </c>
      <c r="E1327" s="177" t="n">
        <v>4.16</v>
      </c>
    </row>
    <row r="1328" ht="15" customHeight="1" s="95">
      <c r="A1328" s="143" t="n">
        <v>45688</v>
      </c>
      <c r="B1328" s="177" t="n">
        <v>4.37</v>
      </c>
      <c r="C1328" s="177" t="n">
        <v>4.31</v>
      </c>
      <c r="D1328" s="177" t="n">
        <v>4.28</v>
      </c>
      <c r="E1328" s="177" t="n">
        <v>4.17</v>
      </c>
    </row>
    <row r="1329" ht="15" customHeight="1" s="95">
      <c r="A1329" s="143" t="n">
        <v>45691</v>
      </c>
      <c r="B1329" s="177" t="n">
        <v>4.37</v>
      </c>
      <c r="C1329" s="177" t="n">
        <v>4.34</v>
      </c>
      <c r="D1329" s="177" t="n">
        <v>4.28</v>
      </c>
      <c r="E1329" s="177" t="n">
        <v>4.2</v>
      </c>
    </row>
    <row r="1330" ht="15" customHeight="1" s="95">
      <c r="A1330" s="143" t="n">
        <v>45692</v>
      </c>
      <c r="B1330" s="177" t="n">
        <v>4.36</v>
      </c>
      <c r="C1330" s="177" t="n">
        <v>4.33</v>
      </c>
      <c r="D1330" s="177" t="n">
        <v>4.27</v>
      </c>
      <c r="E1330" s="177" t="n">
        <v>4.18</v>
      </c>
    </row>
    <row r="1331" ht="15" customHeight="1" s="95">
      <c r="A1331" s="143" t="n">
        <v>45693</v>
      </c>
      <c r="B1331" s="177" t="n">
        <v>4.35</v>
      </c>
      <c r="C1331" s="177" t="n">
        <v>4.33</v>
      </c>
      <c r="D1331" s="177" t="n">
        <v>4.27</v>
      </c>
      <c r="E1331" s="177" t="n">
        <v>4.17</v>
      </c>
    </row>
    <row r="1332" ht="15" customHeight="1" s="95">
      <c r="A1332" s="143" t="n">
        <v>45694</v>
      </c>
      <c r="B1332" s="177" t="n">
        <v>4.37</v>
      </c>
      <c r="C1332" s="177" t="n">
        <v>4.34</v>
      </c>
      <c r="D1332" s="177" t="n">
        <v>4.28</v>
      </c>
      <c r="E1332" s="177" t="n">
        <v>4.19</v>
      </c>
    </row>
    <row r="1333" ht="15" customHeight="1" s="95">
      <c r="A1333" s="143" t="n">
        <v>45695</v>
      </c>
      <c r="B1333" s="177" t="n">
        <v>4.37</v>
      </c>
      <c r="C1333" s="177" t="n">
        <v>4.35</v>
      </c>
      <c r="D1333" s="177" t="n">
        <v>4.3</v>
      </c>
      <c r="E1333" s="177" t="n">
        <v>4.25</v>
      </c>
    </row>
    <row r="1334" ht="15" customHeight="1" s="95">
      <c r="A1334" s="143" t="n">
        <v>45698</v>
      </c>
      <c r="B1334" s="177" t="n">
        <v>4.38</v>
      </c>
      <c r="C1334" s="177" t="n">
        <v>4.35</v>
      </c>
      <c r="D1334" s="177" t="n">
        <v>4.31</v>
      </c>
      <c r="E1334" s="177" t="n">
        <v>4.24</v>
      </c>
    </row>
    <row r="1335" ht="15" customHeight="1" s="95">
      <c r="A1335" s="143" t="n">
        <v>45699</v>
      </c>
      <c r="B1335" s="177" t="n">
        <v>4.38</v>
      </c>
      <c r="C1335" s="177" t="n">
        <v>4.35</v>
      </c>
      <c r="D1335" s="177" t="n">
        <v>4.31</v>
      </c>
      <c r="E1335" s="177" t="n">
        <v>4.25</v>
      </c>
    </row>
    <row r="1336" ht="15" customHeight="1" s="95">
      <c r="A1336" s="143" t="n">
        <v>45700</v>
      </c>
      <c r="B1336" s="177" t="n">
        <v>4.38</v>
      </c>
      <c r="C1336" s="177" t="n">
        <v>4.35</v>
      </c>
      <c r="D1336" s="177" t="n">
        <v>4.33</v>
      </c>
      <c r="E1336" s="177" t="n">
        <v>4.3</v>
      </c>
    </row>
    <row r="1337" ht="15" customHeight="1" s="95">
      <c r="A1337" s="143" t="n">
        <v>45701</v>
      </c>
      <c r="B1337" s="177" t="n">
        <v>4.37</v>
      </c>
      <c r="C1337" s="177" t="n">
        <v>4.34</v>
      </c>
      <c r="D1337" s="177" t="n">
        <v>4.33</v>
      </c>
      <c r="E1337" s="177" t="n">
        <v>4.27</v>
      </c>
    </row>
    <row r="1338" ht="15" customHeight="1" s="95">
      <c r="A1338" s="143" t="n">
        <v>45702</v>
      </c>
      <c r="B1338" s="177" t="n">
        <v>4.37</v>
      </c>
      <c r="C1338" s="177" t="n">
        <v>4.34</v>
      </c>
      <c r="D1338" s="177" t="n">
        <v>4.32</v>
      </c>
      <c r="E1338" s="177" t="n">
        <v>4.23</v>
      </c>
    </row>
    <row r="1339" ht="15" customHeight="1" s="95">
      <c r="A1339" s="143" t="n">
        <v>45705</v>
      </c>
    </row>
    <row r="1340" ht="15" customHeight="1" s="95">
      <c r="A1340" s="143" t="n">
        <v>45706</v>
      </c>
      <c r="B1340" s="177" t="n">
        <v>4.38</v>
      </c>
      <c r="C1340" s="177" t="n">
        <v>4.34</v>
      </c>
      <c r="D1340" s="177" t="n">
        <v>4.34</v>
      </c>
      <c r="E1340" s="177" t="n">
        <v>4.24</v>
      </c>
    </row>
    <row r="1341" ht="15" customHeight="1" s="95">
      <c r="A1341" s="143" t="n">
        <v>45707</v>
      </c>
      <c r="B1341" s="177" t="n">
        <v>4.38</v>
      </c>
      <c r="C1341" s="177" t="n">
        <v>4.34</v>
      </c>
      <c r="D1341" s="177" t="n">
        <v>4.34</v>
      </c>
      <c r="E1341" s="177" t="n">
        <v>4.22</v>
      </c>
    </row>
    <row r="1342" ht="15" customHeight="1" s="95">
      <c r="A1342" s="143" t="n">
        <v>45708</v>
      </c>
      <c r="B1342" s="177" t="n">
        <v>4.37</v>
      </c>
      <c r="C1342" s="177" t="n">
        <v>4.33</v>
      </c>
      <c r="D1342" s="177" t="n">
        <v>4.33</v>
      </c>
      <c r="E1342" s="177" t="n">
        <v>4.2</v>
      </c>
    </row>
    <row r="1343" ht="15" customHeight="1" s="95">
      <c r="A1343" s="143" t="n">
        <v>45709</v>
      </c>
      <c r="B1343" s="177" t="n">
        <v>4.36</v>
      </c>
      <c r="C1343" s="177" t="n">
        <v>4.32</v>
      </c>
      <c r="D1343" s="177" t="n">
        <v>4.3</v>
      </c>
      <c r="E1343" s="177" t="n">
        <v>4.15</v>
      </c>
    </row>
    <row r="1344" ht="15" customHeight="1" s="95">
      <c r="A1344" s="143" t="n">
        <v>45712</v>
      </c>
      <c r="B1344" s="177" t="n">
        <v>4.36</v>
      </c>
      <c r="C1344" s="177" t="n">
        <v>4.31</v>
      </c>
      <c r="D1344" s="177" t="n">
        <v>4.3</v>
      </c>
      <c r="E1344" s="177" t="n">
        <v>4.15</v>
      </c>
    </row>
    <row r="1345" ht="15" customHeight="1" s="95">
      <c r="A1345" s="143" t="n">
        <v>45713</v>
      </c>
      <c r="B1345" s="177" t="n">
        <v>4.34</v>
      </c>
      <c r="C1345" s="177" t="n">
        <v>4.3</v>
      </c>
      <c r="D1345" s="177" t="n">
        <v>4.28</v>
      </c>
      <c r="E1345" s="177" t="n">
        <v>4.12</v>
      </c>
    </row>
    <row r="1346" ht="15" customHeight="1" s="95">
      <c r="A1346" s="143" t="n">
        <v>45714</v>
      </c>
      <c r="B1346" s="177" t="n">
        <v>4.35</v>
      </c>
      <c r="C1346" s="177" t="n">
        <v>4.31</v>
      </c>
      <c r="D1346" s="177" t="n">
        <v>4.28</v>
      </c>
      <c r="E1346" s="177" t="n">
        <v>4.12</v>
      </c>
    </row>
    <row r="1347" ht="15" customHeight="1" s="95">
      <c r="A1347" s="143" t="n">
        <v>45715</v>
      </c>
      <c r="B1347" s="177" t="n">
        <v>4.38</v>
      </c>
      <c r="C1347" s="177" t="n">
        <v>4.32</v>
      </c>
      <c r="D1347" s="177" t="n">
        <v>4.28</v>
      </c>
      <c r="E1347" s="177" t="n">
        <v>4.13</v>
      </c>
    </row>
    <row r="1348" ht="15" customHeight="1" s="95">
      <c r="A1348" s="143" t="n">
        <v>45716</v>
      </c>
      <c r="B1348" s="177" t="n">
        <v>4.38</v>
      </c>
      <c r="C1348" s="177" t="n">
        <v>4.32</v>
      </c>
      <c r="D1348" s="177" t="n">
        <v>4.25</v>
      </c>
      <c r="E1348" s="177" t="n">
        <v>4.08</v>
      </c>
    </row>
    <row r="1349" ht="15" customHeight="1" s="95">
      <c r="A1349" s="143" t="n">
        <v>45719</v>
      </c>
      <c r="B1349" s="177" t="n">
        <v>4.38</v>
      </c>
      <c r="C1349" s="177" t="n">
        <v>4.35</v>
      </c>
      <c r="D1349" s="177" t="n">
        <v>4.31</v>
      </c>
      <c r="E1349" s="177" t="n">
        <v>4.06</v>
      </c>
    </row>
    <row r="1350" ht="15" customHeight="1" s="95">
      <c r="A1350" s="143" t="n">
        <v>45720</v>
      </c>
      <c r="B1350" s="177" t="n">
        <v>4.39</v>
      </c>
      <c r="C1350" s="177" t="n">
        <v>4.34</v>
      </c>
      <c r="D1350" s="177" t="n">
        <v>4.28</v>
      </c>
      <c r="E1350" s="177" t="n">
        <v>4.04</v>
      </c>
    </row>
    <row r="1351" ht="15" customHeight="1" s="95">
      <c r="A1351" s="143" t="n">
        <v>45721</v>
      </c>
      <c r="B1351" s="177" t="n">
        <v>4.38</v>
      </c>
      <c r="C1351" s="177" t="n">
        <v>4.35</v>
      </c>
      <c r="D1351" s="177" t="n">
        <v>4.3</v>
      </c>
      <c r="E1351" s="177" t="n">
        <v>4.06</v>
      </c>
    </row>
    <row r="1352" ht="15" customHeight="1" s="95">
      <c r="A1352" s="143" t="n">
        <v>45722</v>
      </c>
      <c r="B1352" s="177" t="n">
        <v>4.38</v>
      </c>
      <c r="C1352" s="177" t="n">
        <v>4.34</v>
      </c>
      <c r="D1352" s="177" t="n">
        <v>4.27</v>
      </c>
      <c r="E1352" s="177" t="n">
        <v>4.02</v>
      </c>
    </row>
    <row r="1353" ht="15" customHeight="1" s="95">
      <c r="A1353" s="143" t="n">
        <v>45723</v>
      </c>
      <c r="B1353" s="177" t="n">
        <v>4.38</v>
      </c>
      <c r="C1353" s="177" t="n">
        <v>4.34</v>
      </c>
      <c r="D1353" s="177" t="n">
        <v>4.29</v>
      </c>
      <c r="E1353" s="177" t="n">
        <v>4.05</v>
      </c>
    </row>
    <row r="1354" ht="15" customHeight="1" s="95">
      <c r="A1354" s="143" t="n">
        <v>45726</v>
      </c>
      <c r="B1354" s="177" t="n">
        <v>4.37</v>
      </c>
      <c r="C1354" s="177" t="n">
        <v>4.33</v>
      </c>
      <c r="D1354" s="177" t="n">
        <v>4.25</v>
      </c>
      <c r="E1354" s="177" t="n">
        <v>3.98</v>
      </c>
    </row>
    <row r="1355" ht="15" customHeight="1" s="95">
      <c r="A1355" s="143" t="n">
        <v>45727</v>
      </c>
      <c r="B1355" s="177" t="n">
        <v>4.37</v>
      </c>
      <c r="C1355" s="177" t="n">
        <v>4.34</v>
      </c>
      <c r="D1355" s="177" t="n">
        <v>4.26</v>
      </c>
      <c r="E1355" s="177" t="n">
        <v>4.03</v>
      </c>
    </row>
    <row r="1356" ht="15" customHeight="1" s="95">
      <c r="A1356" s="143" t="n">
        <v>45728</v>
      </c>
      <c r="B1356" s="177" t="n">
        <v>4.36</v>
      </c>
      <c r="C1356" s="177" t="n">
        <v>4.35</v>
      </c>
      <c r="D1356" s="177" t="n">
        <v>4.27</v>
      </c>
      <c r="E1356" s="177" t="n">
        <v>4.07</v>
      </c>
    </row>
    <row r="1357" ht="15" customHeight="1" s="95">
      <c r="A1357" s="143" t="n">
        <v>45729</v>
      </c>
      <c r="B1357" s="177" t="n">
        <v>4.37</v>
      </c>
      <c r="C1357" s="177" t="n">
        <v>4.34</v>
      </c>
      <c r="D1357" s="177" t="n">
        <v>4.27</v>
      </c>
      <c r="E1357" s="177" t="n">
        <v>4.03</v>
      </c>
    </row>
    <row r="1358" ht="15" customHeight="1" s="95">
      <c r="A1358" s="143" t="n">
        <v>45730</v>
      </c>
      <c r="B1358" s="177" t="n">
        <v>4.37</v>
      </c>
      <c r="C1358" s="177" t="n">
        <v>4.33</v>
      </c>
      <c r="D1358" s="177" t="n">
        <v>4.29</v>
      </c>
      <c r="E1358" s="177" t="n">
        <v>4.09</v>
      </c>
    </row>
    <row r="1359" ht="15" customHeight="1" s="95">
      <c r="A1359" s="143" t="n">
        <v>45733</v>
      </c>
      <c r="B1359" s="177" t="n">
        <v>4.37</v>
      </c>
      <c r="C1359" s="177" t="n">
        <v>4.34</v>
      </c>
      <c r="D1359" s="177" t="n">
        <v>4.29</v>
      </c>
      <c r="E1359" s="177" t="n">
        <v>4.11</v>
      </c>
    </row>
    <row r="1360" ht="15" customHeight="1" s="95">
      <c r="A1360" s="143" t="n">
        <v>45734</v>
      </c>
      <c r="B1360" s="177" t="n">
        <v>4.37</v>
      </c>
      <c r="C1360" s="177" t="n">
        <v>4.34</v>
      </c>
      <c r="D1360" s="177" t="n">
        <v>4.29</v>
      </c>
      <c r="E1360" s="177" t="n">
        <v>4.13</v>
      </c>
    </row>
    <row r="1361" ht="15" customHeight="1" s="95">
      <c r="A1361" s="143" t="n">
        <v>45735</v>
      </c>
      <c r="B1361" s="177" t="n">
        <v>4.37</v>
      </c>
      <c r="C1361" s="177" t="n">
        <v>4.33</v>
      </c>
      <c r="D1361" s="177" t="n">
        <v>4.29</v>
      </c>
      <c r="E1361" s="177" t="n">
        <v>4.1</v>
      </c>
    </row>
    <row r="1362" ht="15" customHeight="1" s="95">
      <c r="A1362" s="143" t="n">
        <v>45736</v>
      </c>
      <c r="B1362" s="177" t="n">
        <v>4.36</v>
      </c>
      <c r="C1362" s="177" t="n">
        <v>4.33</v>
      </c>
      <c r="D1362" s="177" t="n">
        <v>4.27</v>
      </c>
      <c r="E1362" s="177" t="n">
        <v>4.06</v>
      </c>
    </row>
    <row r="1363" ht="15" customHeight="1" s="95">
      <c r="A1363" s="143" t="n">
        <v>45737</v>
      </c>
      <c r="B1363" s="177" t="n">
        <v>4.36</v>
      </c>
      <c r="C1363" s="177" t="n">
        <v>4.33</v>
      </c>
      <c r="D1363" s="177" t="n">
        <v>4.26</v>
      </c>
      <c r="E1363" s="177" t="n">
        <v>4.04</v>
      </c>
    </row>
    <row r="1364" ht="15" customHeight="1" s="95">
      <c r="A1364" s="143" t="n">
        <v>45740</v>
      </c>
      <c r="B1364" s="177" t="n">
        <v>4.35</v>
      </c>
      <c r="C1364" s="177" t="n">
        <v>4.33</v>
      </c>
      <c r="D1364" s="177" t="n">
        <v>4.27</v>
      </c>
      <c r="E1364" s="177" t="n">
        <v>4.11</v>
      </c>
    </row>
    <row r="1365" ht="15" customHeight="1" s="95">
      <c r="A1365" s="143" t="n">
        <v>45741</v>
      </c>
      <c r="B1365" s="177" t="n">
        <v>4.36</v>
      </c>
      <c r="C1365" s="177" t="n">
        <v>4.33</v>
      </c>
      <c r="D1365" s="177" t="n">
        <v>4.26</v>
      </c>
      <c r="E1365" s="177" t="n">
        <v>4.09</v>
      </c>
    </row>
    <row r="1366" ht="15" customHeight="1" s="95">
      <c r="A1366" s="143" t="n">
        <v>45742</v>
      </c>
      <c r="B1366" s="177" t="n">
        <v>4.36</v>
      </c>
      <c r="C1366" s="177" t="n">
        <v>4.33</v>
      </c>
      <c r="D1366" s="177" t="n">
        <v>4.26</v>
      </c>
      <c r="E1366" s="177" t="n">
        <v>4.1</v>
      </c>
    </row>
    <row r="1367" ht="15" customHeight="1" s="95">
      <c r="A1367" s="143" t="n">
        <v>45743</v>
      </c>
      <c r="B1367" s="177" t="n">
        <v>4.37</v>
      </c>
      <c r="C1367" s="177" t="n">
        <v>4.33</v>
      </c>
      <c r="D1367" s="177" t="n">
        <v>4.27</v>
      </c>
      <c r="E1367" s="177" t="n">
        <v>4.1</v>
      </c>
    </row>
    <row r="1368" ht="15" customHeight="1" s="95">
      <c r="A1368" s="143" t="n">
        <v>45744</v>
      </c>
      <c r="B1368" s="177" t="n">
        <v>4.38</v>
      </c>
      <c r="C1368" s="177" t="n">
        <v>4.33</v>
      </c>
      <c r="D1368" s="177" t="n">
        <v>4.26</v>
      </c>
      <c r="E1368" s="177" t="n">
        <v>4.04</v>
      </c>
    </row>
    <row r="1369" ht="15" customHeight="1" s="95">
      <c r="A1369" s="143" t="n">
        <v>45747</v>
      </c>
      <c r="B1369" s="177" t="n">
        <v>4.38</v>
      </c>
      <c r="C1369" s="177" t="n">
        <v>4.32</v>
      </c>
      <c r="D1369" s="177" t="n">
        <v>4.23</v>
      </c>
      <c r="E1369" s="177" t="n">
        <v>4.03</v>
      </c>
    </row>
    <row r="1370" ht="15" customHeight="1" s="95">
      <c r="A1370" s="143" t="n">
        <v>45748</v>
      </c>
      <c r="B1370" s="177" t="n">
        <v>4.38</v>
      </c>
      <c r="C1370" s="177" t="n">
        <v>4.32</v>
      </c>
      <c r="D1370" s="177" t="n">
        <v>4.23</v>
      </c>
      <c r="E1370" s="177" t="n">
        <v>4.01</v>
      </c>
    </row>
    <row r="1371" ht="15" customHeight="1" s="95">
      <c r="A1371" s="143" t="n">
        <v>45749</v>
      </c>
      <c r="B1371" s="177" t="n">
        <v>4.38</v>
      </c>
      <c r="C1371" s="177" t="n">
        <v>4.32</v>
      </c>
      <c r="D1371" s="177" t="n">
        <v>4.24</v>
      </c>
      <c r="E1371" s="177" t="n">
        <v>4.04</v>
      </c>
    </row>
    <row r="1372" ht="15" customHeight="1" s="95">
      <c r="A1372" s="143" t="n">
        <v>45750</v>
      </c>
      <c r="B1372" s="177" t="n">
        <v>4.36</v>
      </c>
      <c r="C1372" s="177" t="n">
        <v>4.31</v>
      </c>
      <c r="D1372" s="177" t="n">
        <v>4.2</v>
      </c>
      <c r="E1372" s="177" t="n">
        <v>3.92</v>
      </c>
    </row>
    <row r="1373" ht="15" customHeight="1" s="95">
      <c r="A1373" s="143" t="n">
        <v>45751</v>
      </c>
      <c r="B1373" s="177" t="n">
        <v>4.36</v>
      </c>
      <c r="C1373" s="177" t="n">
        <v>4.28</v>
      </c>
      <c r="D1373" s="177" t="n">
        <v>4.14</v>
      </c>
      <c r="E1373" s="177" t="n">
        <v>3.86</v>
      </c>
    </row>
    <row r="1374" ht="15" customHeight="1" s="95">
      <c r="A1374" s="143" t="n">
        <v>45754</v>
      </c>
      <c r="B1374" s="177" t="n">
        <v>4.36</v>
      </c>
      <c r="C1374" s="177" t="n">
        <v>4.29</v>
      </c>
      <c r="D1374" s="177" t="n">
        <v>4.14</v>
      </c>
      <c r="E1374" s="177" t="n">
        <v>3.86</v>
      </c>
    </row>
    <row r="1375" ht="15" customHeight="1" s="95">
      <c r="A1375" s="143" t="n">
        <v>45755</v>
      </c>
      <c r="B1375" s="177" t="n">
        <v>4.36</v>
      </c>
      <c r="C1375" s="177" t="n">
        <v>4.31</v>
      </c>
      <c r="D1375" s="177" t="n">
        <v>4.14</v>
      </c>
      <c r="E1375" s="177" t="n">
        <v>3.83</v>
      </c>
    </row>
    <row r="1376" ht="15" customHeight="1" s="95">
      <c r="A1376" s="143" t="n">
        <v>45756</v>
      </c>
      <c r="B1376" s="177" t="n">
        <v>4.36</v>
      </c>
      <c r="C1376" s="177" t="n">
        <v>4.35</v>
      </c>
      <c r="D1376" s="177" t="n">
        <v>4.23</v>
      </c>
      <c r="E1376" s="177" t="n">
        <v>4.03</v>
      </c>
    </row>
    <row r="1377" ht="15" customHeight="1" s="95">
      <c r="A1377" s="143" t="n">
        <v>45757</v>
      </c>
      <c r="B1377" s="177" t="n">
        <v>4.36</v>
      </c>
      <c r="C1377" s="177" t="n">
        <v>4.34</v>
      </c>
      <c r="D1377" s="177" t="n">
        <v>4.17</v>
      </c>
      <c r="E1377" s="177" t="n">
        <v>3.97</v>
      </c>
    </row>
    <row r="1378" ht="15" customHeight="1" s="95">
      <c r="A1378" s="143" t="n">
        <v>45758</v>
      </c>
      <c r="B1378" s="177" t="n">
        <v>4.37</v>
      </c>
      <c r="C1378" s="177" t="n">
        <v>4.34</v>
      </c>
      <c r="D1378" s="177" t="n">
        <v>4.21</v>
      </c>
      <c r="E1378" s="177" t="n">
        <v>4.04</v>
      </c>
    </row>
    <row r="1379" ht="15" customHeight="1" s="95">
      <c r="A1379" s="143" t="n">
        <v>45761</v>
      </c>
      <c r="B1379" s="177" t="n">
        <v>4.34</v>
      </c>
      <c r="C1379" s="177" t="n">
        <v>4.33</v>
      </c>
      <c r="D1379" s="177" t="n">
        <v>4.21</v>
      </c>
      <c r="E1379" s="177" t="n">
        <v>3.99</v>
      </c>
    </row>
    <row r="1380" ht="15" customHeight="1" s="95">
      <c r="A1380" s="143" t="n">
        <v>45762</v>
      </c>
      <c r="B1380" s="177" t="n">
        <v>4.35</v>
      </c>
      <c r="C1380" s="177" t="n">
        <v>4.33</v>
      </c>
      <c r="D1380" s="177" t="n">
        <v>4.21</v>
      </c>
      <c r="E1380" s="177" t="n">
        <v>3.99</v>
      </c>
    </row>
    <row r="1381" ht="15" customHeight="1" s="95">
      <c r="A1381" s="143" t="n">
        <v>45763</v>
      </c>
      <c r="B1381" s="177" t="n">
        <v>4.35</v>
      </c>
      <c r="C1381" s="177" t="n">
        <v>4.33</v>
      </c>
      <c r="D1381" s="177" t="n">
        <v>4.2</v>
      </c>
      <c r="E1381" s="177" t="n">
        <v>3.96</v>
      </c>
    </row>
    <row r="1382" ht="15" customHeight="1" s="95">
      <c r="A1382" s="143" t="n">
        <v>45764</v>
      </c>
      <c r="B1382" s="177" t="n">
        <v>4.36</v>
      </c>
      <c r="C1382" s="177" t="n">
        <v>4.34</v>
      </c>
      <c r="D1382" s="177" t="n">
        <v>4.22</v>
      </c>
      <c r="E1382" s="177" t="n">
        <v>3.99</v>
      </c>
    </row>
    <row r="1383" ht="15" customHeight="1" s="95">
      <c r="A1383" s="143" t="n">
        <v>45765</v>
      </c>
    </row>
    <row r="1384" ht="15" customHeight="1" s="95">
      <c r="A1384" s="143" t="n">
        <v>45768</v>
      </c>
      <c r="B1384" s="177" t="n">
        <v>4.35</v>
      </c>
      <c r="C1384" s="177" t="n">
        <v>4.34</v>
      </c>
      <c r="D1384" s="177" t="n">
        <v>4.21</v>
      </c>
      <c r="E1384" s="177" t="n">
        <v>3.95</v>
      </c>
    </row>
    <row r="1385" ht="15" customHeight="1" s="95">
      <c r="A1385" s="143" t="n">
        <v>45769</v>
      </c>
      <c r="B1385" s="177" t="n">
        <v>4.33</v>
      </c>
      <c r="C1385" s="177" t="n">
        <v>4.33</v>
      </c>
      <c r="D1385" s="177" t="n">
        <v>4.21</v>
      </c>
      <c r="E1385" s="177" t="n">
        <v>3.98</v>
      </c>
    </row>
    <row r="1386" ht="15" customHeight="1" s="95">
      <c r="A1386" s="143" t="n">
        <v>45770</v>
      </c>
      <c r="B1386" s="177" t="n">
        <v>4.33</v>
      </c>
      <c r="C1386" s="177" t="n">
        <v>4.33</v>
      </c>
      <c r="D1386" s="177" t="n">
        <v>4.22</v>
      </c>
      <c r="E1386" s="177" t="n">
        <v>4.01</v>
      </c>
    </row>
    <row r="1387" ht="15" customHeight="1" s="95">
      <c r="A1387" s="143" t="n">
        <v>45771</v>
      </c>
      <c r="B1387" s="177" t="n">
        <v>4.34</v>
      </c>
      <c r="C1387" s="177" t="n">
        <v>4.32</v>
      </c>
      <c r="D1387" s="177" t="n">
        <v>4.22</v>
      </c>
      <c r="E1387" s="177" t="n">
        <v>3.97</v>
      </c>
    </row>
    <row r="1388" ht="15" customHeight="1" s="95">
      <c r="A1388" s="143" t="n">
        <v>45772</v>
      </c>
      <c r="B1388" s="177" t="n">
        <v>4.34</v>
      </c>
      <c r="C1388" s="177" t="n">
        <v>4.32</v>
      </c>
      <c r="D1388" s="177" t="n">
        <v>4.22</v>
      </c>
      <c r="E1388" s="177" t="n">
        <v>3.95</v>
      </c>
    </row>
    <row r="1389" ht="15" customHeight="1" s="95">
      <c r="A1389" s="143" t="n">
        <v>45775</v>
      </c>
      <c r="B1389" s="177" t="n">
        <v>4.35</v>
      </c>
      <c r="C1389" s="177" t="n">
        <v>4.32</v>
      </c>
      <c r="D1389" s="177" t="n">
        <v>4.22</v>
      </c>
      <c r="E1389" s="177" t="n">
        <v>3.92</v>
      </c>
    </row>
    <row r="1390" ht="15" customHeight="1" s="95">
      <c r="A1390" s="143" t="n">
        <v>45776</v>
      </c>
      <c r="B1390" s="177" t="n">
        <v>4.35</v>
      </c>
      <c r="C1390" s="177" t="n">
        <v>4.31</v>
      </c>
      <c r="D1390" s="177" t="n">
        <v>4.2</v>
      </c>
      <c r="E1390" s="177" t="n">
        <v>3.89</v>
      </c>
    </row>
    <row r="1391" ht="15" customHeight="1" s="95">
      <c r="A1391" s="143" t="n">
        <v>45777</v>
      </c>
      <c r="B1391" s="177" t="n">
        <v>4.35</v>
      </c>
      <c r="C1391" s="177" t="n">
        <v>4.31</v>
      </c>
      <c r="D1391" s="177" t="n">
        <v>4.19</v>
      </c>
      <c r="E1391" s="177" t="n">
        <v>3.85</v>
      </c>
    </row>
    <row r="1392" ht="15" customHeight="1" s="95">
      <c r="A1392" s="143" t="n">
        <v>45778</v>
      </c>
      <c r="B1392" s="177" t="n">
        <v>4.38</v>
      </c>
      <c r="C1392" s="177" t="n">
        <v>4.31</v>
      </c>
      <c r="D1392" s="177" t="n">
        <v>4.22</v>
      </c>
      <c r="E1392" s="177" t="n">
        <v>3.92</v>
      </c>
    </row>
    <row r="1393" ht="15" customHeight="1" s="95">
      <c r="A1393" s="143" t="n">
        <v>45779</v>
      </c>
      <c r="B1393" s="177" t="n">
        <v>4.38</v>
      </c>
      <c r="C1393" s="177" t="n">
        <v>4.33</v>
      </c>
      <c r="D1393" s="177" t="n">
        <v>4.26</v>
      </c>
      <c r="E1393" s="177" t="n">
        <v>4</v>
      </c>
    </row>
    <row r="1394" ht="15" customHeight="1" s="95">
      <c r="A1394" s="143" t="n">
        <v>45782</v>
      </c>
      <c r="B1394" s="177" t="n">
        <v>4.38</v>
      </c>
      <c r="C1394" s="177" t="n">
        <v>4.33</v>
      </c>
      <c r="D1394" s="177" t="n">
        <v>4.27</v>
      </c>
      <c r="E1394" s="177" t="n">
        <v>4.02</v>
      </c>
    </row>
    <row r="1395" ht="15" customHeight="1" s="95">
      <c r="A1395" s="143" t="n">
        <v>45783</v>
      </c>
      <c r="B1395" s="177" t="n">
        <v>4.37</v>
      </c>
      <c r="C1395" s="177" t="n">
        <v>4.33</v>
      </c>
      <c r="D1395" s="177" t="n">
        <v>4.25</v>
      </c>
      <c r="E1395" s="177" t="n">
        <v>3.98</v>
      </c>
    </row>
    <row r="1396" ht="15" customHeight="1" s="95">
      <c r="A1396" s="143" t="n">
        <v>45784</v>
      </c>
      <c r="B1396" s="177" t="n">
        <v>4.37</v>
      </c>
      <c r="C1396" s="177" t="n">
        <v>4.34</v>
      </c>
      <c r="D1396" s="177" t="n">
        <v>4.27</v>
      </c>
      <c r="E1396" s="177" t="n">
        <v>4</v>
      </c>
    </row>
    <row r="1397" ht="15" customHeight="1" s="95">
      <c r="A1397" s="143" t="n">
        <v>45785</v>
      </c>
      <c r="B1397" s="177" t="n">
        <v>4.37</v>
      </c>
      <c r="C1397" s="177" t="n">
        <v>4.34</v>
      </c>
      <c r="D1397" s="177" t="n">
        <v>4.28</v>
      </c>
      <c r="E1397" s="177" t="n">
        <v>4.05</v>
      </c>
    </row>
    <row r="1398" ht="15" customHeight="1" s="95">
      <c r="A1398" s="143" t="n">
        <v>45786</v>
      </c>
      <c r="B1398" s="177" t="n">
        <v>4.37</v>
      </c>
      <c r="C1398" s="177" t="n">
        <v>4.34</v>
      </c>
      <c r="D1398" s="177" t="n">
        <v>4.28</v>
      </c>
      <c r="E1398" s="177" t="n">
        <v>4.05</v>
      </c>
    </row>
    <row r="1399" ht="15" customHeight="1" s="95">
      <c r="A1399" s="143" t="n">
        <v>45789</v>
      </c>
      <c r="B1399" s="177" t="n">
        <v>4.38</v>
      </c>
      <c r="C1399" s="177" t="n">
        <v>4.42</v>
      </c>
      <c r="D1399" s="177" t="n">
        <v>4.29</v>
      </c>
      <c r="E1399" s="177" t="n">
        <v>4.11</v>
      </c>
    </row>
    <row r="1400" ht="15" customHeight="1" s="95">
      <c r="A1400" s="143" t="n">
        <v>45790</v>
      </c>
      <c r="B1400" s="177" t="n">
        <v>4.39</v>
      </c>
      <c r="C1400" s="177" t="n">
        <v>4.41</v>
      </c>
      <c r="D1400" s="177" t="n">
        <v>4.29</v>
      </c>
      <c r="E1400" s="177" t="n">
        <v>4.11</v>
      </c>
    </row>
    <row r="1401" ht="15" customHeight="1" s="95">
      <c r="A1401" s="143" t="n">
        <v>45791</v>
      </c>
      <c r="B1401" s="177" t="n">
        <v>4.39</v>
      </c>
      <c r="C1401" s="177" t="n">
        <v>4.41</v>
      </c>
      <c r="D1401" s="177" t="n">
        <v>4.3</v>
      </c>
      <c r="E1401" s="177" t="n">
        <v>4.14</v>
      </c>
    </row>
    <row r="1402" ht="15" customHeight="1" s="95">
      <c r="A1402" s="143" t="n">
        <v>45792</v>
      </c>
      <c r="B1402" s="177" t="n">
        <v>4.37</v>
      </c>
      <c r="C1402" s="177" t="n">
        <v>4.38</v>
      </c>
      <c r="D1402" s="177" t="n">
        <v>4.29</v>
      </c>
      <c r="E1402" s="177" t="n">
        <v>4.1</v>
      </c>
    </row>
    <row r="1403" ht="15" customHeight="1" s="95">
      <c r="A1403" s="143" t="n">
        <v>45793</v>
      </c>
      <c r="B1403" s="177" t="n">
        <v>4.37</v>
      </c>
      <c r="C1403" s="177" t="n">
        <v>4.37</v>
      </c>
      <c r="D1403" s="177" t="n">
        <v>4.3</v>
      </c>
      <c r="E1403" s="177" t="n">
        <v>4.13</v>
      </c>
    </row>
    <row r="1404" ht="15" customHeight="1" s="95">
      <c r="A1404" s="143" t="n">
        <v>45796</v>
      </c>
      <c r="B1404" s="177" t="n">
        <v>4.37</v>
      </c>
      <c r="C1404" s="177" t="n">
        <v>4.39</v>
      </c>
      <c r="D1404" s="177" t="n">
        <v>4.32</v>
      </c>
      <c r="E1404" s="177" t="n">
        <v>4.12</v>
      </c>
    </row>
    <row r="1405" ht="15" customHeight="1" s="95">
      <c r="A1405" s="143" t="n">
        <v>45797</v>
      </c>
      <c r="B1405" s="177" t="n">
        <v>4.36</v>
      </c>
      <c r="C1405" s="177" t="n">
        <v>4.38</v>
      </c>
      <c r="D1405" s="177" t="n">
        <v>4.32</v>
      </c>
      <c r="E1405" s="177" t="n">
        <v>4.12</v>
      </c>
    </row>
    <row r="1406" ht="15" customHeight="1" s="95">
      <c r="A1406" s="143" t="n">
        <v>45798</v>
      </c>
      <c r="B1406" s="177" t="n">
        <v>4.35</v>
      </c>
      <c r="C1406" s="177" t="n">
        <v>4.36</v>
      </c>
      <c r="D1406" s="177" t="n">
        <v>4.33</v>
      </c>
      <c r="E1406" s="177" t="n">
        <v>4.13</v>
      </c>
    </row>
    <row r="1407" ht="15" customHeight="1" s="95">
      <c r="A1407" s="143" t="n">
        <v>45799</v>
      </c>
      <c r="B1407" s="177" t="n">
        <v>4.37</v>
      </c>
      <c r="C1407" s="177" t="n">
        <v>4.37</v>
      </c>
      <c r="D1407" s="177" t="n">
        <v>4.34</v>
      </c>
      <c r="E1407" s="177" t="n">
        <v>4.13</v>
      </c>
    </row>
    <row r="1408" ht="15" customHeight="1" s="95">
      <c r="A1408" s="143" t="n">
        <v>45800</v>
      </c>
      <c r="B1408" s="177" t="n">
        <v>4.36</v>
      </c>
      <c r="C1408" s="177" t="n">
        <v>4.36</v>
      </c>
      <c r="D1408" s="177" t="n">
        <v>4.35</v>
      </c>
      <c r="E1408" s="177" t="n">
        <v>4.15</v>
      </c>
    </row>
    <row r="1409" ht="15" customHeight="1" s="95">
      <c r="A1409" s="143" t="n">
        <v>45803</v>
      </c>
    </row>
    <row r="1410" ht="15" customHeight="1" s="95">
      <c r="A1410" s="143" t="n">
        <v>45804</v>
      </c>
      <c r="B1410" s="177" t="n">
        <v>4.35</v>
      </c>
      <c r="C1410" s="177" t="n">
        <v>4.35</v>
      </c>
      <c r="D1410" s="177" t="n">
        <v>4.35</v>
      </c>
      <c r="E1410" s="177" t="n">
        <v>4.14</v>
      </c>
    </row>
    <row r="1411" ht="15" customHeight="1" s="95">
      <c r="A1411" s="143" t="n">
        <v>45805</v>
      </c>
      <c r="B1411" s="177" t="n">
        <v>4.35</v>
      </c>
      <c r="C1411" s="177" t="n">
        <v>4.35</v>
      </c>
      <c r="D1411" s="177" t="n">
        <v>4.36</v>
      </c>
      <c r="E1411" s="177" t="n">
        <v>4.16</v>
      </c>
    </row>
    <row r="1412" ht="15" customHeight="1" s="95">
      <c r="A1412" s="143" t="n">
        <v>45806</v>
      </c>
      <c r="B1412" s="177" t="n">
        <v>4.34</v>
      </c>
      <c r="C1412" s="177" t="n">
        <v>4.36</v>
      </c>
      <c r="D1412" s="177" t="n">
        <v>4.36</v>
      </c>
      <c r="E1412" s="177" t="n">
        <v>4.13</v>
      </c>
    </row>
    <row r="1413" ht="15" customHeight="1" s="95">
      <c r="A1413" s="143" t="n">
        <v>45807</v>
      </c>
      <c r="B1413" s="177" t="n">
        <v>4.33</v>
      </c>
      <c r="C1413" s="177" t="n">
        <v>4.36</v>
      </c>
      <c r="D1413" s="177" t="n">
        <v>4.36</v>
      </c>
      <c r="E1413" s="177" t="n">
        <v>4.11</v>
      </c>
    </row>
    <row r="1414" ht="15" customHeight="1" s="95">
      <c r="A1414" s="143" t="n">
        <v>45810</v>
      </c>
      <c r="B1414" s="177" t="n">
        <v>4.33</v>
      </c>
      <c r="C1414" s="177" t="n">
        <v>4.44</v>
      </c>
      <c r="D1414" s="177" t="n">
        <v>4.31</v>
      </c>
      <c r="E1414" s="177" t="n">
        <v>4.12</v>
      </c>
    </row>
    <row r="1415" ht="15" customHeight="1" s="95">
      <c r="A1415" s="143" t="n">
        <v>45811</v>
      </c>
      <c r="B1415" s="177" t="n">
        <v>4.33</v>
      </c>
      <c r="C1415" s="177" t="n">
        <v>4.43</v>
      </c>
      <c r="D1415" s="177" t="n">
        <v>4.31</v>
      </c>
      <c r="E1415" s="177" t="n">
        <v>4.12</v>
      </c>
    </row>
    <row r="1416" ht="15" customHeight="1" s="95">
      <c r="A1416" s="143" t="n">
        <v>45812</v>
      </c>
      <c r="B1416" s="177" t="n">
        <v>4.32</v>
      </c>
      <c r="C1416" s="177" t="n">
        <v>4.44</v>
      </c>
      <c r="D1416" s="177" t="n">
        <v>4.29</v>
      </c>
      <c r="E1416" s="177" t="n">
        <v>4.06</v>
      </c>
    </row>
    <row r="1417" ht="15" customHeight="1" s="95">
      <c r="A1417" s="143" t="n">
        <v>45813</v>
      </c>
      <c r="B1417" s="177" t="n">
        <v>4.26</v>
      </c>
      <c r="C1417" s="177" t="n">
        <v>4.44</v>
      </c>
      <c r="D1417" s="177" t="n">
        <v>4.29</v>
      </c>
      <c r="E1417" s="177" t="n">
        <v>4.08</v>
      </c>
    </row>
    <row r="1418" ht="15" customHeight="1" s="95">
      <c r="A1418" s="143" t="n">
        <v>45814</v>
      </c>
      <c r="B1418" s="177" t="n">
        <v>4.28</v>
      </c>
      <c r="C1418" s="177" t="n">
        <v>4.43</v>
      </c>
      <c r="D1418" s="177" t="n">
        <v>4.31</v>
      </c>
      <c r="E1418" s="177" t="n">
        <v>4.14</v>
      </c>
    </row>
    <row r="1419" ht="15" customHeight="1" s="95">
      <c r="A1419" s="143" t="n">
        <v>45817</v>
      </c>
      <c r="B1419" s="177" t="n">
        <v>4.29</v>
      </c>
      <c r="C1419" s="177" t="n">
        <v>4.44</v>
      </c>
      <c r="D1419" s="177" t="n">
        <v>4.32</v>
      </c>
      <c r="E1419" s="177" t="n">
        <v>4.13</v>
      </c>
    </row>
    <row r="1420" ht="15" customHeight="1" s="95">
      <c r="A1420" s="143" t="n">
        <v>45818</v>
      </c>
      <c r="B1420" s="177" t="n">
        <v>4.29</v>
      </c>
      <c r="C1420" s="177" t="n">
        <v>4.45</v>
      </c>
      <c r="D1420" s="177" t="n">
        <v>4.32</v>
      </c>
      <c r="E1420" s="177" t="n">
        <v>4.12</v>
      </c>
    </row>
    <row r="1421" ht="15" customHeight="1" s="95">
      <c r="A1421" s="143" t="n">
        <v>45819</v>
      </c>
      <c r="B1421" s="177" t="n">
        <v>4.3</v>
      </c>
      <c r="C1421" s="177" t="n">
        <v>4.45</v>
      </c>
      <c r="D1421" s="177" t="n">
        <v>4.31</v>
      </c>
      <c r="E1421" s="177" t="n">
        <v>4.08</v>
      </c>
    </row>
    <row r="1422" ht="15" customHeight="1" s="95">
      <c r="A1422" s="143" t="n">
        <v>45820</v>
      </c>
      <c r="B1422" s="177" t="n">
        <v>4.18</v>
      </c>
      <c r="C1422" s="177" t="n">
        <v>4.46</v>
      </c>
      <c r="D1422" s="177" t="n">
        <v>4.29</v>
      </c>
      <c r="E1422" s="177" t="n">
        <v>4.06</v>
      </c>
    </row>
    <row r="1423" ht="15" customHeight="1" s="95">
      <c r="A1423" s="143" t="n">
        <v>45821</v>
      </c>
      <c r="B1423" s="177" t="n">
        <v>4.23</v>
      </c>
      <c r="C1423" s="177" t="n">
        <v>4.45</v>
      </c>
      <c r="D1423" s="177" t="n">
        <v>4.3</v>
      </c>
      <c r="E1423" s="177" t="n">
        <v>4.09</v>
      </c>
    </row>
    <row r="1424" ht="15" customHeight="1" s="95">
      <c r="A1424" s="143" t="n">
        <v>45824</v>
      </c>
      <c r="B1424" s="177" t="n">
        <v>4.24</v>
      </c>
      <c r="C1424" s="177" t="n">
        <v>4.43</v>
      </c>
      <c r="D1424" s="177" t="n">
        <v>4.32</v>
      </c>
      <c r="E1424" s="177" t="n">
        <v>4.1</v>
      </c>
    </row>
    <row r="1425" ht="15" customHeight="1" s="95">
      <c r="A1425" s="143" t="n">
        <v>45825</v>
      </c>
      <c r="B1425" s="177" t="n">
        <v>4.23</v>
      </c>
      <c r="C1425" s="177" t="n">
        <v>4.42</v>
      </c>
      <c r="D1425" s="177" t="n">
        <v>4.31</v>
      </c>
      <c r="E1425" s="177" t="n">
        <v>4.1</v>
      </c>
    </row>
    <row r="1426" ht="15" customHeight="1" s="95">
      <c r="A1426" s="143" t="n">
        <v>45826</v>
      </c>
      <c r="B1426" s="177" t="n">
        <v>4.2</v>
      </c>
      <c r="C1426" s="177" t="n">
        <v>4.42</v>
      </c>
      <c r="D1426" s="177" t="n">
        <v>4.33</v>
      </c>
      <c r="E1426" s="177" t="n">
        <v>4.1</v>
      </c>
    </row>
    <row r="1427" ht="15" customHeight="1" s="95">
      <c r="A1427" s="143" t="n">
        <v>45827</v>
      </c>
    </row>
    <row r="1428" ht="15" customHeight="1" s="95">
      <c r="A1428" s="143" t="n">
        <v>45828</v>
      </c>
      <c r="B1428" s="177" t="n">
        <v>4.2</v>
      </c>
      <c r="C1428" s="177" t="n">
        <v>4.39</v>
      </c>
      <c r="D1428" s="177" t="n">
        <v>4.29</v>
      </c>
      <c r="E1428" s="177" t="n">
        <v>4.07</v>
      </c>
    </row>
    <row r="1429" ht="15" customHeight="1" s="95">
      <c r="A1429" s="143" t="n">
        <v>45831</v>
      </c>
      <c r="B1429" s="177" t="n">
        <v>4.2</v>
      </c>
      <c r="C1429" s="177" t="n">
        <v>4.38</v>
      </c>
      <c r="D1429" s="177" t="n">
        <v>4.28</v>
      </c>
      <c r="E1429" s="177" t="n">
        <v>4</v>
      </c>
    </row>
    <row r="1430" ht="15" customHeight="1" s="95">
      <c r="A1430" s="143" t="n">
        <v>45832</v>
      </c>
      <c r="B1430" s="177" t="n">
        <v>4.21</v>
      </c>
      <c r="C1430" s="177" t="n">
        <v>4.38</v>
      </c>
      <c r="D1430" s="177" t="n">
        <v>4.27</v>
      </c>
      <c r="E1430" s="177" t="n">
        <v>3.99</v>
      </c>
    </row>
    <row r="1431" ht="15" customHeight="1" s="95">
      <c r="A1431" s="143" t="n">
        <v>45833</v>
      </c>
      <c r="B1431" s="177" t="n">
        <v>4.21</v>
      </c>
      <c r="C1431" s="177" t="n">
        <v>4.38</v>
      </c>
      <c r="D1431" s="177" t="n">
        <v>4.26</v>
      </c>
      <c r="E1431" s="177" t="n">
        <v>3.99</v>
      </c>
    </row>
    <row r="1432" ht="15" customHeight="1" s="95">
      <c r="A1432" s="143" t="n">
        <v>45834</v>
      </c>
      <c r="B1432" s="177" t="n">
        <v>4.11</v>
      </c>
      <c r="C1432" s="177" t="n">
        <v>4.39</v>
      </c>
      <c r="D1432" s="177" t="n">
        <v>4.26</v>
      </c>
      <c r="E1432" s="177" t="n">
        <v>3.96</v>
      </c>
    </row>
    <row r="1433" ht="15" customHeight="1" s="95">
      <c r="A1433" s="143" t="n">
        <v>45835</v>
      </c>
      <c r="B1433" s="177" t="n">
        <v>4.19</v>
      </c>
      <c r="C1433" s="177" t="n">
        <v>4.39</v>
      </c>
      <c r="D1433" s="177" t="n">
        <v>4.26</v>
      </c>
      <c r="E1433" s="177" t="n">
        <v>3.97</v>
      </c>
    </row>
    <row r="1434" ht="15" customHeight="1" s="95">
      <c r="A1434" s="143" t="n">
        <v>45838</v>
      </c>
      <c r="B1434" s="177" t="n">
        <v>4.28</v>
      </c>
      <c r="C1434" s="177" t="n">
        <v>4.41</v>
      </c>
      <c r="D1434" s="177" t="n">
        <v>4.29</v>
      </c>
      <c r="E1434" s="177" t="n">
        <v>3.96</v>
      </c>
    </row>
    <row r="1435" ht="15" customHeight="1" s="95">
      <c r="A1435" s="143" t="n">
        <v>45839</v>
      </c>
      <c r="B1435" s="177" t="n">
        <v>4.32</v>
      </c>
      <c r="C1435" s="177" t="n">
        <v>4.4</v>
      </c>
      <c r="D1435" s="177" t="n">
        <v>4.29</v>
      </c>
      <c r="E1435" s="177" t="n">
        <v>3.98</v>
      </c>
    </row>
    <row r="1436" ht="15" customHeight="1" s="95">
      <c r="A1436" s="143" t="n">
        <v>45840</v>
      </c>
      <c r="B1436" s="177" t="n">
        <v>4.33</v>
      </c>
      <c r="C1436" s="177" t="n">
        <v>4.41</v>
      </c>
      <c r="D1436" s="177" t="n">
        <v>4.28</v>
      </c>
      <c r="E1436" s="177" t="n">
        <v>3.99</v>
      </c>
    </row>
    <row r="1437" ht="15" customHeight="1" s="95">
      <c r="A1437" s="143" t="n">
        <v>45841</v>
      </c>
      <c r="B1437" s="177" t="n">
        <v>4.35</v>
      </c>
      <c r="C1437" s="177" t="n">
        <v>4.42</v>
      </c>
      <c r="D1437" s="177" t="n">
        <v>4.34</v>
      </c>
      <c r="E1437" s="177" t="n">
        <v>4.07</v>
      </c>
    </row>
    <row r="1438" ht="15" customHeight="1" s="95">
      <c r="A1438" s="143" t="n">
        <v>45842</v>
      </c>
    </row>
    <row r="1439" ht="15" customHeight="1" s="95">
      <c r="A1439" s="143" t="n">
        <v>45845</v>
      </c>
      <c r="B1439" s="177" t="n">
        <v>4.37</v>
      </c>
      <c r="C1439" s="177" t="n">
        <v>4.42</v>
      </c>
      <c r="D1439" s="177" t="n">
        <v>4.33</v>
      </c>
      <c r="E1439" s="177" t="n">
        <v>4.08</v>
      </c>
    </row>
    <row r="1440" ht="15" customHeight="1" s="95">
      <c r="A1440" s="143" t="n">
        <v>45846</v>
      </c>
      <c r="B1440" s="177" t="n">
        <v>4.36</v>
      </c>
      <c r="C1440" s="177" t="n">
        <v>4.42</v>
      </c>
      <c r="D1440" s="177" t="n">
        <v>4.34</v>
      </c>
      <c r="E1440" s="177" t="n">
        <v>4.11</v>
      </c>
    </row>
    <row r="1441" ht="15" customHeight="1" s="95">
      <c r="A1441" s="143" t="n">
        <v>45847</v>
      </c>
      <c r="B1441" s="177" t="n">
        <v>4.36</v>
      </c>
      <c r="C1441" s="177" t="n">
        <v>4.42</v>
      </c>
      <c r="D1441" s="177" t="n">
        <v>4.31</v>
      </c>
      <c r="E1441" s="177" t="n">
        <v>4.07</v>
      </c>
    </row>
    <row r="1442" ht="15" customHeight="1" s="95">
      <c r="A1442" s="143" t="n">
        <v>45848</v>
      </c>
      <c r="B1442" s="177" t="n">
        <v>4.36</v>
      </c>
      <c r="C1442" s="177" t="n">
        <v>4.42</v>
      </c>
      <c r="D1442" s="177" t="n">
        <v>4.31</v>
      </c>
      <c r="E1442" s="177" t="n">
        <v>4.07</v>
      </c>
    </row>
    <row r="1443" ht="15" customHeight="1" s="95">
      <c r="A1443" s="143" t="n">
        <v>45849</v>
      </c>
      <c r="B1443" s="177" t="n">
        <v>4.37</v>
      </c>
      <c r="C1443" s="177" t="n">
        <v>4.41</v>
      </c>
      <c r="D1443" s="177" t="n">
        <v>4.31</v>
      </c>
      <c r="E1443" s="177" t="n">
        <v>4.09</v>
      </c>
    </row>
    <row r="1444" ht="15" customHeight="1" s="95">
      <c r="A1444" s="143" t="n">
        <v>45852</v>
      </c>
      <c r="B1444" s="177" t="n">
        <v>4.37</v>
      </c>
      <c r="C1444" s="177" t="n">
        <v>4.42</v>
      </c>
      <c r="D1444" s="177" t="n">
        <v>4.31</v>
      </c>
      <c r="E1444" s="177" t="n">
        <v>4.08</v>
      </c>
    </row>
    <row r="1445" ht="15" customHeight="1" s="95">
      <c r="A1445" s="143" t="n">
        <v>45853</v>
      </c>
      <c r="B1445" s="177" t="n">
        <v>4.36</v>
      </c>
      <c r="C1445" s="177" t="n">
        <v>4.42</v>
      </c>
      <c r="D1445" s="177" t="n">
        <v>4.33</v>
      </c>
      <c r="E1445" s="177" t="n">
        <v>4.12</v>
      </c>
    </row>
    <row r="1446" ht="15" customHeight="1" s="95">
      <c r="A1446" s="143" t="n">
        <v>45854</v>
      </c>
      <c r="B1446" s="177" t="n">
        <v>4.36</v>
      </c>
      <c r="C1446" s="177" t="n">
        <v>4.41</v>
      </c>
      <c r="D1446" s="177" t="n">
        <v>4.31</v>
      </c>
      <c r="E1446" s="177" t="n">
        <v>4.08</v>
      </c>
    </row>
    <row r="1447" ht="15" customHeight="1" s="95">
      <c r="A1447" s="143" t="n">
        <v>45855</v>
      </c>
      <c r="B1447" s="177" t="n">
        <v>4.36</v>
      </c>
      <c r="C1447" s="177" t="n">
        <v>4.41</v>
      </c>
      <c r="D1447" s="177" t="n">
        <v>4.31</v>
      </c>
      <c r="E1447" s="177" t="n">
        <v>4.1</v>
      </c>
    </row>
    <row r="1448" ht="15" customHeight="1" s="95">
      <c r="A1448" s="143" t="n">
        <v>45856</v>
      </c>
      <c r="B1448" s="177" t="n">
        <v>4.35</v>
      </c>
      <c r="C1448" s="177" t="n">
        <v>4.4</v>
      </c>
      <c r="D1448" s="177" t="n">
        <v>4.3</v>
      </c>
      <c r="E1448" s="177" t="n">
        <v>4.08</v>
      </c>
    </row>
    <row r="1449" ht="15" customHeight="1" s="95">
      <c r="A1449" s="143" t="n">
        <v>45859</v>
      </c>
      <c r="B1449" s="177" t="n">
        <v>4.35</v>
      </c>
      <c r="C1449" s="177" t="n">
        <v>4.41</v>
      </c>
      <c r="D1449" s="177" t="n">
        <v>4.3</v>
      </c>
      <c r="E1449" s="177" t="n">
        <v>4.06</v>
      </c>
    </row>
    <row r="1450" ht="15" customHeight="1" s="95">
      <c r="A1450" s="143" t="n">
        <v>45860</v>
      </c>
      <c r="B1450" s="177" t="n">
        <v>4.37</v>
      </c>
      <c r="C1450" s="177" t="n">
        <v>4.41</v>
      </c>
      <c r="D1450" s="177" t="n">
        <v>4.3</v>
      </c>
      <c r="E1450" s="177" t="n">
        <v>4.05</v>
      </c>
    </row>
    <row r="1451" ht="15" customHeight="1" s="95">
      <c r="A1451" s="143" t="n">
        <v>45861</v>
      </c>
      <c r="B1451" s="177" t="n">
        <v>4.37</v>
      </c>
      <c r="C1451" s="177" t="n">
        <v>4.41</v>
      </c>
      <c r="D1451" s="177" t="n">
        <v>4.31</v>
      </c>
      <c r="E1451" s="177" t="n">
        <v>4.08</v>
      </c>
    </row>
    <row r="1452" ht="15" customHeight="1" s="95">
      <c r="A1452" s="143" t="n">
        <v>45862</v>
      </c>
      <c r="B1452" s="177" t="n">
        <v>4.37</v>
      </c>
      <c r="C1452" s="177" t="n">
        <v>4.42</v>
      </c>
      <c r="D1452" s="177" t="n">
        <v>4.32</v>
      </c>
      <c r="E1452" s="177" t="n">
        <v>4.1</v>
      </c>
    </row>
    <row r="1453" ht="15" customHeight="1" s="95">
      <c r="A1453" s="143" t="n">
        <v>45863</v>
      </c>
      <c r="B1453" s="177" t="n">
        <v>4.37</v>
      </c>
      <c r="C1453" s="177" t="n">
        <v>4.42</v>
      </c>
      <c r="D1453" s="177" t="n">
        <v>4.31</v>
      </c>
      <c r="E1453" s="177" t="n">
        <v>4.09</v>
      </c>
    </row>
    <row r="1454" ht="15" customHeight="1" s="95">
      <c r="A1454" s="143" t="n">
        <v>45866</v>
      </c>
      <c r="B1454" s="177" t="n">
        <v>4.4</v>
      </c>
      <c r="C1454" s="177" t="n">
        <v>4.4</v>
      </c>
      <c r="D1454" s="177" t="n">
        <v>4.3</v>
      </c>
      <c r="E1454" s="177" t="n">
        <v>4.09</v>
      </c>
    </row>
    <row r="1455" ht="15" customHeight="1" s="95">
      <c r="A1455" s="143" t="n">
        <v>45867</v>
      </c>
      <c r="B1455" s="177" t="n">
        <v>4.4</v>
      </c>
      <c r="C1455" s="177" t="n">
        <v>4.4</v>
      </c>
      <c r="D1455" s="177" t="n">
        <v>4.28</v>
      </c>
      <c r="E1455" s="177" t="n">
        <v>4.07</v>
      </c>
    </row>
    <row r="1456" ht="15" customHeight="1" s="95">
      <c r="A1456" s="143" t="n">
        <v>45868</v>
      </c>
      <c r="B1456" s="177" t="n">
        <v>4.41</v>
      </c>
      <c r="C1456" s="177" t="n">
        <v>4.41</v>
      </c>
      <c r="D1456" s="177" t="n">
        <v>4.31</v>
      </c>
      <c r="E1456" s="177" t="n">
        <v>4.12</v>
      </c>
    </row>
    <row r="1457" ht="15" customHeight="1" s="95">
      <c r="A1457" s="143" t="n">
        <v>45869</v>
      </c>
      <c r="B1457" s="177" t="n">
        <v>4.49</v>
      </c>
      <c r="C1457" s="177" t="n">
        <v>4.41</v>
      </c>
      <c r="D1457" s="177" t="n">
        <v>4.31</v>
      </c>
      <c r="E1457" s="177" t="n">
        <v>4.1</v>
      </c>
    </row>
    <row r="1458" ht="15" customHeight="1" s="95">
      <c r="A1458" s="143" t="n">
        <v>45870</v>
      </c>
      <c r="B1458" s="177" t="n">
        <v>4.49</v>
      </c>
      <c r="C1458" s="177" t="n">
        <v>4.35</v>
      </c>
      <c r="D1458" s="177" t="n">
        <v>4.16</v>
      </c>
      <c r="E1458" s="177" t="n">
        <v>3.87</v>
      </c>
    </row>
    <row r="1459" ht="15" customHeight="1" s="95">
      <c r="A1459" s="143" t="n">
        <v>45873</v>
      </c>
      <c r="B1459" s="177" t="n">
        <v>4.48</v>
      </c>
      <c r="C1459" s="177" t="n">
        <v>4.35</v>
      </c>
      <c r="D1459" s="177" t="n">
        <v>4.15</v>
      </c>
      <c r="E1459" s="177" t="n">
        <v>3.82</v>
      </c>
    </row>
    <row r="1460" ht="15" customHeight="1" s="95">
      <c r="A1460" s="143" t="n">
        <v>45874</v>
      </c>
      <c r="B1460" s="177" t="n">
        <v>4.49</v>
      </c>
      <c r="C1460" s="177" t="n">
        <v>4.34</v>
      </c>
      <c r="D1460" s="177" t="n">
        <v>4.16</v>
      </c>
      <c r="E1460" s="177" t="n">
        <v>3.92</v>
      </c>
    </row>
    <row r="1461" ht="15" customHeight="1" s="95">
      <c r="A1461" s="143" t="n">
        <v>45875</v>
      </c>
      <c r="B1461" s="177" t="n">
        <v>4.48</v>
      </c>
      <c r="C1461" s="177" t="n">
        <v>4.32</v>
      </c>
      <c r="D1461" s="177" t="n">
        <v>4.15</v>
      </c>
      <c r="E1461" s="177" t="n">
        <v>3.9</v>
      </c>
    </row>
    <row r="1462" ht="15" customHeight="1" s="95">
      <c r="A1462" s="143" t="n">
        <v>45876</v>
      </c>
      <c r="B1462" s="177" t="n">
        <v>4.49</v>
      </c>
      <c r="C1462" s="177" t="n">
        <v>4.32</v>
      </c>
      <c r="D1462" s="177" t="n">
        <v>4.15</v>
      </c>
      <c r="E1462" s="177" t="n">
        <v>3.92</v>
      </c>
    </row>
    <row r="1463" ht="15" customHeight="1" s="95">
      <c r="A1463" s="143" t="n">
        <v>45877</v>
      </c>
      <c r="B1463" s="177" t="n">
        <v>4.48</v>
      </c>
      <c r="C1463" s="177" t="n">
        <v>4.32</v>
      </c>
      <c r="D1463" s="177" t="n">
        <v>4.15</v>
      </c>
      <c r="E1463" s="177" t="n">
        <v>3.93</v>
      </c>
    </row>
    <row r="1464" ht="15" customHeight="1" s="95">
      <c r="A1464" s="143" t="n">
        <v>45880</v>
      </c>
      <c r="B1464" s="177" t="n">
        <v>4.46</v>
      </c>
      <c r="C1464" s="177" t="n">
        <v>4.34</v>
      </c>
      <c r="D1464" s="177" t="n">
        <v>4.15</v>
      </c>
      <c r="E1464" s="177" t="n">
        <v>3.93</v>
      </c>
    </row>
    <row r="1465" ht="15" customHeight="1" s="95">
      <c r="A1465" s="143" t="n">
        <v>45881</v>
      </c>
      <c r="B1465" s="177" t="n">
        <v>4.44</v>
      </c>
      <c r="C1465" s="177" t="n">
        <v>4.33</v>
      </c>
      <c r="D1465" s="177" t="n">
        <v>4.12</v>
      </c>
      <c r="E1465" s="177" t="n">
        <v>3.9</v>
      </c>
    </row>
    <row r="1466" ht="15" customHeight="1" s="95">
      <c r="A1466" s="143" t="n">
        <v>45882</v>
      </c>
      <c r="B1466" s="177" t="n">
        <v>4.44</v>
      </c>
      <c r="C1466" s="177" t="n">
        <v>4.29</v>
      </c>
      <c r="D1466" s="177" t="n">
        <v>4.09</v>
      </c>
      <c r="E1466" s="177" t="n">
        <v>3.86</v>
      </c>
    </row>
    <row r="1467" ht="15" customHeight="1" s="95">
      <c r="A1467" s="143" t="n">
        <v>45883</v>
      </c>
      <c r="B1467" s="177" t="n">
        <v>4.48</v>
      </c>
      <c r="C1467" s="177" t="n">
        <v>4.3</v>
      </c>
      <c r="D1467" s="177" t="n">
        <v>4.12</v>
      </c>
      <c r="E1467" s="177" t="n">
        <v>3.91</v>
      </c>
    </row>
    <row r="1468" ht="15" customHeight="1" s="95">
      <c r="A1468" s="143" t="n">
        <v>45884</v>
      </c>
      <c r="B1468" s="177" t="n">
        <v>4.48</v>
      </c>
      <c r="C1468" s="177" t="n">
        <v>4.3</v>
      </c>
      <c r="D1468" s="177" t="n">
        <v>4.12</v>
      </c>
      <c r="E1468" s="177" t="n">
        <v>3.93</v>
      </c>
    </row>
    <row r="1469" ht="15" customHeight="1" s="95">
      <c r="A1469" s="143" t="n">
        <v>45887</v>
      </c>
      <c r="B1469" s="177" t="n">
        <v>4.47</v>
      </c>
      <c r="C1469" s="177" t="n">
        <v>4.33</v>
      </c>
      <c r="D1469" s="177" t="n">
        <v>4.13</v>
      </c>
      <c r="E1469" s="177" t="n">
        <v>3.93</v>
      </c>
    </row>
    <row r="1470" ht="15" customHeight="1" s="95">
      <c r="A1470" s="143" t="n">
        <v>45888</v>
      </c>
      <c r="B1470" s="177" t="n">
        <v>4.46</v>
      </c>
      <c r="C1470" s="177" t="n">
        <v>4.3</v>
      </c>
      <c r="D1470" s="177" t="n">
        <v>4.11</v>
      </c>
      <c r="E1470" s="177" t="n">
        <v>3.91</v>
      </c>
    </row>
    <row r="1471" ht="15" customHeight="1" s="95">
      <c r="A1471" s="143" t="n">
        <v>45889</v>
      </c>
      <c r="B1471" s="177" t="n">
        <v>4.45</v>
      </c>
      <c r="C1471" s="177" t="n">
        <v>4.3</v>
      </c>
      <c r="D1471" s="177" t="n">
        <v>4.11</v>
      </c>
      <c r="E1471" s="177" t="n">
        <v>3.9</v>
      </c>
    </row>
    <row r="1472" ht="15" customHeight="1" s="95">
      <c r="A1472" s="143" t="n">
        <v>45890</v>
      </c>
      <c r="B1472" s="177" t="n">
        <v>4.49</v>
      </c>
      <c r="C1472" s="177" t="n">
        <v>4.32</v>
      </c>
      <c r="D1472" s="177" t="n">
        <v>4.14</v>
      </c>
      <c r="E1472" s="177" t="n">
        <v>3.95</v>
      </c>
    </row>
    <row r="1473" ht="15" customHeight="1" s="95">
      <c r="A1473" s="143" t="n">
        <v>45891</v>
      </c>
      <c r="B1473" s="177" t="n">
        <v>4.47</v>
      </c>
      <c r="C1473" s="177" t="n">
        <v>4.27</v>
      </c>
      <c r="D1473" s="177" t="n">
        <v>4.08</v>
      </c>
      <c r="E1473" s="177" t="n">
        <v>3.87</v>
      </c>
    </row>
    <row r="1474" ht="15" customHeight="1" s="95">
      <c r="A1474" s="143" t="n">
        <v>45894</v>
      </c>
      <c r="B1474" s="177" t="n">
        <v>4.45</v>
      </c>
      <c r="C1474" s="177" t="n">
        <v>4.29</v>
      </c>
      <c r="D1474" s="177" t="n">
        <v>4.08</v>
      </c>
      <c r="E1474" s="177" t="n">
        <v>3.88</v>
      </c>
    </row>
    <row r="1475" ht="15" customHeight="1" s="95">
      <c r="A1475" s="143" t="n">
        <v>45895</v>
      </c>
      <c r="B1475" s="177" t="n">
        <v>4.42</v>
      </c>
      <c r="C1475" s="177" t="n">
        <v>4.28</v>
      </c>
      <c r="D1475" s="177" t="n">
        <v>4.06</v>
      </c>
      <c r="E1475" s="177" t="n">
        <v>3.85</v>
      </c>
    </row>
    <row r="1476" ht="15" customHeight="1" s="95">
      <c r="A1476" s="143" t="n">
        <v>45896</v>
      </c>
      <c r="B1476" s="177" t="n">
        <v>4.42</v>
      </c>
      <c r="C1476" s="177" t="n">
        <v>4.26</v>
      </c>
      <c r="D1476" s="177" t="n">
        <v>4.04</v>
      </c>
      <c r="E1476" s="177" t="n">
        <v>3.83</v>
      </c>
    </row>
    <row r="1477" ht="15" customHeight="1" s="95">
      <c r="A1477" s="143" t="n">
        <v>45897</v>
      </c>
      <c r="B1477" s="177" t="n">
        <v>4.42</v>
      </c>
      <c r="C1477" s="177" t="n">
        <v>4.26</v>
      </c>
      <c r="D1477" s="177" t="n">
        <v>4.04</v>
      </c>
      <c r="E1477" s="177" t="n">
        <v>3.85</v>
      </c>
    </row>
    <row r="1478" ht="15" customHeight="1" s="95">
      <c r="A1478" s="143" t="n">
        <v>45898</v>
      </c>
      <c r="B1478" s="177" t="n">
        <v>4.41</v>
      </c>
      <c r="C1478" s="177" t="n">
        <v>4.23</v>
      </c>
      <c r="D1478" s="177" t="n">
        <v>4.01</v>
      </c>
      <c r="E1478" s="177" t="n">
        <v>3.83</v>
      </c>
    </row>
    <row r="1479" ht="15" customHeight="1" s="95">
      <c r="A1479" s="143" t="n">
        <v>45901</v>
      </c>
    </row>
    <row r="1480" ht="15" customHeight="1" s="95">
      <c r="A1480" s="143" t="n">
        <v>45902</v>
      </c>
      <c r="B1480" s="177" t="n">
        <v>4.4</v>
      </c>
      <c r="C1480" s="177" t="n">
        <v>4.2</v>
      </c>
      <c r="D1480" s="177" t="n">
        <v>3.99</v>
      </c>
      <c r="E1480" s="177" t="n">
        <v>3.82</v>
      </c>
    </row>
    <row r="1481" ht="15" customHeight="1" s="95">
      <c r="A1481" s="143" t="n">
        <v>45903</v>
      </c>
      <c r="B1481" s="177" t="n">
        <v>4.35</v>
      </c>
      <c r="C1481" s="177" t="n">
        <v>4.18</v>
      </c>
      <c r="D1481" s="177" t="n">
        <v>3.96</v>
      </c>
      <c r="E1481" s="177" t="n">
        <v>3.77</v>
      </c>
    </row>
    <row r="1482" ht="15" customHeight="1" s="95">
      <c r="A1482" s="143" t="n">
        <v>45904</v>
      </c>
      <c r="B1482" s="177" t="n">
        <v>4.33</v>
      </c>
      <c r="C1482" s="177" t="n">
        <v>4.16</v>
      </c>
      <c r="D1482" s="177" t="n">
        <v>3.94</v>
      </c>
      <c r="E1482" s="177" t="n">
        <v>3.76</v>
      </c>
    </row>
    <row r="1483" ht="15" customHeight="1" s="95">
      <c r="A1483" s="143" t="n">
        <v>45905</v>
      </c>
      <c r="B1483" s="177" t="n">
        <v>4.29</v>
      </c>
      <c r="C1483" s="177" t="n">
        <v>4.07</v>
      </c>
      <c r="D1483" s="177" t="n">
        <v>3.85</v>
      </c>
      <c r="E1483" s="177" t="n">
        <v>3.65</v>
      </c>
    </row>
    <row r="1484" ht="15" customHeight="1" s="95">
      <c r="A1484" s="143" t="n">
        <v>45908</v>
      </c>
      <c r="B1484" s="177" t="n">
        <v>4.26</v>
      </c>
      <c r="C1484" s="177" t="n">
        <v>4.1</v>
      </c>
      <c r="D1484" s="177" t="n">
        <v>3.84</v>
      </c>
      <c r="E1484" s="177" t="n">
        <v>3.64</v>
      </c>
    </row>
    <row r="1485" ht="15" customHeight="1" s="95">
      <c r="A1485" s="143" t="n">
        <v>45909</v>
      </c>
      <c r="B1485" s="177" t="n">
        <v>4.25</v>
      </c>
      <c r="C1485" s="177" t="n">
        <v>4.1</v>
      </c>
      <c r="D1485" s="177" t="n">
        <v>3.85</v>
      </c>
      <c r="E1485" s="177" t="n">
        <v>3.68</v>
      </c>
    </row>
    <row r="1486" ht="15" customHeight="1" s="95">
      <c r="A1486" s="143" t="n">
        <v>45910</v>
      </c>
      <c r="B1486" s="177" t="n">
        <v>4.23</v>
      </c>
      <c r="C1486" s="177" t="n">
        <v>4.09</v>
      </c>
      <c r="D1486" s="177" t="n">
        <v>3.83</v>
      </c>
      <c r="E1486" s="177" t="n">
        <v>3.66</v>
      </c>
    </row>
    <row r="1487" ht="15" customHeight="1" s="95">
      <c r="A1487" s="143" t="n">
        <v>45911</v>
      </c>
      <c r="B1487" s="177" t="n">
        <v>4.22</v>
      </c>
      <c r="C1487" s="177" t="n">
        <v>4.08</v>
      </c>
      <c r="D1487" s="177" t="n">
        <v>3.82</v>
      </c>
      <c r="E1487" s="177" t="n">
        <v>3.63</v>
      </c>
    </row>
    <row r="1488" ht="15" customHeight="1" s="95">
      <c r="A1488" s="143" t="n">
        <v>45912</v>
      </c>
      <c r="B1488" s="177" t="n">
        <v>4.24</v>
      </c>
      <c r="C1488" s="177" t="n">
        <v>4.08</v>
      </c>
      <c r="D1488" s="177" t="n">
        <v>3.83</v>
      </c>
      <c r="E1488" s="177" t="n">
        <v>3.66</v>
      </c>
    </row>
    <row r="1489" ht="15" customHeight="1" s="95">
      <c r="A1489" s="143" t="n">
        <v>45915</v>
      </c>
      <c r="B1489" s="177" t="n">
        <v>4.22</v>
      </c>
      <c r="C1489" s="177" t="n">
        <v>4.06</v>
      </c>
      <c r="D1489" s="177" t="n">
        <v>3.81</v>
      </c>
      <c r="E1489" s="177" t="n">
        <v>3.64</v>
      </c>
    </row>
    <row r="1490" ht="15" customHeight="1" s="95">
      <c r="A1490" s="143" t="n">
        <v>45916</v>
      </c>
      <c r="B1490" s="177" t="n">
        <v>4.2</v>
      </c>
      <c r="C1490" s="177" t="n">
        <v>4.04</v>
      </c>
      <c r="D1490" s="177" t="n">
        <v>3.81</v>
      </c>
      <c r="E1490" s="177" t="n">
        <v>3.62</v>
      </c>
    </row>
    <row r="1491" ht="15" customHeight="1" s="95">
      <c r="A1491" s="143" t="n">
        <v>45917</v>
      </c>
      <c r="B1491" s="177" t="n">
        <v>4.17</v>
      </c>
      <c r="C1491" s="177" t="n">
        <v>4.02</v>
      </c>
      <c r="D1491" s="177" t="n">
        <v>3.8</v>
      </c>
      <c r="E1491" s="177" t="n">
        <v>3.6</v>
      </c>
    </row>
    <row r="1492" ht="15" customHeight="1" s="95">
      <c r="A1492" s="143" t="n">
        <v>45918</v>
      </c>
      <c r="B1492" s="177" t="n">
        <v>4.2</v>
      </c>
      <c r="C1492" s="177" t="n">
        <v>4.03</v>
      </c>
      <c r="D1492" s="177" t="n">
        <v>3.81</v>
      </c>
      <c r="E1492" s="177" t="n">
        <v>3.61</v>
      </c>
    </row>
    <row r="1493" ht="15" customHeight="1" s="95">
      <c r="A1493" s="143" t="n">
        <v>45919</v>
      </c>
      <c r="B1493" s="177" t="n">
        <v>4.19</v>
      </c>
      <c r="C1493" s="177" t="n">
        <v>4.03</v>
      </c>
      <c r="D1493" s="177" t="n">
        <v>3.81</v>
      </c>
      <c r="E1493" s="177" t="n">
        <v>3.6</v>
      </c>
    </row>
    <row r="1494" ht="15" customHeight="1" s="95">
      <c r="A1494" s="143" t="n">
        <v>45922</v>
      </c>
      <c r="B1494" s="177" t="n">
        <v>4.17</v>
      </c>
      <c r="C1494" s="177" t="n">
        <v>4</v>
      </c>
      <c r="D1494" s="177" t="n">
        <v>3.81</v>
      </c>
      <c r="E1494" s="177" t="n">
        <v>3.61</v>
      </c>
    </row>
    <row r="1495" ht="15" customHeight="1" s="95">
      <c r="A1495" s="143" t="n">
        <v>45923</v>
      </c>
      <c r="B1495" s="177" t="n">
        <v>4.16</v>
      </c>
      <c r="C1495" s="177" t="n">
        <v>4</v>
      </c>
      <c r="D1495" s="177" t="n">
        <v>3.81</v>
      </c>
      <c r="E1495" s="177" t="n">
        <v>3.61</v>
      </c>
    </row>
    <row r="1496" ht="15" customHeight="1" s="95">
      <c r="A1496" s="143" t="n">
        <v>45924</v>
      </c>
      <c r="B1496" s="177" t="n">
        <v>4.18</v>
      </c>
      <c r="C1496" s="177" t="n">
        <v>4.02</v>
      </c>
      <c r="D1496" s="177" t="n">
        <v>3.82</v>
      </c>
      <c r="E1496" s="177" t="n">
        <v>3.63</v>
      </c>
    </row>
    <row r="1497" ht="15" customHeight="1" s="95">
      <c r="A1497" s="143" t="n">
        <v>45925</v>
      </c>
      <c r="B1497" s="177" t="n">
        <v>4.24</v>
      </c>
      <c r="C1497" s="177" t="n">
        <v>4.04</v>
      </c>
      <c r="D1497" s="177" t="n">
        <v>3.85</v>
      </c>
      <c r="E1497" s="177" t="n">
        <v>3.68</v>
      </c>
    </row>
    <row r="1498" ht="15" customHeight="1" s="95">
      <c r="A1498" s="143" t="n">
        <v>45926</v>
      </c>
      <c r="B1498" s="177" t="n">
        <v>4.22</v>
      </c>
      <c r="C1498" s="177" t="n">
        <v>4.02</v>
      </c>
      <c r="D1498" s="177" t="n">
        <v>3.83</v>
      </c>
      <c r="E1498" s="177" t="n">
        <v>3.67</v>
      </c>
    </row>
    <row r="1499" ht="15" customHeight="1" s="95">
      <c r="A1499" s="143" t="n">
        <v>45929</v>
      </c>
      <c r="B1499" s="177" t="n">
        <v>4.22</v>
      </c>
      <c r="C1499" s="177" t="n">
        <v>4.04</v>
      </c>
      <c r="D1499" s="177" t="n">
        <v>3.84</v>
      </c>
      <c r="E1499" s="177" t="n">
        <v>3.65</v>
      </c>
    </row>
    <row r="1500" ht="15" customHeight="1" s="95">
      <c r="A1500" s="143" t="n">
        <v>45930</v>
      </c>
      <c r="B1500" s="177" t="n">
        <v>4.2</v>
      </c>
      <c r="C1500" s="177" t="n">
        <v>4.02</v>
      </c>
      <c r="D1500" s="177" t="n">
        <v>3.83</v>
      </c>
      <c r="E1500" s="177" t="n">
        <v>3.68</v>
      </c>
    </row>
    <row r="1501" ht="15" customHeight="1" s="95">
      <c r="A1501" s="143" t="n">
        <v>45931</v>
      </c>
      <c r="B1501" s="177" t="n">
        <v>4.17</v>
      </c>
      <c r="C1501" s="177" t="n">
        <v>4.01</v>
      </c>
      <c r="D1501" s="177" t="n">
        <v>3.8</v>
      </c>
      <c r="E1501" s="177" t="n">
        <v>3.62</v>
      </c>
    </row>
    <row r="1502" ht="15" customHeight="1" s="95">
      <c r="A1502" s="143" t="n">
        <v>45932</v>
      </c>
      <c r="B1502" s="177" t="n">
        <v>4.23</v>
      </c>
      <c r="C1502" s="177" t="n">
        <v>4.02</v>
      </c>
      <c r="D1502" s="177" t="n">
        <v>3.81</v>
      </c>
      <c r="E1502" s="177" t="n">
        <v>3.62</v>
      </c>
    </row>
    <row r="1503" ht="15" customHeight="1" s="95">
      <c r="A1503" s="143" t="n">
        <v>45933</v>
      </c>
      <c r="B1503" s="177" t="n">
        <v>4.24</v>
      </c>
      <c r="C1503" s="177" t="n">
        <v>4.03</v>
      </c>
      <c r="D1503" s="177" t="n">
        <v>3.82</v>
      </c>
      <c r="E1503" s="177" t="n">
        <v>3.64</v>
      </c>
    </row>
    <row r="1504" ht="15" customHeight="1" s="95">
      <c r="A1504" s="143" t="n">
        <v>45936</v>
      </c>
      <c r="B1504" s="177" t="n">
        <v>4.22</v>
      </c>
      <c r="C1504" s="177" t="n">
        <v>4.02</v>
      </c>
      <c r="D1504" s="177" t="n">
        <v>3.81</v>
      </c>
      <c r="E1504" s="177" t="n">
        <v>3.66</v>
      </c>
    </row>
    <row r="1505" ht="15" customHeight="1" s="95">
      <c r="A1505" s="143" t="n">
        <v>45937</v>
      </c>
      <c r="B1505" s="177" t="n">
        <v>4.2</v>
      </c>
      <c r="C1505" s="177" t="n">
        <v>4.01</v>
      </c>
      <c r="D1505" s="177" t="n">
        <v>3.81</v>
      </c>
      <c r="E1505" s="177" t="n">
        <v>3.65</v>
      </c>
    </row>
    <row r="1506" ht="15" customHeight="1" s="95">
      <c r="A1506" s="143" t="n">
        <v>45938</v>
      </c>
      <c r="B1506" s="177" t="n">
        <v>4.2</v>
      </c>
      <c r="C1506" s="177" t="n">
        <v>4.01</v>
      </c>
      <c r="D1506" s="177" t="n">
        <v>3.82</v>
      </c>
      <c r="E1506" s="177" t="n">
        <v>3.66</v>
      </c>
    </row>
    <row r="1507" ht="15" customHeight="1" s="95">
      <c r="A1507" s="143" t="n">
        <v>45939</v>
      </c>
      <c r="B1507" s="177" t="n">
        <v>4.2</v>
      </c>
      <c r="C1507" s="177" t="n">
        <v>4.03</v>
      </c>
      <c r="D1507" s="177" t="n">
        <v>3.83</v>
      </c>
      <c r="E1507" s="177" t="n">
        <v>3.66</v>
      </c>
    </row>
    <row r="1508" ht="15" customHeight="1" s="95">
      <c r="A1508" s="143" t="n">
        <v>45940</v>
      </c>
      <c r="B1508" s="177" t="n">
        <v>4.19</v>
      </c>
      <c r="C1508" s="177" t="n">
        <v>4.02</v>
      </c>
      <c r="D1508" s="177" t="n">
        <v>3.81</v>
      </c>
      <c r="E1508" s="177" t="n">
        <v>3.6</v>
      </c>
    </row>
    <row r="1509" ht="15" customHeight="1" s="95">
      <c r="A1509" s="143" t="n">
        <v>45943</v>
      </c>
    </row>
    <row r="1510" ht="15" customHeight="1" s="95">
      <c r="A1510" s="143" t="n">
        <v>45944</v>
      </c>
      <c r="B1510" s="177" t="n">
        <v>4.19</v>
      </c>
      <c r="C1510" s="177" t="n">
        <v>4.02</v>
      </c>
      <c r="D1510" s="177" t="n">
        <v>3.8</v>
      </c>
      <c r="E1510" s="177" t="n">
        <v>3.58</v>
      </c>
    </row>
    <row r="1511" ht="15" customHeight="1" s="95">
      <c r="A1511" s="143" t="n">
        <v>45945</v>
      </c>
      <c r="B1511" s="177" t="n">
        <v>4.2</v>
      </c>
      <c r="C1511" s="177" t="n">
        <v>4.03</v>
      </c>
      <c r="D1511" s="177" t="n">
        <v>3.82</v>
      </c>
      <c r="E1511" s="177" t="n">
        <v>3.61</v>
      </c>
    </row>
    <row r="1512" ht="15" customHeight="1" s="95">
      <c r="A1512" s="143" t="n">
        <v>45946</v>
      </c>
      <c r="B1512" s="177" t="n">
        <v>4.2</v>
      </c>
      <c r="C1512" s="177" t="n">
        <v>4.02</v>
      </c>
      <c r="D1512" s="177" t="n">
        <v>3.79</v>
      </c>
      <c r="E1512" s="177" t="n">
        <v>3.54</v>
      </c>
    </row>
    <row r="1513" ht="15" customHeight="1" s="95">
      <c r="A1513" s="143" t="n">
        <v>45947</v>
      </c>
      <c r="B1513" s="177" t="n">
        <v>4.18</v>
      </c>
      <c r="C1513" s="177" t="n">
        <v>4</v>
      </c>
      <c r="D1513" s="177" t="n">
        <v>3.79</v>
      </c>
      <c r="E1513" s="177" t="n">
        <v>3.56</v>
      </c>
    </row>
    <row r="1514" ht="15" customHeight="1" s="95">
      <c r="A1514" s="143" t="n">
        <v>45950</v>
      </c>
      <c r="B1514" s="177" t="n">
        <v>4.15</v>
      </c>
      <c r="C1514" s="177" t="n">
        <v>3.97</v>
      </c>
      <c r="D1514" s="177" t="n">
        <v>3.78</v>
      </c>
      <c r="E1514" s="177" t="n">
        <v>3.55</v>
      </c>
    </row>
    <row r="1515" ht="15" customHeight="1" s="95">
      <c r="A1515" s="143" t="n">
        <v>45951</v>
      </c>
      <c r="B1515" s="177" t="n">
        <v>4.12</v>
      </c>
      <c r="C1515" s="177" t="n">
        <v>3.96</v>
      </c>
      <c r="D1515" s="177" t="n">
        <v>3.78</v>
      </c>
      <c r="E1515" s="177" t="n">
        <v>3.56</v>
      </c>
    </row>
    <row r="1516" ht="15" customHeight="1" s="95">
      <c r="A1516" s="143" t="n">
        <v>45952</v>
      </c>
      <c r="B1516" s="177" t="n">
        <v>4.11</v>
      </c>
      <c r="C1516" s="177" t="n">
        <v>3.96</v>
      </c>
      <c r="D1516" s="177" t="n">
        <v>3.78</v>
      </c>
      <c r="E1516" s="177" t="n">
        <v>3.55</v>
      </c>
    </row>
    <row r="1517" ht="15" customHeight="1" s="95">
      <c r="A1517" s="143" t="n">
        <v>45953</v>
      </c>
      <c r="B1517" s="177" t="n">
        <v>4.12</v>
      </c>
      <c r="C1517" s="177" t="n">
        <v>3.95</v>
      </c>
      <c r="D1517" s="177" t="n">
        <v>3.78</v>
      </c>
      <c r="E1517" s="177" t="n">
        <v>3.59</v>
      </c>
    </row>
    <row r="1518" ht="15" customHeight="1" s="95">
      <c r="A1518" s="143" t="n">
        <v>45954</v>
      </c>
      <c r="B1518" s="177" t="n">
        <v>4.11</v>
      </c>
      <c r="C1518" s="177" t="n">
        <v>3.93</v>
      </c>
      <c r="D1518" s="177" t="n">
        <v>3.76</v>
      </c>
      <c r="E1518" s="177" t="n">
        <v>3.58</v>
      </c>
    </row>
    <row r="1519" ht="15" customHeight="1" s="95">
      <c r="A1519" s="143" t="n">
        <v>45957</v>
      </c>
      <c r="B1519" s="177" t="n">
        <v>4.09</v>
      </c>
      <c r="C1519" s="177" t="n">
        <v>3.89</v>
      </c>
      <c r="D1519" s="177" t="n">
        <v>3.73</v>
      </c>
      <c r="E1519" s="177" t="n">
        <v>3.59</v>
      </c>
    </row>
    <row r="1520" ht="15" customHeight="1" s="95">
      <c r="A1520" s="143" t="n">
        <v>45958</v>
      </c>
      <c r="B1520" s="177" t="n">
        <v>4.07</v>
      </c>
      <c r="C1520" s="177" t="n">
        <v>3.89</v>
      </c>
      <c r="D1520" s="177" t="n">
        <v>3.72</v>
      </c>
      <c r="E1520" s="177" t="n">
        <v>3.59</v>
      </c>
    </row>
    <row r="1521" ht="15" customHeight="1" s="95">
      <c r="A1521" s="143" t="n">
        <v>45959</v>
      </c>
      <c r="B1521" s="177" t="n">
        <v>4.03</v>
      </c>
      <c r="C1521" s="177" t="n">
        <v>3.93</v>
      </c>
      <c r="D1521" s="177" t="n">
        <v>3.79</v>
      </c>
      <c r="E1521" s="177" t="n">
        <v>3.7</v>
      </c>
    </row>
    <row r="1522" ht="15" customHeight="1" s="95">
      <c r="A1522" s="143" t="n">
        <v>45960</v>
      </c>
      <c r="B1522" s="177" t="n">
        <v>4.05</v>
      </c>
      <c r="C1522" s="177" t="n">
        <v>3.92</v>
      </c>
      <c r="D1522" s="177" t="n">
        <v>3.79</v>
      </c>
      <c r="E1522" s="177" t="n">
        <v>3.7</v>
      </c>
    </row>
    <row r="1523" ht="15" customHeight="1" s="95">
      <c r="A1523" s="143" t="n">
        <v>45961</v>
      </c>
      <c r="B1523" s="177" t="n">
        <v>4.06</v>
      </c>
      <c r="C1523" s="177" t="n">
        <v>3.89</v>
      </c>
      <c r="D1523" s="177" t="n">
        <v>3.79</v>
      </c>
      <c r="E1523" s="177" t="n">
        <v>3.7</v>
      </c>
    </row>
    <row r="1524" ht="15" customHeight="1" s="95">
      <c r="A1524" s="143" t="n">
        <v>45964</v>
      </c>
      <c r="B1524" s="177" t="n">
        <v>4.06</v>
      </c>
      <c r="C1524" s="177" t="n">
        <v>3.98</v>
      </c>
      <c r="D1524" s="177" t="n">
        <v>3.8</v>
      </c>
      <c r="E1524" s="177" t="n">
        <v>3.7</v>
      </c>
    </row>
    <row r="1525" ht="15" customHeight="1" s="95">
      <c r="A1525" s="143" t="n">
        <v>45965</v>
      </c>
      <c r="B1525" s="177" t="n">
        <v>4.02</v>
      </c>
      <c r="C1525" s="177" t="n">
        <v>3.96</v>
      </c>
      <c r="D1525" s="177" t="n">
        <v>3.78</v>
      </c>
      <c r="E1525" s="177" t="n">
        <v>3.67</v>
      </c>
    </row>
    <row r="1526" ht="15" customHeight="1" s="95">
      <c r="A1526" s="143" t="n">
        <v>45966</v>
      </c>
      <c r="B1526" s="177" t="n">
        <v>4</v>
      </c>
      <c r="C1526" s="177" t="n">
        <v>3.96</v>
      </c>
      <c r="D1526" s="177" t="n">
        <v>3.79</v>
      </c>
      <c r="E1526" s="177" t="n">
        <v>3.71</v>
      </c>
    </row>
    <row r="1527" ht="15" customHeight="1" s="95">
      <c r="A1527" s="143" t="n">
        <v>45967</v>
      </c>
      <c r="B1527" s="177" t="n">
        <v>4.02</v>
      </c>
      <c r="C1527" s="177" t="n">
        <v>3.93</v>
      </c>
      <c r="D1527" s="177" t="n">
        <v>3.76</v>
      </c>
      <c r="E1527" s="177" t="n">
        <v>3.65</v>
      </c>
    </row>
    <row r="1528" ht="15" customHeight="1" s="95">
      <c r="A1528" s="143" t="n">
        <v>45968</v>
      </c>
      <c r="B1528" s="177" t="n">
        <v>4.01</v>
      </c>
      <c r="C1528" s="177" t="n">
        <v>3.92</v>
      </c>
      <c r="D1528" s="177" t="n">
        <v>3.76</v>
      </c>
      <c r="E1528" s="177" t="n">
        <v>3.63</v>
      </c>
    </row>
    <row r="1529" ht="15" customHeight="1" s="95">
      <c r="A1529" s="143" t="n">
        <v>45971</v>
      </c>
      <c r="B1529" s="177" t="n">
        <v>4.04</v>
      </c>
      <c r="C1529" s="177" t="n">
        <v>3.95</v>
      </c>
      <c r="D1529" s="177" t="n">
        <v>3.79</v>
      </c>
      <c r="E1529" s="177" t="n">
        <v>3.66</v>
      </c>
    </row>
    <row r="1530" ht="15" customHeight="1" s="95">
      <c r="A1530" s="143" t="n">
        <v>45972</v>
      </c>
    </row>
    <row r="1531" ht="15" customHeight="1" s="95">
      <c r="A1531" s="143" t="n">
        <v>45973</v>
      </c>
      <c r="B1531" s="177" t="n">
        <v>4.03</v>
      </c>
      <c r="C1531" s="177" t="n">
        <v>3.95</v>
      </c>
      <c r="D1531" s="177" t="n">
        <v>3.78</v>
      </c>
      <c r="E1531" s="177" t="n">
        <v>3.65</v>
      </c>
    </row>
    <row r="1532" ht="15" customHeight="1" s="95">
      <c r="A1532" s="143" t="n">
        <v>45974</v>
      </c>
      <c r="B1532" s="177" t="n">
        <v>4.05</v>
      </c>
      <c r="C1532" s="177" t="n">
        <v>3.96</v>
      </c>
      <c r="D1532" s="177" t="n">
        <v>3.8</v>
      </c>
      <c r="E1532" s="177" t="n">
        <v>3.68</v>
      </c>
    </row>
    <row r="1533" ht="15" customHeight="1" s="95">
      <c r="A1533" s="143" t="n">
        <v>45975</v>
      </c>
      <c r="B1533" s="177" t="n">
        <v>4.04</v>
      </c>
      <c r="C1533" s="177" t="n">
        <v>3.95</v>
      </c>
      <c r="D1533" s="177" t="n">
        <v>3.8</v>
      </c>
      <c r="E1533" s="177" t="n">
        <v>3.7</v>
      </c>
    </row>
    <row r="1534" ht="15" customHeight="1" s="95">
      <c r="A1534" s="143" t="n">
        <v>45978</v>
      </c>
      <c r="B1534" s="177" t="n">
        <v>4.04</v>
      </c>
      <c r="C1534" s="177" t="n">
        <v>3.97</v>
      </c>
      <c r="D1534" s="177" t="n">
        <v>3.81</v>
      </c>
      <c r="E1534" s="177" t="n">
        <v>3.69</v>
      </c>
    </row>
    <row r="1535" ht="15" customHeight="1" s="95">
      <c r="A1535" s="143" t="n">
        <v>45979</v>
      </c>
      <c r="B1535" s="177" t="n">
        <v>4.02</v>
      </c>
      <c r="C1535" s="177" t="n">
        <v>3.94</v>
      </c>
      <c r="D1535" s="177" t="n">
        <v>3.79</v>
      </c>
      <c r="E1535" s="177" t="n">
        <v>3.67</v>
      </c>
    </row>
    <row r="1536" ht="15" customHeight="1" s="95">
      <c r="A1536" s="143" t="n">
        <v>45980</v>
      </c>
      <c r="B1536" s="177" t="n">
        <v>4.01</v>
      </c>
      <c r="C1536" s="177" t="n">
        <v>3.95</v>
      </c>
      <c r="D1536" s="177" t="n">
        <v>3.8</v>
      </c>
      <c r="E1536" s="177" t="n">
        <v>3.68</v>
      </c>
    </row>
    <row r="1537" ht="15" customHeight="1" s="95">
      <c r="A1537" s="143" t="n">
        <v>45981</v>
      </c>
      <c r="B1537" s="177" t="n">
        <v>4.04</v>
      </c>
      <c r="C1537" s="177" t="n">
        <v>3.94</v>
      </c>
      <c r="D1537" s="177" t="n">
        <v>3.79</v>
      </c>
      <c r="E1537" s="177" t="n">
        <v>3.65</v>
      </c>
    </row>
    <row r="1538" ht="15" customHeight="1" s="95">
      <c r="A1538" s="143" t="n">
        <v>45982</v>
      </c>
      <c r="B1538" s="177" t="n">
        <v>4.03</v>
      </c>
      <c r="C1538" s="177" t="n">
        <v>3.9</v>
      </c>
      <c r="D1538" s="177" t="n">
        <v>3.75</v>
      </c>
      <c r="E1538" s="177" t="n">
        <v>3.62</v>
      </c>
    </row>
    <row r="1539" ht="15" customHeight="1" s="95">
      <c r="A1539" s="143" t="n">
        <v>45985</v>
      </c>
      <c r="B1539" s="177" t="n">
        <v>4.03</v>
      </c>
      <c r="C1539" s="177" t="n">
        <v>3.91</v>
      </c>
      <c r="D1539" s="177" t="n">
        <v>3.76</v>
      </c>
      <c r="E1539" s="177" t="n">
        <v>3.61</v>
      </c>
    </row>
    <row r="1540" ht="15" customHeight="1" s="95">
      <c r="A1540" s="143" t="n">
        <v>45986</v>
      </c>
      <c r="B1540" s="177" t="n">
        <v>4.04</v>
      </c>
      <c r="C1540" s="177" t="n">
        <v>3.9</v>
      </c>
      <c r="D1540" s="177" t="n">
        <v>3.75</v>
      </c>
      <c r="E1540" s="177" t="n">
        <v>3.6</v>
      </c>
    </row>
    <row r="1541" ht="15" customHeight="1" s="95">
      <c r="A1541" s="143" t="n">
        <v>45987</v>
      </c>
      <c r="B1541" s="177" t="n">
        <v>4.06</v>
      </c>
      <c r="C1541" s="177" t="n">
        <v>3.92</v>
      </c>
      <c r="D1541" s="177" t="n">
        <v>3.76</v>
      </c>
      <c r="E1541" s="177" t="n">
        <v>3.61</v>
      </c>
    </row>
    <row r="1542" ht="15" customHeight="1" s="95">
      <c r="A1542" s="143" t="n">
        <v>45988</v>
      </c>
    </row>
    <row r="1543" ht="15" customHeight="1" s="95">
      <c r="A1543" s="143" t="n">
        <v>45989</v>
      </c>
      <c r="B1543" s="177" t="n">
        <v>4.05</v>
      </c>
      <c r="C1543" s="177" t="n">
        <v>3.88</v>
      </c>
      <c r="D1543" s="177" t="n">
        <v>3.74</v>
      </c>
      <c r="E1543" s="177" t="n">
        <v>3.61</v>
      </c>
    </row>
    <row r="1544" ht="15" customHeight="1" s="95">
      <c r="A1544" s="143" t="n">
        <v>45992</v>
      </c>
      <c r="B1544" s="177" t="n">
        <v>3.98</v>
      </c>
      <c r="C1544" s="177" t="n">
        <v>3.81</v>
      </c>
      <c r="D1544" s="177" t="n">
        <v>3.75</v>
      </c>
      <c r="E1544" s="177" t="n">
        <v>3.62</v>
      </c>
    </row>
    <row r="1545" ht="15" customHeight="1" s="95">
      <c r="A1545" s="143" t="n">
        <v>45993</v>
      </c>
      <c r="B1545" s="177" t="n">
        <v>3.9</v>
      </c>
      <c r="C1545" s="177" t="n">
        <v>3.77</v>
      </c>
      <c r="D1545" s="177" t="n">
        <v>3.72</v>
      </c>
      <c r="E1545" s="177" t="n">
        <v>3.59</v>
      </c>
    </row>
    <row r="1546" ht="15" customHeight="1" s="95">
      <c r="A1546" s="143" t="n">
        <v>45994</v>
      </c>
      <c r="B1546" s="177" t="n">
        <v>3.83</v>
      </c>
      <c r="C1546" s="177" t="n">
        <v>3.72</v>
      </c>
      <c r="D1546" s="177" t="n">
        <v>3.68</v>
      </c>
      <c r="E1546" s="177" t="n">
        <v>3.57</v>
      </c>
    </row>
    <row r="1547" ht="15" customHeight="1" s="95">
      <c r="A1547" s="143" t="n">
        <v>45995</v>
      </c>
      <c r="B1547" s="177" t="n">
        <v>3.83</v>
      </c>
      <c r="C1547" s="177" t="n">
        <v>3.71</v>
      </c>
      <c r="D1547" s="177" t="n">
        <v>3.69</v>
      </c>
      <c r="E1547" s="177" t="n">
        <v>3.6</v>
      </c>
    </row>
    <row r="1548" ht="15" customHeight="1" s="95">
      <c r="A1548" s="143" t="n">
        <v>45996</v>
      </c>
      <c r="B1548" s="177" t="n">
        <v>3.82</v>
      </c>
      <c r="C1548" s="177" t="n">
        <v>3.71</v>
      </c>
      <c r="D1548" s="177" t="n">
        <v>3.68</v>
      </c>
      <c r="E1548" s="177" t="n">
        <v>3.61</v>
      </c>
    </row>
    <row r="1549" ht="15" customHeight="1" s="95">
      <c r="A1549" s="143" t="n">
        <v>45999</v>
      </c>
      <c r="B1549" s="177" t="n">
        <v>3.82</v>
      </c>
      <c r="C1549" s="177" t="n">
        <v>3.73</v>
      </c>
      <c r="D1549" s="177" t="n">
        <v>3.69</v>
      </c>
      <c r="E1549" s="177" t="n">
        <v>3.61</v>
      </c>
    </row>
    <row r="1550" ht="15" customHeight="1" s="95">
      <c r="A1550" s="143" t="n">
        <v>46000</v>
      </c>
      <c r="B1550" s="177" t="n">
        <v>3.81</v>
      </c>
      <c r="C1550" s="177" t="n">
        <v>3.73</v>
      </c>
      <c r="D1550" s="177" t="n">
        <v>3.7</v>
      </c>
      <c r="E1550" s="177" t="n">
        <v>3.63</v>
      </c>
    </row>
    <row r="1551" ht="15" customHeight="1" s="95">
      <c r="A1551" s="143" t="n">
        <v>46001</v>
      </c>
      <c r="B1551" s="177" t="n">
        <v>3.79</v>
      </c>
      <c r="C1551" s="177" t="n">
        <v>3.69</v>
      </c>
      <c r="D1551" s="177" t="n">
        <v>3.66</v>
      </c>
      <c r="E1551" s="177" t="n">
        <v>3.58</v>
      </c>
    </row>
    <row r="1552" ht="15" customHeight="1" s="95">
      <c r="A1552" s="143" t="n">
        <v>46002</v>
      </c>
      <c r="B1552" s="177" t="n">
        <v>3.77</v>
      </c>
      <c r="C1552" s="177" t="n">
        <v>3.66</v>
      </c>
      <c r="D1552" s="177" t="n">
        <v>3.62</v>
      </c>
      <c r="E1552" s="177" t="n">
        <v>3.56</v>
      </c>
    </row>
    <row r="1553" ht="15" customHeight="1" s="95">
      <c r="A1553" s="143" t="n">
        <v>46003</v>
      </c>
      <c r="B1553" s="177" t="n">
        <v>3.76</v>
      </c>
      <c r="C1553" s="177" t="n">
        <v>3.63</v>
      </c>
      <c r="D1553" s="177" t="n">
        <v>3.58</v>
      </c>
      <c r="E1553" s="177" t="n">
        <v>3.54</v>
      </c>
    </row>
    <row r="1554" ht="15" customHeight="1" s="95">
      <c r="A1554" s="143" t="n">
        <v>46006</v>
      </c>
      <c r="B1554" s="177" t="n">
        <v>3.77</v>
      </c>
      <c r="C1554" s="177" t="n">
        <v>3.65</v>
      </c>
      <c r="D1554" s="177" t="n">
        <v>3.6</v>
      </c>
      <c r="E1554" s="177" t="n">
        <v>3.52</v>
      </c>
    </row>
    <row r="1555" ht="15" customHeight="1" s="95">
      <c r="A1555" s="143" t="n">
        <v>46007</v>
      </c>
      <c r="B1555" s="177" t="n">
        <v>3.76</v>
      </c>
      <c r="C1555" s="177" t="n">
        <v>3.64</v>
      </c>
      <c r="D1555" s="177" t="n">
        <v>3.6</v>
      </c>
      <c r="E1555" s="177" t="n">
        <v>3.51</v>
      </c>
    </row>
    <row r="1556" ht="15" customHeight="1" s="95">
      <c r="A1556" s="143" t="n">
        <v>46008</v>
      </c>
      <c r="B1556" s="177" t="n">
        <v>3.73</v>
      </c>
      <c r="C1556" s="177" t="n">
        <v>3.64</v>
      </c>
      <c r="D1556" s="177" t="n">
        <v>3.59</v>
      </c>
      <c r="E1556" s="177" t="n">
        <v>3.51</v>
      </c>
    </row>
    <row r="1557" ht="15" customHeight="1" s="95">
      <c r="A1557" s="143" t="n">
        <v>46009</v>
      </c>
      <c r="B1557" s="177" t="n">
        <v>3.71</v>
      </c>
      <c r="C1557" s="177" t="n">
        <v>3.62</v>
      </c>
      <c r="D1557" s="177" t="n">
        <v>3.58</v>
      </c>
      <c r="E1557" s="177" t="n">
        <v>3.49</v>
      </c>
    </row>
    <row r="1558" ht="15" customHeight="1" s="95">
      <c r="A1558" s="143" t="n">
        <v>46010</v>
      </c>
      <c r="B1558" s="177" t="n">
        <v>3.71</v>
      </c>
      <c r="C1558" s="177" t="n">
        <v>3.62</v>
      </c>
      <c r="D1558" s="177" t="n">
        <v>3.6</v>
      </c>
      <c r="E1558" s="177" t="n">
        <v>3.51</v>
      </c>
    </row>
    <row r="1559" ht="15" customHeight="1" s="95">
      <c r="A1559" s="143" t="n">
        <v>46013</v>
      </c>
      <c r="B1559" s="177" t="n">
        <v>3.72</v>
      </c>
      <c r="C1559" s="177" t="n">
        <v>3.64</v>
      </c>
      <c r="D1559" s="177" t="n">
        <v>3.6</v>
      </c>
      <c r="E1559" s="177" t="n">
        <v>3.53</v>
      </c>
    </row>
    <row r="1560" ht="15" customHeight="1" s="95">
      <c r="A1560" s="143" t="n">
        <v>46014</v>
      </c>
      <c r="B1560" s="177" t="n">
        <v>3.71</v>
      </c>
      <c r="C1560" s="177" t="n">
        <v>3.65</v>
      </c>
      <c r="D1560" s="177" t="n">
        <v>3.59</v>
      </c>
      <c r="E1560" s="177" t="n">
        <v>3.52</v>
      </c>
    </row>
    <row r="1561" ht="15" customHeight="1" s="95">
      <c r="A1561" s="143" t="n">
        <v>46015</v>
      </c>
      <c r="B1561" s="177" t="n">
        <v>3.72</v>
      </c>
      <c r="C1561" s="177" t="n">
        <v>3.69</v>
      </c>
      <c r="D1561" s="177" t="n">
        <v>3.59</v>
      </c>
      <c r="E1561" s="177" t="n">
        <v>3.5</v>
      </c>
    </row>
    <row r="1562" ht="15" customHeight="1" s="95">
      <c r="A1562" s="143" t="n">
        <v>46016</v>
      </c>
    </row>
    <row r="1563" ht="15" customHeight="1" s="95">
      <c r="A1563" s="143" t="n">
        <v>46017</v>
      </c>
      <c r="B1563" s="177" t="n">
        <v>3.7</v>
      </c>
      <c r="C1563" s="177" t="n">
        <v>3.64</v>
      </c>
      <c r="D1563" s="177" t="n">
        <v>3.58</v>
      </c>
      <c r="E1563" s="177" t="n">
        <v>3.49</v>
      </c>
    </row>
    <row r="1564" ht="15" customHeight="1" s="95">
      <c r="A1564" s="143" t="n">
        <v>46020</v>
      </c>
      <c r="B1564" s="177" t="n">
        <v>3.69</v>
      </c>
      <c r="C1564" s="177" t="n">
        <v>3.68</v>
      </c>
      <c r="D1564" s="177" t="n">
        <v>3.59</v>
      </c>
      <c r="E1564" s="177" t="n">
        <v>3.48</v>
      </c>
    </row>
    <row r="1565" ht="15" customHeight="1" s="95">
      <c r="A1565" s="143" t="n">
        <v>46021</v>
      </c>
      <c r="B1565" s="177" t="n">
        <v>3.65</v>
      </c>
      <c r="C1565" s="177" t="n">
        <v>3.65</v>
      </c>
      <c r="D1565" s="177" t="n">
        <v>3.59</v>
      </c>
      <c r="E1565" s="177" t="n">
        <v>3.47</v>
      </c>
    </row>
    <row r="1566" ht="15" customHeight="1" s="95">
      <c r="A1566" s="143" t="n">
        <v>46022</v>
      </c>
      <c r="B1566" s="177" t="n">
        <v>3.74</v>
      </c>
      <c r="C1566" s="177" t="n">
        <v>3.67</v>
      </c>
      <c r="D1566" s="177" t="n">
        <v>3.59</v>
      </c>
      <c r="E1566" s="177" t="n">
        <v>3.48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94" min="1" max="1"/>
    <col width="28" customWidth="1" style="94" min="2" max="2"/>
    <col width="12" customWidth="1" style="94" min="3" max="4"/>
    <col width="50" customWidth="1" style="94" min="5" max="5"/>
    <col width="14" customWidth="1" style="94" min="6" max="8"/>
    <col width="10" customWidth="1" style="94" min="9" max="9"/>
    <col width="14" customWidth="1" style="94" min="10" max="12"/>
    <col width="10" customWidth="1" style="94" min="13" max="13"/>
    <col width="12" customWidth="1" style="94" min="14" max="15"/>
    <col width="10" customWidth="1" style="94" min="16" max="16"/>
    <col width="60" customWidth="1" style="94" min="17" max="17"/>
  </cols>
  <sheetData>
    <row r="1" ht="45" customHeight="1" s="95">
      <c r="A1" s="178" t="inlineStr">
        <is>
          <t>Episode_ID</t>
        </is>
      </c>
      <c r="B1" s="178" t="inlineStr">
        <is>
          <t>Event_Name</t>
        </is>
      </c>
      <c r="C1" s="178" t="inlineStr">
        <is>
          <t>Start_Date</t>
        </is>
      </c>
      <c r="D1" s="178" t="inlineStr">
        <is>
          <t>End_Date</t>
        </is>
      </c>
      <c r="E1" s="178" t="inlineStr">
        <is>
          <t>Trigger</t>
        </is>
      </c>
      <c r="F1" s="178" t="inlineStr">
        <is>
          <t>USDC_Supply_Pre</t>
        </is>
      </c>
      <c r="G1" s="178" t="inlineStr">
        <is>
          <t>USDC_Supply_Trough</t>
        </is>
      </c>
      <c r="H1" s="178" t="inlineStr">
        <is>
          <t>USDC_Drawdown_USDbn</t>
        </is>
      </c>
      <c r="I1" s="178" t="inlineStr">
        <is>
          <t>USDC_Drawdown_Pct</t>
        </is>
      </c>
      <c r="J1" s="178" t="inlineStr">
        <is>
          <t>USDT_Supply_Pre</t>
        </is>
      </c>
      <c r="K1" s="178" t="inlineStr">
        <is>
          <t>USDT_Supply_Trough</t>
        </is>
      </c>
      <c r="L1" s="178" t="inlineStr">
        <is>
          <t>USDT_Drawdown_USDbn</t>
        </is>
      </c>
      <c r="M1" s="178" t="inlineStr">
        <is>
          <t>USDT_Drawdown_Pct</t>
        </is>
      </c>
      <c r="N1" s="178" t="inlineStr">
        <is>
          <t>USDC_Min_Price</t>
        </is>
      </c>
      <c r="O1" s="178" t="inlineStr">
        <is>
          <t>USDT_Min_Price</t>
        </is>
      </c>
      <c r="P1" s="178" t="inlineStr">
        <is>
          <t>Duration_Days</t>
        </is>
      </c>
      <c r="Q1" s="178" t="inlineStr">
        <is>
          <t>Notes</t>
        </is>
      </c>
    </row>
    <row r="2" ht="15" customHeight="1" s="95">
      <c r="A2" s="94" t="inlineStr">
        <is>
          <t>E1</t>
        </is>
      </c>
      <c r="B2" s="94" t="inlineStr">
        <is>
          <t>LUNA/UST collapse</t>
        </is>
      </c>
      <c r="C2" s="143" t="n">
        <v>44688</v>
      </c>
      <c r="D2" s="143" t="n">
        <v>44742</v>
      </c>
      <c r="E2" s="94" t="inlineStr">
        <is>
          <t>TerraUSD (UST) algorithmic stablecoin depeg; LUNA collapse</t>
        </is>
      </c>
      <c r="F2" s="179" t="n">
        <v>50000</v>
      </c>
      <c r="G2" s="179" t="n">
        <v>54000</v>
      </c>
      <c r="H2" s="180" t="n">
        <v>0</v>
      </c>
      <c r="I2" s="181" t="n">
        <v>0</v>
      </c>
      <c r="J2" s="179" t="n">
        <v>83000</v>
      </c>
      <c r="K2" s="179" t="n">
        <v>67000</v>
      </c>
      <c r="L2" s="180" t="n">
        <v>16</v>
      </c>
      <c r="M2" s="181" t="n">
        <v>0.193</v>
      </c>
      <c r="N2" s="182" t="n">
        <v>0.9993</v>
      </c>
      <c r="O2" s="182" t="n">
        <v>0.951</v>
      </c>
      <c r="P2" s="94" t="n">
        <v>54</v>
      </c>
      <c r="Q2" s="94" t="inlineStr">
        <is>
          <t>USDC gained $4bn (flight to quality). USDT lost $16bn (largest single-issuer outflow). USDT depegged briefly to $0.95.</t>
        </is>
      </c>
    </row>
    <row r="3" ht="15" customHeight="1" s="95">
      <c r="A3" s="94" t="inlineStr">
        <is>
          <t>E2</t>
        </is>
      </c>
      <c r="B3" s="94" t="inlineStr">
        <is>
          <t>Three Arrows / Celsius</t>
        </is>
      </c>
      <c r="C3" s="143" t="n">
        <v>44724</v>
      </c>
      <c r="D3" s="143" t="n">
        <v>44804</v>
      </c>
      <c r="E3" s="94" t="inlineStr">
        <is>
          <t>Celsius freeze, 3AC liquidation, broader DeFi unwind</t>
        </is>
      </c>
      <c r="F3" s="179" t="n">
        <v>54000</v>
      </c>
      <c r="G3" s="179" t="n">
        <v>51000</v>
      </c>
      <c r="H3" s="180" t="n">
        <v>3</v>
      </c>
      <c r="I3" s="181" t="n">
        <v>0.056</v>
      </c>
      <c r="J3" s="179" t="n">
        <v>69000</v>
      </c>
      <c r="K3" s="179" t="n">
        <v>66000</v>
      </c>
      <c r="L3" s="180" t="n">
        <v>3</v>
      </c>
      <c r="M3" s="181" t="n">
        <v>0.043</v>
      </c>
      <c r="N3" s="182" t="n">
        <v>0.998</v>
      </c>
      <c r="O3" s="182" t="n">
        <v>0.997</v>
      </c>
      <c r="P3" s="94" t="n">
        <v>81</v>
      </c>
      <c r="Q3" s="94" t="inlineStr">
        <is>
          <t>Both issuers saw mild redemptions; no depeg.</t>
        </is>
      </c>
    </row>
    <row r="4" ht="15" customHeight="1" s="95">
      <c r="A4" s="94" t="inlineStr">
        <is>
          <t>E3</t>
        </is>
      </c>
      <c r="B4" s="94" t="inlineStr">
        <is>
          <t>FTX collapse</t>
        </is>
      </c>
      <c r="C4" s="143" t="n">
        <v>44871</v>
      </c>
      <c r="D4" s="143" t="n">
        <v>44926</v>
      </c>
      <c r="E4" s="94" t="inlineStr">
        <is>
          <t>FTX bankruptcy + Alameda Research insolvency</t>
        </is>
      </c>
      <c r="F4" s="179" t="n">
        <v>45000</v>
      </c>
      <c r="G4" s="179" t="n">
        <v>43000</v>
      </c>
      <c r="H4" s="180" t="n">
        <v>2</v>
      </c>
      <c r="I4" s="181" t="n">
        <v>0.044</v>
      </c>
      <c r="J4" s="179" t="n">
        <v>67000</v>
      </c>
      <c r="K4" s="179" t="n">
        <v>65500</v>
      </c>
      <c r="L4" s="180" t="n">
        <v>1.5</v>
      </c>
      <c r="M4" s="181" t="n">
        <v>0.022</v>
      </c>
      <c r="N4" s="182" t="n">
        <v>0.998</v>
      </c>
      <c r="O4" s="182" t="n">
        <v>0.9936</v>
      </c>
      <c r="P4" s="94" t="n">
        <v>56</v>
      </c>
      <c r="Q4" s="94" t="inlineStr">
        <is>
          <t>CIRCLE RESERVE FUND introduced mid-Q4 in response. Counterparty risk to FTX/Alameda absorbed by industry.</t>
        </is>
      </c>
    </row>
    <row r="5" ht="15" customHeight="1" s="95">
      <c r="A5" s="94" t="inlineStr">
        <is>
          <t>E4</t>
        </is>
      </c>
      <c r="B5" s="94" t="inlineStr">
        <is>
          <t>SVB / USDC depeg</t>
        </is>
      </c>
      <c r="C5" s="143" t="n">
        <v>44993</v>
      </c>
      <c r="D5" s="143" t="n">
        <v>45002</v>
      </c>
      <c r="E5" s="94" t="inlineStr">
        <is>
          <t>Silicon Valley Bank, Silvergate, Signature Bank failures; Circle had $3.3bn at SVB</t>
        </is>
      </c>
      <c r="F5" s="179" t="n">
        <v>43500</v>
      </c>
      <c r="G5" s="179" t="n">
        <v>30500</v>
      </c>
      <c r="H5" s="180" t="n">
        <v>13</v>
      </c>
      <c r="I5" s="181" t="n">
        <v>0.299</v>
      </c>
      <c r="J5" s="179" t="n">
        <v>71000</v>
      </c>
      <c r="K5" s="179" t="n">
        <v>79000</v>
      </c>
      <c r="L5" s="180" t="n">
        <v>0</v>
      </c>
      <c r="M5" s="181" t="n">
        <v>0</v>
      </c>
      <c r="N5" s="182" t="n">
        <v>0.9655</v>
      </c>
      <c r="O5" s="182" t="n">
        <v>1.005</v>
      </c>
      <c r="P5" s="94" t="n">
        <v>9</v>
      </c>
      <c r="Q5" s="94" t="inlineStr">
        <is>
          <t>USDC depegged to $0.87 on Mar 11. Treasury Dept guaranteed SVB deposits Mar 12; recovery within days. USDT gained share. COUNTERPARTY RISK SCORE 3.</t>
        </is>
      </c>
    </row>
    <row r="6" ht="15" customHeight="1" s="95">
      <c r="A6" s="94" t="inlineStr">
        <is>
          <t>E5</t>
        </is>
      </c>
      <c r="B6" s="94" t="inlineStr">
        <is>
          <t>Post-depeg restructure</t>
        </is>
      </c>
      <c r="C6" s="143" t="n">
        <v>45002</v>
      </c>
      <c r="D6" s="143" t="n">
        <v>45138</v>
      </c>
      <c r="E6" s="94" t="inlineStr">
        <is>
          <t>Circle relocates custody, transitions to BNY Mellon + 100% Repos within CRF</t>
        </is>
      </c>
      <c r="F6" s="179" t="n">
        <v>30500</v>
      </c>
      <c r="G6" s="179" t="n">
        <v>26500</v>
      </c>
      <c r="H6" s="180" t="n">
        <v>4</v>
      </c>
      <c r="I6" s="181" t="n">
        <v>0.131</v>
      </c>
      <c r="J6" s="179" t="n">
        <v>79000</v>
      </c>
      <c r="K6" s="179" t="n">
        <v>83500</v>
      </c>
      <c r="L6" s="180" t="n">
        <v>0</v>
      </c>
      <c r="M6" s="181" t="n">
        <v>0</v>
      </c>
      <c r="N6" s="182" t="n">
        <v>1</v>
      </c>
      <c r="O6" s="182" t="n">
        <v>1.001</v>
      </c>
      <c r="P6" s="94" t="n">
        <v>136</v>
      </c>
      <c r="Q6" s="94" t="inlineStr">
        <is>
          <t>USDC continued losing supply through May 2023 (custody/trust rebuilding). May 31 first 100%-repo CRF.</t>
        </is>
      </c>
    </row>
    <row r="7" ht="15" customHeight="1" s="95">
      <c r="A7" s="94" t="inlineStr">
        <is>
          <t>E6</t>
        </is>
      </c>
      <c r="B7" s="94" t="inlineStr">
        <is>
          <t>Apr 2024 spot Bitcoin ETF / BTC ATH</t>
        </is>
      </c>
      <c r="C7" s="143" t="n">
        <v>45365</v>
      </c>
      <c r="D7" s="143" t="n">
        <v>45412</v>
      </c>
      <c r="E7" s="94" t="inlineStr">
        <is>
          <t>Bitcoin reaches $73k ATH; broad crypto liquidity flush</t>
        </is>
      </c>
      <c r="F7" s="179" t="n">
        <v>33000</v>
      </c>
      <c r="G7" s="179" t="n">
        <v>32000</v>
      </c>
      <c r="H7" s="180" t="n">
        <v>1</v>
      </c>
      <c r="I7" s="181" t="n">
        <v>0.03</v>
      </c>
      <c r="J7" s="179" t="n">
        <v>104000</v>
      </c>
      <c r="K7" s="179" t="n">
        <v>110000</v>
      </c>
      <c r="L7" s="180" t="n">
        <v>0</v>
      </c>
      <c r="M7" s="181" t="n">
        <v>0</v>
      </c>
      <c r="N7" s="182" t="n">
        <v>0.9995000000000001</v>
      </c>
      <c r="O7" s="182" t="n">
        <v>1</v>
      </c>
      <c r="P7" s="94" t="n">
        <v>47</v>
      </c>
      <c r="Q7" s="94" t="inlineStr">
        <is>
          <t>USDT supply expanded sharply (+$6bn). USDC stable. No depeg in either.</t>
        </is>
      </c>
    </row>
    <row r="8" ht="15" customHeight="1" s="95">
      <c r="A8" s="94" t="inlineStr">
        <is>
          <t>E7</t>
        </is>
      </c>
      <c r="B8" s="94" t="inlineStr">
        <is>
          <t>Aug 2024 yen-carry unwind</t>
        </is>
      </c>
      <c r="C8" s="143" t="n">
        <v>45509</v>
      </c>
      <c r="D8" s="143" t="n">
        <v>45520</v>
      </c>
      <c r="E8" s="94" t="inlineStr">
        <is>
          <t>Aug 5 2024 global market crash; carry trade unwind</t>
        </is>
      </c>
      <c r="F8" s="179" t="n">
        <v>34500</v>
      </c>
      <c r="G8" s="179" t="n">
        <v>34000</v>
      </c>
      <c r="H8" s="180" t="n">
        <v>0.5</v>
      </c>
      <c r="I8" s="181" t="n">
        <v>0.014</v>
      </c>
      <c r="J8" s="179" t="n">
        <v>117000</v>
      </c>
      <c r="K8" s="179" t="n">
        <v>115500</v>
      </c>
      <c r="L8" s="180" t="n">
        <v>1.5</v>
      </c>
      <c r="M8" s="181" t="n">
        <v>0.013</v>
      </c>
      <c r="N8" s="182" t="n">
        <v>0.999</v>
      </c>
      <c r="O8" s="182" t="n">
        <v>0.999</v>
      </c>
      <c r="P8" s="94" t="n">
        <v>11</v>
      </c>
      <c r="Q8" s="94" t="inlineStr">
        <is>
          <t>Minor stress; both issuers absorbed without depeg.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21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4" min="1" max="2"/>
    <col width="16" customWidth="1" style="94" min="3" max="4"/>
    <col width="12" customWidth="1" style="94" min="5" max="5"/>
    <col width="16" customWidth="1" style="94" min="6" max="8"/>
    <col width="12" customWidth="1" style="94" min="9" max="9"/>
    <col width="16" customWidth="1" style="94" min="10" max="12"/>
  </cols>
  <sheetData>
    <row r="1" ht="31.5" customHeight="1" s="95">
      <c r="A1" s="183" t="inlineStr">
        <is>
          <t>Date</t>
        </is>
      </c>
      <c r="B1" s="183" t="inlineStr">
        <is>
          <t>USDC_Price</t>
        </is>
      </c>
      <c r="C1" s="183" t="inlineStr">
        <is>
          <t>USDC_MarketCap</t>
        </is>
      </c>
      <c r="D1" s="183" t="inlineStr">
        <is>
          <t>USDC_Supply</t>
        </is>
      </c>
      <c r="E1" s="183" t="inlineStr">
        <is>
          <t>USDT_Price</t>
        </is>
      </c>
      <c r="F1" s="183" t="inlineStr">
        <is>
          <t>USDT_MarketCap</t>
        </is>
      </c>
      <c r="G1" s="183" t="inlineStr">
        <is>
          <t>USDT_Supply</t>
        </is>
      </c>
      <c r="H1" s="183" t="inlineStr">
        <is>
          <t>Total_Combined</t>
        </is>
      </c>
      <c r="I1" s="183" t="inlineStr">
        <is>
          <t>USDC_Share_pct</t>
        </is>
      </c>
      <c r="J1" s="183" t="inlineStr">
        <is>
          <t>USDC_Shock_20pct</t>
        </is>
      </c>
      <c r="K1" s="183" t="inlineStr">
        <is>
          <t>USDC_Shock_40pct</t>
        </is>
      </c>
      <c r="L1" s="183" t="inlineStr">
        <is>
          <t>USDC_Shock_60pct</t>
        </is>
      </c>
    </row>
    <row r="2" ht="15" customHeight="1" s="95">
      <c r="A2" s="143" t="n">
        <v>43831</v>
      </c>
      <c r="B2" s="146" t="n">
        <v>1.003172</v>
      </c>
      <c r="C2" s="179" t="n">
        <v>522027683</v>
      </c>
      <c r="D2" s="179" t="n">
        <v>520376852</v>
      </c>
      <c r="E2" s="146" t="n">
        <v>0.999366</v>
      </c>
      <c r="F2" s="179" t="n">
        <v>4285941694</v>
      </c>
      <c r="G2" s="179" t="n">
        <v>4288658781</v>
      </c>
      <c r="H2" s="179">
        <f>IFERROR(D2+G2,D2)</f>
        <v/>
      </c>
      <c r="I2" s="184">
        <f>IFERROR(D2/H2,"")</f>
        <v/>
      </c>
      <c r="J2" s="179" t="n">
        <v>104075370</v>
      </c>
      <c r="K2" s="179" t="n">
        <v>208150741</v>
      </c>
      <c r="L2" s="179" t="n">
        <v>312226111</v>
      </c>
    </row>
    <row r="3" ht="15" customHeight="1" s="95">
      <c r="A3" s="143" t="n">
        <v>43832</v>
      </c>
      <c r="B3" s="146" t="n">
        <v>1.003346</v>
      </c>
      <c r="C3" s="179" t="n">
        <v>520207772</v>
      </c>
      <c r="D3" s="179" t="n">
        <v>518472772</v>
      </c>
      <c r="E3" s="146" t="n">
        <v>0.999508</v>
      </c>
      <c r="F3" s="179" t="n">
        <v>4286266485</v>
      </c>
      <c r="G3" s="179" t="n">
        <v>4288377133</v>
      </c>
      <c r="H3" s="179">
        <f>IFERROR(D3+G3,D3)</f>
        <v/>
      </c>
      <c r="I3" s="184">
        <f>IFERROR(D3/H3,"")</f>
        <v/>
      </c>
      <c r="J3" s="179" t="n">
        <v>103694554</v>
      </c>
      <c r="K3" s="179" t="n">
        <v>207389109</v>
      </c>
      <c r="L3" s="179" t="n">
        <v>311083663</v>
      </c>
    </row>
    <row r="4" ht="15" customHeight="1" s="95">
      <c r="A4" s="143" t="n">
        <v>43833</v>
      </c>
      <c r="B4" s="146" t="n">
        <v>1.002434</v>
      </c>
      <c r="C4" s="179" t="n">
        <v>519915525</v>
      </c>
      <c r="D4" s="179" t="n">
        <v>518653260</v>
      </c>
      <c r="E4" s="146" t="n">
        <v>0.999983</v>
      </c>
      <c r="F4" s="179" t="n">
        <v>4288898575</v>
      </c>
      <c r="G4" s="179" t="n">
        <v>4288970619</v>
      </c>
      <c r="H4" s="179">
        <f>IFERROR(D4+G4,D4)</f>
        <v/>
      </c>
      <c r="I4" s="184">
        <f>IFERROR(D4/H4,"")</f>
        <v/>
      </c>
      <c r="J4" s="179" t="n">
        <v>103730652</v>
      </c>
      <c r="K4" s="179" t="n">
        <v>207461304</v>
      </c>
      <c r="L4" s="179" t="n">
        <v>311191956</v>
      </c>
    </row>
    <row r="5" ht="15" customHeight="1" s="95">
      <c r="A5" s="143" t="n">
        <v>43834</v>
      </c>
      <c r="B5" s="146" t="n">
        <v>1.00013</v>
      </c>
      <c r="C5" s="179" t="n">
        <v>518840356</v>
      </c>
      <c r="D5" s="179" t="n">
        <v>518772947</v>
      </c>
      <c r="E5" s="146" t="n">
        <v>0.998661</v>
      </c>
      <c r="F5" s="179" t="n">
        <v>4283023028</v>
      </c>
      <c r="G5" s="179" t="n">
        <v>4288763964</v>
      </c>
      <c r="H5" s="179">
        <f>IFERROR(D5+G5,D5)</f>
        <v/>
      </c>
      <c r="I5" s="184">
        <f>IFERROR(D5/H5,"")</f>
        <v/>
      </c>
      <c r="J5" s="179" t="n">
        <v>103754589</v>
      </c>
      <c r="K5" s="179" t="n">
        <v>207509179</v>
      </c>
      <c r="L5" s="179" t="n">
        <v>311263768</v>
      </c>
    </row>
    <row r="6" ht="15" customHeight="1" s="95">
      <c r="A6" s="143" t="n">
        <v>43835</v>
      </c>
      <c r="B6" s="146" t="n">
        <v>1.001133</v>
      </c>
      <c r="C6" s="179" t="n">
        <v>518952465</v>
      </c>
      <c r="D6" s="179" t="n">
        <v>518365259</v>
      </c>
      <c r="E6" s="146" t="n">
        <v>0.999595</v>
      </c>
      <c r="F6" s="179" t="n">
        <v>4287220840</v>
      </c>
      <c r="G6" s="179" t="n">
        <v>4288959181</v>
      </c>
      <c r="H6" s="179">
        <f>IFERROR(D6+G6,D6)</f>
        <v/>
      </c>
      <c r="I6" s="184">
        <f>IFERROR(D6/H6,"")</f>
        <v/>
      </c>
      <c r="J6" s="179" t="n">
        <v>103673052</v>
      </c>
      <c r="K6" s="179" t="n">
        <v>207346104</v>
      </c>
      <c r="L6" s="179" t="n">
        <v>311019155</v>
      </c>
    </row>
    <row r="7" ht="15" customHeight="1" s="95">
      <c r="A7" s="143" t="n">
        <v>43836</v>
      </c>
      <c r="B7" s="146" t="n">
        <v>1.0005</v>
      </c>
      <c r="C7" s="179" t="n">
        <v>517973272</v>
      </c>
      <c r="D7" s="179" t="n">
        <v>517714362</v>
      </c>
      <c r="E7" s="146" t="n">
        <v>0.999073</v>
      </c>
      <c r="F7" s="179" t="n">
        <v>4281391701</v>
      </c>
      <c r="G7" s="179" t="n">
        <v>4285363497</v>
      </c>
      <c r="H7" s="179">
        <f>IFERROR(D7+G7,D7)</f>
        <v/>
      </c>
      <c r="I7" s="184">
        <f>IFERROR(D7/H7,"")</f>
        <v/>
      </c>
      <c r="J7" s="179" t="n">
        <v>103542872</v>
      </c>
      <c r="K7" s="179" t="n">
        <v>207085745</v>
      </c>
      <c r="L7" s="179" t="n">
        <v>310628617</v>
      </c>
    </row>
    <row r="8" ht="15" customHeight="1" s="95">
      <c r="A8" s="143" t="n">
        <v>43837</v>
      </c>
      <c r="B8" s="146" t="n">
        <v>0.999543</v>
      </c>
      <c r="C8" s="179" t="n">
        <v>513964830</v>
      </c>
      <c r="D8" s="179" t="n">
        <v>514199952</v>
      </c>
      <c r="E8" s="146" t="n">
        <v>0.998183</v>
      </c>
      <c r="F8" s="179" t="n">
        <v>4285344128</v>
      </c>
      <c r="G8" s="179" t="n">
        <v>4293145691</v>
      </c>
      <c r="H8" s="179">
        <f>IFERROR(D8+G8,D8)</f>
        <v/>
      </c>
      <c r="I8" s="184">
        <f>IFERROR(D8/H8,"")</f>
        <v/>
      </c>
      <c r="J8" s="179" t="n">
        <v>102839990</v>
      </c>
      <c r="K8" s="179" t="n">
        <v>205679981</v>
      </c>
      <c r="L8" s="179" t="n">
        <v>308519971</v>
      </c>
    </row>
    <row r="9" ht="15" customHeight="1" s="95">
      <c r="A9" s="143" t="n">
        <v>43838</v>
      </c>
      <c r="B9" s="146" t="n">
        <v>0.99914</v>
      </c>
      <c r="C9" s="179" t="n">
        <v>490317289</v>
      </c>
      <c r="D9" s="179" t="n">
        <v>490739417</v>
      </c>
      <c r="E9" s="146" t="n">
        <v>0.997681</v>
      </c>
      <c r="F9" s="179" t="n">
        <v>4279309316</v>
      </c>
      <c r="G9" s="179" t="n">
        <v>4289254654</v>
      </c>
      <c r="H9" s="179">
        <f>IFERROR(D9+G9,D9)</f>
        <v/>
      </c>
      <c r="I9" s="184">
        <f>IFERROR(D9/H9,"")</f>
        <v/>
      </c>
      <c r="J9" s="179" t="n">
        <v>98147883</v>
      </c>
      <c r="K9" s="179" t="n">
        <v>196295767</v>
      </c>
      <c r="L9" s="179" t="n">
        <v>294443650</v>
      </c>
    </row>
    <row r="10" ht="15" customHeight="1" s="95">
      <c r="A10" s="143" t="n">
        <v>43839</v>
      </c>
      <c r="B10" s="146" t="n">
        <v>0.9963419999999999</v>
      </c>
      <c r="C10" s="179" t="n">
        <v>469784290</v>
      </c>
      <c r="D10" s="179" t="n">
        <v>471508953</v>
      </c>
      <c r="E10" s="146" t="n">
        <v>0.996537</v>
      </c>
      <c r="F10" s="179" t="n">
        <v>4273984481</v>
      </c>
      <c r="G10" s="179" t="n">
        <v>4288838093</v>
      </c>
      <c r="H10" s="179">
        <f>IFERROR(D10+G10,D10)</f>
        <v/>
      </c>
      <c r="I10" s="184">
        <f>IFERROR(D10/H10,"")</f>
        <v/>
      </c>
      <c r="J10" s="179" t="n">
        <v>94301791</v>
      </c>
      <c r="K10" s="179" t="n">
        <v>188603581</v>
      </c>
      <c r="L10" s="179" t="n">
        <v>282905372</v>
      </c>
    </row>
    <row r="11" ht="15" customHeight="1" s="95">
      <c r="A11" s="143" t="n">
        <v>43840</v>
      </c>
      <c r="B11" s="146" t="n">
        <v>1.000419</v>
      </c>
      <c r="C11" s="179" t="n">
        <v>461732414</v>
      </c>
      <c r="D11" s="179" t="n">
        <v>461538916</v>
      </c>
      <c r="E11" s="146" t="n">
        <v>0.999479</v>
      </c>
      <c r="F11" s="179" t="n">
        <v>4286942072</v>
      </c>
      <c r="G11" s="179" t="n">
        <v>4289174896</v>
      </c>
      <c r="H11" s="179">
        <f>IFERROR(D11+G11,D11)</f>
        <v/>
      </c>
      <c r="I11" s="184">
        <f>IFERROR(D11/H11,"")</f>
        <v/>
      </c>
      <c r="J11" s="179" t="n">
        <v>92307783</v>
      </c>
      <c r="K11" s="179" t="n">
        <v>184615566</v>
      </c>
      <c r="L11" s="179" t="n">
        <v>276923350</v>
      </c>
    </row>
    <row r="12" ht="15" customHeight="1" s="95">
      <c r="A12" s="143" t="n">
        <v>43841</v>
      </c>
      <c r="B12" s="146" t="n">
        <v>1.0028</v>
      </c>
      <c r="C12" s="179" t="n">
        <v>458520665</v>
      </c>
      <c r="D12" s="179" t="n">
        <v>457240233</v>
      </c>
      <c r="E12" s="146" t="n">
        <v>0.999866</v>
      </c>
      <c r="F12" s="179" t="n">
        <v>4288341143</v>
      </c>
      <c r="G12" s="179" t="n">
        <v>4288917905</v>
      </c>
      <c r="H12" s="179">
        <f>IFERROR(D12+G12,D12)</f>
        <v/>
      </c>
      <c r="I12" s="184">
        <f>IFERROR(D12/H12,"")</f>
        <v/>
      </c>
      <c r="J12" s="179" t="n">
        <v>91448047</v>
      </c>
      <c r="K12" s="179" t="n">
        <v>182896093</v>
      </c>
      <c r="L12" s="179" t="n">
        <v>274344140</v>
      </c>
    </row>
    <row r="13" ht="15" customHeight="1" s="95">
      <c r="A13" s="143" t="n">
        <v>43842</v>
      </c>
      <c r="B13" s="146" t="n">
        <v>0.997845</v>
      </c>
      <c r="C13" s="179" t="n">
        <v>448892629</v>
      </c>
      <c r="D13" s="179" t="n">
        <v>449862021</v>
      </c>
      <c r="E13" s="146" t="n">
        <v>0.997525</v>
      </c>
      <c r="F13" s="179" t="n">
        <v>4273319340</v>
      </c>
      <c r="G13" s="179" t="n">
        <v>4283920439</v>
      </c>
      <c r="H13" s="179">
        <f>IFERROR(D13+G13,D13)</f>
        <v/>
      </c>
      <c r="I13" s="184">
        <f>IFERROR(D13/H13,"")</f>
        <v/>
      </c>
      <c r="J13" s="179" t="n">
        <v>89972404</v>
      </c>
      <c r="K13" s="179" t="n">
        <v>179944808</v>
      </c>
      <c r="L13" s="179" t="n">
        <v>269917213</v>
      </c>
    </row>
    <row r="14" ht="15" customHeight="1" s="95">
      <c r="A14" s="143" t="n">
        <v>43843</v>
      </c>
      <c r="B14" s="146" t="n">
        <v>0.999949</v>
      </c>
      <c r="C14" s="179" t="n">
        <v>449197501</v>
      </c>
      <c r="D14" s="179" t="n">
        <v>449220489</v>
      </c>
      <c r="E14" s="146" t="n">
        <v>1.000168</v>
      </c>
      <c r="F14" s="179" t="n">
        <v>4281347849</v>
      </c>
      <c r="G14" s="179" t="n">
        <v>4280628140</v>
      </c>
      <c r="H14" s="179">
        <f>IFERROR(D14+G14,D14)</f>
        <v/>
      </c>
      <c r="I14" s="184">
        <f>IFERROR(D14/H14,"")</f>
        <v/>
      </c>
      <c r="J14" s="179" t="n">
        <v>89844098</v>
      </c>
      <c r="K14" s="179" t="n">
        <v>179688196</v>
      </c>
      <c r="L14" s="179" t="n">
        <v>269532293</v>
      </c>
    </row>
    <row r="15" ht="15" customHeight="1" s="95">
      <c r="A15" s="143" t="n">
        <v>43844</v>
      </c>
      <c r="B15" s="146" t="n">
        <v>0.998835</v>
      </c>
      <c r="C15" s="179" t="n">
        <v>447171709</v>
      </c>
      <c r="D15" s="179" t="n">
        <v>447693189</v>
      </c>
      <c r="E15" s="146" t="n">
        <v>0.998553</v>
      </c>
      <c r="F15" s="179" t="n">
        <v>4282360329</v>
      </c>
      <c r="G15" s="179" t="n">
        <v>4288567924</v>
      </c>
      <c r="H15" s="179">
        <f>IFERROR(D15+G15,D15)</f>
        <v/>
      </c>
      <c r="I15" s="184">
        <f>IFERROR(D15/H15,"")</f>
        <v/>
      </c>
      <c r="J15" s="179" t="n">
        <v>89538638</v>
      </c>
      <c r="K15" s="179" t="n">
        <v>179077276</v>
      </c>
      <c r="L15" s="179" t="n">
        <v>268615913</v>
      </c>
    </row>
    <row r="16" ht="15" customHeight="1" s="95">
      <c r="A16" s="143" t="n">
        <v>43845</v>
      </c>
      <c r="B16" s="146" t="n">
        <v>0.999922</v>
      </c>
      <c r="C16" s="179" t="n">
        <v>432020884</v>
      </c>
      <c r="D16" s="179" t="n">
        <v>432054599</v>
      </c>
      <c r="E16" s="146" t="n">
        <v>0.998849</v>
      </c>
      <c r="F16" s="179" t="n">
        <v>4278526948</v>
      </c>
      <c r="G16" s="179" t="n">
        <v>4283457840</v>
      </c>
      <c r="H16" s="179">
        <f>IFERROR(D16+G16,D16)</f>
        <v/>
      </c>
      <c r="I16" s="184">
        <f>IFERROR(D16/H16,"")</f>
        <v/>
      </c>
      <c r="J16" s="179" t="n">
        <v>86410920</v>
      </c>
      <c r="K16" s="179" t="n">
        <v>172821840</v>
      </c>
      <c r="L16" s="179" t="n">
        <v>259232759</v>
      </c>
    </row>
    <row r="17" ht="15" customHeight="1" s="95">
      <c r="A17" s="143" t="n">
        <v>43846</v>
      </c>
      <c r="B17" s="146" t="n">
        <v>1.000629</v>
      </c>
      <c r="C17" s="179" t="n">
        <v>452134110</v>
      </c>
      <c r="D17" s="179" t="n">
        <v>451849679</v>
      </c>
      <c r="E17" s="146" t="n">
        <v>0.999402</v>
      </c>
      <c r="F17" s="179" t="n">
        <v>4286133433</v>
      </c>
      <c r="G17" s="179" t="n">
        <v>4288698349</v>
      </c>
      <c r="H17" s="179">
        <f>IFERROR(D17+G17,D17)</f>
        <v/>
      </c>
      <c r="I17" s="184">
        <f>IFERROR(D17/H17,"")</f>
        <v/>
      </c>
      <c r="J17" s="179" t="n">
        <v>90369936</v>
      </c>
      <c r="K17" s="179" t="n">
        <v>180739872</v>
      </c>
      <c r="L17" s="179" t="n">
        <v>271109807</v>
      </c>
    </row>
    <row r="18" ht="15" customHeight="1" s="95">
      <c r="A18" s="143" t="n">
        <v>43847</v>
      </c>
      <c r="B18" s="146" t="n">
        <v>1.000378</v>
      </c>
      <c r="C18" s="179" t="n">
        <v>448456801</v>
      </c>
      <c r="D18" s="179" t="n">
        <v>448287448</v>
      </c>
      <c r="E18" s="146" t="n">
        <v>0.99832</v>
      </c>
      <c r="F18" s="179" t="n">
        <v>4277820757</v>
      </c>
      <c r="G18" s="179" t="n">
        <v>4285020767</v>
      </c>
      <c r="H18" s="179">
        <f>IFERROR(D18+G18,D18)</f>
        <v/>
      </c>
      <c r="I18" s="184">
        <f>IFERROR(D18/H18,"")</f>
        <v/>
      </c>
      <c r="J18" s="179" t="n">
        <v>89657490</v>
      </c>
      <c r="K18" s="179" t="n">
        <v>179314979</v>
      </c>
      <c r="L18" s="179" t="n">
        <v>268972469</v>
      </c>
    </row>
    <row r="19" ht="15" customHeight="1" s="95">
      <c r="A19" s="143" t="n">
        <v>43848</v>
      </c>
      <c r="B19" s="146" t="n">
        <v>0.9977240000000001</v>
      </c>
      <c r="C19" s="179" t="n">
        <v>444757303</v>
      </c>
      <c r="D19" s="179" t="n">
        <v>445771725</v>
      </c>
      <c r="E19" s="146" t="n">
        <v>0.995787</v>
      </c>
      <c r="F19" s="179" t="n">
        <v>4279860809</v>
      </c>
      <c r="G19" s="179" t="n">
        <v>4297966171</v>
      </c>
      <c r="H19" s="179">
        <f>IFERROR(D19+G19,D19)</f>
        <v/>
      </c>
      <c r="I19" s="184">
        <f>IFERROR(D19/H19,"")</f>
        <v/>
      </c>
      <c r="J19" s="179" t="n">
        <v>89154345</v>
      </c>
      <c r="K19" s="179" t="n">
        <v>178308690</v>
      </c>
      <c r="L19" s="179" t="n">
        <v>267463035</v>
      </c>
    </row>
    <row r="20" ht="15" customHeight="1" s="95">
      <c r="A20" s="143" t="n">
        <v>43849</v>
      </c>
      <c r="B20" s="146" t="n">
        <v>0.999806</v>
      </c>
      <c r="C20" s="179" t="n">
        <v>444284972</v>
      </c>
      <c r="D20" s="179" t="n">
        <v>444371166</v>
      </c>
      <c r="E20" s="146" t="n">
        <v>0.997553</v>
      </c>
      <c r="F20" s="179" t="n">
        <v>4277817641</v>
      </c>
      <c r="G20" s="179" t="n">
        <v>4288311199</v>
      </c>
      <c r="H20" s="179">
        <f>IFERROR(D20+G20,D20)</f>
        <v/>
      </c>
      <c r="I20" s="184">
        <f>IFERROR(D20/H20,"")</f>
        <v/>
      </c>
      <c r="J20" s="179" t="n">
        <v>88874233</v>
      </c>
      <c r="K20" s="179" t="n">
        <v>177748466</v>
      </c>
      <c r="L20" s="179" t="n">
        <v>266622700</v>
      </c>
    </row>
    <row r="21" ht="15" customHeight="1" s="95">
      <c r="A21" s="143" t="n">
        <v>43850</v>
      </c>
      <c r="B21" s="146" t="n">
        <v>0.998572</v>
      </c>
      <c r="C21" s="179" t="n">
        <v>444638589</v>
      </c>
      <c r="D21" s="179" t="n">
        <v>445274281</v>
      </c>
      <c r="E21" s="146" t="n">
        <v>0.996951</v>
      </c>
      <c r="F21" s="179" t="n">
        <v>4282607058</v>
      </c>
      <c r="G21" s="179" t="n">
        <v>4295703251</v>
      </c>
      <c r="H21" s="179">
        <f>IFERROR(D21+G21,D21)</f>
        <v/>
      </c>
      <c r="I21" s="184">
        <f>IFERROR(D21/H21,"")</f>
        <v/>
      </c>
      <c r="J21" s="179" t="n">
        <v>89054856</v>
      </c>
      <c r="K21" s="179" t="n">
        <v>178109712</v>
      </c>
      <c r="L21" s="179" t="n">
        <v>267164569</v>
      </c>
    </row>
    <row r="22" ht="15" customHeight="1" s="95">
      <c r="A22" s="143" t="n">
        <v>43851</v>
      </c>
      <c r="B22" s="146" t="n">
        <v>0.999368</v>
      </c>
      <c r="C22" s="179" t="n">
        <v>444694131</v>
      </c>
      <c r="D22" s="179" t="n">
        <v>444975443</v>
      </c>
      <c r="E22" s="146" t="n">
        <v>0.9983030000000001</v>
      </c>
      <c r="F22" s="179" t="n">
        <v>4281327773</v>
      </c>
      <c r="G22" s="179" t="n">
        <v>4288605398</v>
      </c>
      <c r="H22" s="179">
        <f>IFERROR(D22+G22,D22)</f>
        <v/>
      </c>
      <c r="I22" s="184">
        <f>IFERROR(D22/H22,"")</f>
        <v/>
      </c>
      <c r="J22" s="179" t="n">
        <v>88995089</v>
      </c>
      <c r="K22" s="179" t="n">
        <v>177990177</v>
      </c>
      <c r="L22" s="179" t="n">
        <v>266985266</v>
      </c>
    </row>
    <row r="23" ht="15" customHeight="1" s="95">
      <c r="A23" s="143" t="n">
        <v>43852</v>
      </c>
      <c r="B23" s="146" t="n">
        <v>0.999326</v>
      </c>
      <c r="C23" s="179" t="n">
        <v>447471889</v>
      </c>
      <c r="D23" s="179" t="n">
        <v>447773523</v>
      </c>
      <c r="E23" s="146" t="n">
        <v>0.997712</v>
      </c>
      <c r="F23" s="179" t="n">
        <v>4283473427</v>
      </c>
      <c r="G23" s="179" t="n">
        <v>4293297893</v>
      </c>
      <c r="H23" s="179">
        <f>IFERROR(D23+G23,D23)</f>
        <v/>
      </c>
      <c r="I23" s="184">
        <f>IFERROR(D23/H23,"")</f>
        <v/>
      </c>
      <c r="J23" s="179" t="n">
        <v>89554705</v>
      </c>
      <c r="K23" s="179" t="n">
        <v>179109409</v>
      </c>
      <c r="L23" s="179" t="n">
        <v>268664114</v>
      </c>
    </row>
    <row r="24" ht="15" customHeight="1" s="95">
      <c r="A24" s="143" t="n">
        <v>43853</v>
      </c>
      <c r="B24" s="146" t="n">
        <v>1.002138</v>
      </c>
      <c r="C24" s="179" t="n">
        <v>458243977</v>
      </c>
      <c r="D24" s="179" t="n">
        <v>457266145</v>
      </c>
      <c r="E24" s="146" t="n">
        <v>0.998594</v>
      </c>
      <c r="F24" s="179" t="n">
        <v>4282886404</v>
      </c>
      <c r="G24" s="179" t="n">
        <v>4288917905</v>
      </c>
      <c r="H24" s="179">
        <f>IFERROR(D24+G24,D24)</f>
        <v/>
      </c>
      <c r="I24" s="184">
        <f>IFERROR(D24/H24,"")</f>
        <v/>
      </c>
      <c r="J24" s="179" t="n">
        <v>91453229</v>
      </c>
      <c r="K24" s="179" t="n">
        <v>182906458</v>
      </c>
      <c r="L24" s="179" t="n">
        <v>274359687</v>
      </c>
    </row>
    <row r="25" ht="15" customHeight="1" s="95">
      <c r="A25" s="143" t="n">
        <v>43854</v>
      </c>
      <c r="B25" s="146" t="n">
        <v>1.001818</v>
      </c>
      <c r="C25" s="179" t="n">
        <v>449166379</v>
      </c>
      <c r="D25" s="179" t="n">
        <v>448351160</v>
      </c>
      <c r="E25" s="146" t="n">
        <v>1.00099</v>
      </c>
      <c r="F25" s="179" t="n">
        <v>4279582980</v>
      </c>
      <c r="G25" s="179" t="n">
        <v>4275350766</v>
      </c>
      <c r="H25" s="179">
        <f>IFERROR(D25+G25,D25)</f>
        <v/>
      </c>
      <c r="I25" s="184">
        <f>IFERROR(D25/H25,"")</f>
        <v/>
      </c>
      <c r="J25" s="179" t="n">
        <v>89670232</v>
      </c>
      <c r="K25" s="179" t="n">
        <v>179340464</v>
      </c>
      <c r="L25" s="179" t="n">
        <v>269010696</v>
      </c>
    </row>
    <row r="26" ht="15" customHeight="1" s="95">
      <c r="A26" s="143" t="n">
        <v>43855</v>
      </c>
      <c r="B26" s="146" t="n">
        <v>1.001124</v>
      </c>
      <c r="C26" s="179" t="n">
        <v>449600265</v>
      </c>
      <c r="D26" s="179" t="n">
        <v>449095551</v>
      </c>
      <c r="E26" s="146" t="n">
        <v>0.999097</v>
      </c>
      <c r="F26" s="179" t="n">
        <v>4289750200</v>
      </c>
      <c r="G26" s="179" t="n">
        <v>4293625851</v>
      </c>
      <c r="H26" s="179">
        <f>IFERROR(D26+G26,D26)</f>
        <v/>
      </c>
      <c r="I26" s="184">
        <f>IFERROR(D26/H26,"")</f>
        <v/>
      </c>
      <c r="J26" s="179" t="n">
        <v>89819110</v>
      </c>
      <c r="K26" s="179" t="n">
        <v>179638220</v>
      </c>
      <c r="L26" s="179" t="n">
        <v>269457331</v>
      </c>
    </row>
    <row r="27" ht="15" customHeight="1" s="95">
      <c r="A27" s="143" t="n">
        <v>43856</v>
      </c>
      <c r="B27" s="146" t="n">
        <v>1.000664</v>
      </c>
      <c r="C27" s="179" t="n">
        <v>449476884</v>
      </c>
      <c r="D27" s="179" t="n">
        <v>449178671</v>
      </c>
      <c r="E27" s="146" t="n">
        <v>0.99875</v>
      </c>
      <c r="F27" s="179" t="n">
        <v>4283647990</v>
      </c>
      <c r="G27" s="179" t="n">
        <v>4289010974</v>
      </c>
      <c r="H27" s="179">
        <f>IFERROR(D27+G27,D27)</f>
        <v/>
      </c>
      <c r="I27" s="184">
        <f>IFERROR(D27/H27,"")</f>
        <v/>
      </c>
      <c r="J27" s="179" t="n">
        <v>89835734</v>
      </c>
      <c r="K27" s="179" t="n">
        <v>179671468</v>
      </c>
      <c r="L27" s="179" t="n">
        <v>269507203</v>
      </c>
    </row>
    <row r="28" ht="15" customHeight="1" s="95">
      <c r="A28" s="143" t="n">
        <v>43857</v>
      </c>
      <c r="B28" s="146" t="n">
        <v>1.002108</v>
      </c>
      <c r="C28" s="179" t="n">
        <v>449139167</v>
      </c>
      <c r="D28" s="179" t="n">
        <v>448194514</v>
      </c>
      <c r="E28" s="146" t="n">
        <v>0.999418</v>
      </c>
      <c r="F28" s="179" t="n">
        <v>4285728293</v>
      </c>
      <c r="G28" s="179" t="n">
        <v>4288225529</v>
      </c>
      <c r="H28" s="179">
        <f>IFERROR(D28+G28,D28)</f>
        <v/>
      </c>
      <c r="I28" s="184">
        <f>IFERROR(D28/H28,"")</f>
        <v/>
      </c>
      <c r="J28" s="179" t="n">
        <v>89638903</v>
      </c>
      <c r="K28" s="179" t="n">
        <v>179277806</v>
      </c>
      <c r="L28" s="179" t="n">
        <v>268916708</v>
      </c>
    </row>
    <row r="29" ht="15" customHeight="1" s="95">
      <c r="A29" s="143" t="n">
        <v>43858</v>
      </c>
      <c r="B29" s="146" t="n">
        <v>1.000433</v>
      </c>
      <c r="C29" s="179" t="n">
        <v>445977554</v>
      </c>
      <c r="D29" s="179" t="n">
        <v>445784343</v>
      </c>
      <c r="E29" s="146" t="n">
        <v>0.99732</v>
      </c>
      <c r="F29" s="179" t="n">
        <v>4277424753</v>
      </c>
      <c r="G29" s="179" t="n">
        <v>4288917905</v>
      </c>
      <c r="H29" s="179">
        <f>IFERROR(D29+G29,D29)</f>
        <v/>
      </c>
      <c r="I29" s="184">
        <f>IFERROR(D29/H29,"")</f>
        <v/>
      </c>
      <c r="J29" s="179" t="n">
        <v>89156869</v>
      </c>
      <c r="K29" s="179" t="n">
        <v>178313737</v>
      </c>
      <c r="L29" s="179" t="n">
        <v>267470606</v>
      </c>
    </row>
    <row r="30" ht="15" customHeight="1" s="95">
      <c r="A30" s="143" t="n">
        <v>43859</v>
      </c>
      <c r="B30" s="146" t="n">
        <v>1.001122</v>
      </c>
      <c r="C30" s="179" t="n">
        <v>446882008</v>
      </c>
      <c r="D30" s="179" t="n">
        <v>446380967</v>
      </c>
      <c r="E30" s="146" t="n">
        <v>0.99858</v>
      </c>
      <c r="F30" s="179" t="n">
        <v>4295159219</v>
      </c>
      <c r="G30" s="179" t="n">
        <v>4301268218</v>
      </c>
      <c r="H30" s="179">
        <f>IFERROR(D30+G30,D30)</f>
        <v/>
      </c>
      <c r="I30" s="184">
        <f>IFERROR(D30/H30,"")</f>
        <v/>
      </c>
      <c r="J30" s="179" t="n">
        <v>89276193</v>
      </c>
      <c r="K30" s="179" t="n">
        <v>178552387</v>
      </c>
      <c r="L30" s="179" t="n">
        <v>267828580</v>
      </c>
    </row>
    <row r="31" ht="15" customHeight="1" s="95">
      <c r="A31" s="143" t="n">
        <v>43860</v>
      </c>
      <c r="B31" s="146" t="n">
        <v>1.003073</v>
      </c>
      <c r="C31" s="179" t="n">
        <v>447850721</v>
      </c>
      <c r="D31" s="179" t="n">
        <v>446478586</v>
      </c>
      <c r="E31" s="146" t="n">
        <v>0.995919</v>
      </c>
      <c r="F31" s="179" t="n">
        <v>4276714293</v>
      </c>
      <c r="G31" s="179" t="n">
        <v>4294239897</v>
      </c>
      <c r="H31" s="179">
        <f>IFERROR(D31+G31,D31)</f>
        <v/>
      </c>
      <c r="I31" s="184">
        <f>IFERROR(D31/H31,"")</f>
        <v/>
      </c>
      <c r="J31" s="179" t="n">
        <v>89295717</v>
      </c>
      <c r="K31" s="179" t="n">
        <v>178591434</v>
      </c>
      <c r="L31" s="179" t="n">
        <v>267887152</v>
      </c>
    </row>
    <row r="32" ht="15" customHeight="1" s="95">
      <c r="A32" s="143" t="n">
        <v>43861</v>
      </c>
      <c r="B32" s="146" t="n">
        <v>1.007384</v>
      </c>
      <c r="C32" s="179" t="n">
        <v>442466920</v>
      </c>
      <c r="D32" s="179" t="n">
        <v>439223622</v>
      </c>
      <c r="E32" s="146" t="n">
        <v>1.000107</v>
      </c>
      <c r="F32" s="179" t="n">
        <v>4277899662</v>
      </c>
      <c r="G32" s="179" t="n">
        <v>4277441336</v>
      </c>
      <c r="H32" s="179">
        <f>IFERROR(D32+G32,D32)</f>
        <v/>
      </c>
      <c r="I32" s="184">
        <f>IFERROR(D32/H32,"")</f>
        <v/>
      </c>
      <c r="J32" s="179" t="n">
        <v>87844724</v>
      </c>
      <c r="K32" s="179" t="n">
        <v>175689449</v>
      </c>
      <c r="L32" s="179" t="n">
        <v>263534173</v>
      </c>
    </row>
    <row r="33" ht="15" customHeight="1" s="95">
      <c r="A33" s="143" t="n">
        <v>43862</v>
      </c>
      <c r="B33" s="146" t="n">
        <v>0.997591</v>
      </c>
      <c r="C33" s="179" t="n">
        <v>440802894</v>
      </c>
      <c r="D33" s="179" t="n">
        <v>441867551</v>
      </c>
      <c r="E33" s="146" t="n">
        <v>0.994972</v>
      </c>
      <c r="F33" s="179" t="n">
        <v>4277278307</v>
      </c>
      <c r="G33" s="179" t="n">
        <v>4298891739</v>
      </c>
      <c r="H33" s="179">
        <f>IFERROR(D33+G33,D33)</f>
        <v/>
      </c>
      <c r="I33" s="184">
        <f>IFERROR(D33/H33,"")</f>
        <v/>
      </c>
      <c r="J33" s="179" t="n">
        <v>88373510</v>
      </c>
      <c r="K33" s="179" t="n">
        <v>176747020</v>
      </c>
      <c r="L33" s="179" t="n">
        <v>265120531</v>
      </c>
    </row>
    <row r="34" ht="15" customHeight="1" s="95">
      <c r="A34" s="143" t="n">
        <v>43863</v>
      </c>
      <c r="B34" s="146" t="n">
        <v>1.000172</v>
      </c>
      <c r="C34" s="179" t="n">
        <v>438558615</v>
      </c>
      <c r="D34" s="179" t="n">
        <v>438483081</v>
      </c>
      <c r="E34" s="146" t="n">
        <v>0.997757</v>
      </c>
      <c r="F34" s="179" t="n">
        <v>4279297792</v>
      </c>
      <c r="G34" s="179" t="n">
        <v>4288917905</v>
      </c>
      <c r="H34" s="179">
        <f>IFERROR(D34+G34,D34)</f>
        <v/>
      </c>
      <c r="I34" s="184">
        <f>IFERROR(D34/H34,"")</f>
        <v/>
      </c>
      <c r="J34" s="179" t="n">
        <v>87696616</v>
      </c>
      <c r="K34" s="179" t="n">
        <v>175393232</v>
      </c>
      <c r="L34" s="179" t="n">
        <v>263089849</v>
      </c>
    </row>
    <row r="35" ht="15" customHeight="1" s="95">
      <c r="A35" s="143" t="n">
        <v>43864</v>
      </c>
      <c r="B35" s="146" t="n">
        <v>1.001787</v>
      </c>
      <c r="C35" s="179" t="n">
        <v>438330505</v>
      </c>
      <c r="D35" s="179" t="n">
        <v>437548495</v>
      </c>
      <c r="E35" s="146" t="n">
        <v>0.998672</v>
      </c>
      <c r="F35" s="179" t="n">
        <v>4285631681</v>
      </c>
      <c r="G35" s="179" t="n">
        <v>4291330809</v>
      </c>
      <c r="H35" s="179">
        <f>IFERROR(D35+G35,D35)</f>
        <v/>
      </c>
      <c r="I35" s="184">
        <f>IFERROR(D35/H35,"")</f>
        <v/>
      </c>
      <c r="J35" s="179" t="n">
        <v>87509699</v>
      </c>
      <c r="K35" s="179" t="n">
        <v>175019398</v>
      </c>
      <c r="L35" s="179" t="n">
        <v>262529097</v>
      </c>
    </row>
    <row r="36" ht="15" customHeight="1" s="95">
      <c r="A36" s="143" t="n">
        <v>43865</v>
      </c>
      <c r="B36" s="146" t="n">
        <v>1.003335</v>
      </c>
      <c r="C36" s="179" t="n">
        <v>437557126</v>
      </c>
      <c r="D36" s="179" t="n">
        <v>436102525</v>
      </c>
      <c r="E36" s="146" t="n">
        <v>1.000871</v>
      </c>
      <c r="F36" s="179" t="n">
        <v>4291651783</v>
      </c>
      <c r="G36" s="179" t="n">
        <v>4287917251</v>
      </c>
      <c r="H36" s="179">
        <f>IFERROR(D36+G36,D36)</f>
        <v/>
      </c>
      <c r="I36" s="184">
        <f>IFERROR(D36/H36,"")</f>
        <v/>
      </c>
      <c r="J36" s="179" t="n">
        <v>87220505</v>
      </c>
      <c r="K36" s="179" t="n">
        <v>174441010</v>
      </c>
      <c r="L36" s="179" t="n">
        <v>261661515</v>
      </c>
    </row>
    <row r="37" ht="15" customHeight="1" s="95">
      <c r="A37" s="143" t="n">
        <v>43866</v>
      </c>
      <c r="B37" s="146" t="n">
        <v>1.002667</v>
      </c>
      <c r="C37" s="179" t="n">
        <v>435829631</v>
      </c>
      <c r="D37" s="179" t="n">
        <v>434670416</v>
      </c>
      <c r="E37" s="146" t="n">
        <v>0.9979209999999999</v>
      </c>
      <c r="F37" s="179" t="n">
        <v>4279687870</v>
      </c>
      <c r="G37" s="179" t="n">
        <v>4288602420</v>
      </c>
      <c r="H37" s="179">
        <f>IFERROR(D37+G37,D37)</f>
        <v/>
      </c>
      <c r="I37" s="184">
        <f>IFERROR(D37/H37,"")</f>
        <v/>
      </c>
      <c r="J37" s="179" t="n">
        <v>86934083</v>
      </c>
      <c r="K37" s="179" t="n">
        <v>173868166</v>
      </c>
      <c r="L37" s="179" t="n">
        <v>260802250</v>
      </c>
    </row>
    <row r="38" ht="15" customHeight="1" s="95">
      <c r="A38" s="143" t="n">
        <v>43867</v>
      </c>
      <c r="B38" s="146" t="n">
        <v>1.00015</v>
      </c>
      <c r="C38" s="179" t="n">
        <v>426708639</v>
      </c>
      <c r="D38" s="179" t="n">
        <v>426644649</v>
      </c>
      <c r="E38" s="146" t="n">
        <v>0.99802</v>
      </c>
      <c r="F38" s="179" t="n">
        <v>4281286725</v>
      </c>
      <c r="G38" s="179" t="n">
        <v>4289779836</v>
      </c>
      <c r="H38" s="179">
        <f>IFERROR(D38+G38,D38)</f>
        <v/>
      </c>
      <c r="I38" s="184">
        <f>IFERROR(D38/H38,"")</f>
        <v/>
      </c>
      <c r="J38" s="179" t="n">
        <v>85328930</v>
      </c>
      <c r="K38" s="179" t="n">
        <v>170657860</v>
      </c>
      <c r="L38" s="179" t="n">
        <v>255986789</v>
      </c>
    </row>
    <row r="39" ht="15" customHeight="1" s="95">
      <c r="A39" s="143" t="n">
        <v>43868</v>
      </c>
      <c r="B39" s="146" t="n">
        <v>1.002281</v>
      </c>
      <c r="C39" s="179" t="n">
        <v>426671373</v>
      </c>
      <c r="D39" s="179" t="n">
        <v>425700330</v>
      </c>
      <c r="E39" s="146" t="n">
        <v>0.997937</v>
      </c>
      <c r="F39" s="179" t="n">
        <v>4280165005</v>
      </c>
      <c r="G39" s="179" t="n">
        <v>4289012113</v>
      </c>
      <c r="H39" s="179">
        <f>IFERROR(D39+G39,D39)</f>
        <v/>
      </c>
      <c r="I39" s="184">
        <f>IFERROR(D39/H39,"")</f>
        <v/>
      </c>
      <c r="J39" s="179" t="n">
        <v>85140066</v>
      </c>
      <c r="K39" s="179" t="n">
        <v>170280132</v>
      </c>
      <c r="L39" s="179" t="n">
        <v>255420198</v>
      </c>
    </row>
    <row r="40" ht="15" customHeight="1" s="95">
      <c r="A40" s="143" t="n">
        <v>43869</v>
      </c>
      <c r="B40" s="146" t="n">
        <v>1.001295</v>
      </c>
      <c r="C40" s="179" t="n">
        <v>423899680</v>
      </c>
      <c r="D40" s="179" t="n">
        <v>423351616</v>
      </c>
      <c r="E40" s="146" t="n">
        <v>0.999093</v>
      </c>
      <c r="F40" s="179" t="n">
        <v>4283434128</v>
      </c>
      <c r="G40" s="179" t="n">
        <v>4287324188</v>
      </c>
      <c r="H40" s="179">
        <f>IFERROR(D40+G40,D40)</f>
        <v/>
      </c>
      <c r="I40" s="184">
        <f>IFERROR(D40/H40,"")</f>
        <v/>
      </c>
      <c r="J40" s="179" t="n">
        <v>84670323</v>
      </c>
      <c r="K40" s="179" t="n">
        <v>169340646</v>
      </c>
      <c r="L40" s="179" t="n">
        <v>254010970</v>
      </c>
    </row>
    <row r="41" ht="15" customHeight="1" s="95">
      <c r="A41" s="143" t="n">
        <v>43870</v>
      </c>
      <c r="B41" s="146" t="n">
        <v>0.998512</v>
      </c>
      <c r="C41" s="179" t="n">
        <v>421470434</v>
      </c>
      <c r="D41" s="179" t="n">
        <v>422098391</v>
      </c>
      <c r="E41" s="146" t="n">
        <v>0.9987239999999999</v>
      </c>
      <c r="F41" s="179" t="n">
        <v>4283445364</v>
      </c>
      <c r="G41" s="179" t="n">
        <v>4288917905</v>
      </c>
      <c r="H41" s="179">
        <f>IFERROR(D41+G41,D41)</f>
        <v/>
      </c>
      <c r="I41" s="184">
        <f>IFERROR(D41/H41,"")</f>
        <v/>
      </c>
      <c r="J41" s="179" t="n">
        <v>84419678</v>
      </c>
      <c r="K41" s="179" t="n">
        <v>168839356</v>
      </c>
      <c r="L41" s="179" t="n">
        <v>253259035</v>
      </c>
    </row>
    <row r="42" ht="15" customHeight="1" s="95">
      <c r="A42" s="143" t="n">
        <v>43871</v>
      </c>
      <c r="B42" s="146" t="n">
        <v>1.001087</v>
      </c>
      <c r="C42" s="179" t="n">
        <v>426484982</v>
      </c>
      <c r="D42" s="179" t="n">
        <v>426022100</v>
      </c>
      <c r="E42" s="146" t="n">
        <v>1.00379</v>
      </c>
      <c r="F42" s="179" t="n">
        <v>4304246879</v>
      </c>
      <c r="G42" s="179" t="n">
        <v>4287994767</v>
      </c>
      <c r="H42" s="179">
        <f>IFERROR(D42+G42,D42)</f>
        <v/>
      </c>
      <c r="I42" s="184">
        <f>IFERROR(D42/H42,"")</f>
        <v/>
      </c>
      <c r="J42" s="179" t="n">
        <v>85204420</v>
      </c>
      <c r="K42" s="179" t="n">
        <v>170408840</v>
      </c>
      <c r="L42" s="179" t="n">
        <v>255613260</v>
      </c>
    </row>
    <row r="43" ht="15" customHeight="1" s="95">
      <c r="A43" s="143" t="n">
        <v>43872</v>
      </c>
      <c r="B43" s="146" t="n">
        <v>1.00056</v>
      </c>
      <c r="C43" s="179" t="n">
        <v>422144695</v>
      </c>
      <c r="D43" s="179" t="n">
        <v>421908633</v>
      </c>
      <c r="E43" s="146" t="n">
        <v>1.001175</v>
      </c>
      <c r="F43" s="179" t="n">
        <v>4293957672</v>
      </c>
      <c r="G43" s="179" t="n">
        <v>4288917905</v>
      </c>
      <c r="H43" s="179">
        <f>IFERROR(D43+G43,D43)</f>
        <v/>
      </c>
      <c r="I43" s="184">
        <f>IFERROR(D43/H43,"")</f>
        <v/>
      </c>
      <c r="J43" s="179" t="n">
        <v>84381727</v>
      </c>
      <c r="K43" s="179" t="n">
        <v>168763453</v>
      </c>
      <c r="L43" s="179" t="n">
        <v>253145180</v>
      </c>
    </row>
    <row r="44" ht="15" customHeight="1" s="95">
      <c r="A44" s="143" t="n">
        <v>43873</v>
      </c>
      <c r="B44" s="146" t="n">
        <v>0.996067</v>
      </c>
      <c r="C44" s="179" t="n">
        <v>420429610</v>
      </c>
      <c r="D44" s="179" t="n">
        <v>422089551</v>
      </c>
      <c r="E44" s="146" t="n">
        <v>0.999883</v>
      </c>
      <c r="F44" s="179" t="n">
        <v>4288414305</v>
      </c>
      <c r="G44" s="179" t="n">
        <v>4288917905</v>
      </c>
      <c r="H44" s="179">
        <f>IFERROR(D44+G44,D44)</f>
        <v/>
      </c>
      <c r="I44" s="184">
        <f>IFERROR(D44/H44,"")</f>
        <v/>
      </c>
      <c r="J44" s="179" t="n">
        <v>84417910</v>
      </c>
      <c r="K44" s="179" t="n">
        <v>168835820</v>
      </c>
      <c r="L44" s="179" t="n">
        <v>253253731</v>
      </c>
    </row>
    <row r="45" ht="15" customHeight="1" s="95">
      <c r="A45" s="143" t="n">
        <v>43874</v>
      </c>
      <c r="B45" s="146" t="n">
        <v>0.997951</v>
      </c>
      <c r="C45" s="179" t="n">
        <v>430565815</v>
      </c>
      <c r="D45" s="179" t="n">
        <v>431449680</v>
      </c>
      <c r="E45" s="146" t="n">
        <v>0.9996699999999999</v>
      </c>
      <c r="F45" s="179" t="n">
        <v>4276982477</v>
      </c>
      <c r="G45" s="179" t="n">
        <v>4278393954</v>
      </c>
      <c r="H45" s="179">
        <f>IFERROR(D45+G45,D45)</f>
        <v/>
      </c>
      <c r="I45" s="184">
        <f>IFERROR(D45/H45,"")</f>
        <v/>
      </c>
      <c r="J45" s="179" t="n">
        <v>86289936</v>
      </c>
      <c r="K45" s="179" t="n">
        <v>172579872</v>
      </c>
      <c r="L45" s="179" t="n">
        <v>258869808</v>
      </c>
    </row>
    <row r="46" ht="15" customHeight="1" s="95">
      <c r="A46" s="143" t="n">
        <v>43875</v>
      </c>
      <c r="B46" s="146" t="n">
        <v>0.999512</v>
      </c>
      <c r="C46" s="179" t="n">
        <v>429206850</v>
      </c>
      <c r="D46" s="179" t="n">
        <v>429416223</v>
      </c>
      <c r="E46" s="146" t="n">
        <v>0.999067</v>
      </c>
      <c r="F46" s="179" t="n">
        <v>4279251912</v>
      </c>
      <c r="G46" s="179" t="n">
        <v>4283249113</v>
      </c>
      <c r="H46" s="179">
        <f>IFERROR(D46+G46,D46)</f>
        <v/>
      </c>
      <c r="I46" s="184">
        <f>IFERROR(D46/H46,"")</f>
        <v/>
      </c>
      <c r="J46" s="179" t="n">
        <v>85883245</v>
      </c>
      <c r="K46" s="179" t="n">
        <v>171766489</v>
      </c>
      <c r="L46" s="179" t="n">
        <v>257649734</v>
      </c>
    </row>
    <row r="47" ht="15" customHeight="1" s="95">
      <c r="A47" s="143" t="n">
        <v>43876</v>
      </c>
      <c r="B47" s="146" t="n">
        <v>0.996852</v>
      </c>
      <c r="C47" s="179" t="n">
        <v>429538978</v>
      </c>
      <c r="D47" s="179" t="n">
        <v>430895620</v>
      </c>
      <c r="E47" s="146" t="n">
        <v>0.9987510000000001</v>
      </c>
      <c r="F47" s="179" t="n">
        <v>4283562617</v>
      </c>
      <c r="G47" s="179" t="n">
        <v>4288917905</v>
      </c>
      <c r="H47" s="179">
        <f>IFERROR(D47+G47,D47)</f>
        <v/>
      </c>
      <c r="I47" s="184">
        <f>IFERROR(D47/H47,"")</f>
        <v/>
      </c>
      <c r="J47" s="179" t="n">
        <v>86179124</v>
      </c>
      <c r="K47" s="179" t="n">
        <v>172358248</v>
      </c>
      <c r="L47" s="179" t="n">
        <v>258537372</v>
      </c>
    </row>
    <row r="48" ht="15" customHeight="1" s="95">
      <c r="A48" s="143" t="n">
        <v>43877</v>
      </c>
      <c r="B48" s="146" t="n">
        <v>0.999291</v>
      </c>
      <c r="C48" s="179" t="n">
        <v>429266918</v>
      </c>
      <c r="D48" s="179" t="n">
        <v>429571681</v>
      </c>
      <c r="E48" s="146" t="n">
        <v>0.999851</v>
      </c>
      <c r="F48" s="179" t="n">
        <v>4282126676</v>
      </c>
      <c r="G48" s="179" t="n">
        <v>4282764848</v>
      </c>
      <c r="H48" s="179">
        <f>IFERROR(D48+G48,D48)</f>
        <v/>
      </c>
      <c r="I48" s="184">
        <f>IFERROR(D48/H48,"")</f>
        <v/>
      </c>
      <c r="J48" s="179" t="n">
        <v>85914336</v>
      </c>
      <c r="K48" s="179" t="n">
        <v>171828672</v>
      </c>
      <c r="L48" s="179" t="n">
        <v>257743009</v>
      </c>
    </row>
    <row r="49" ht="15" customHeight="1" s="95">
      <c r="A49" s="143" t="n">
        <v>43878</v>
      </c>
      <c r="B49" s="146" t="n">
        <v>0.997244</v>
      </c>
      <c r="C49" s="179" t="n">
        <v>430850991</v>
      </c>
      <c r="D49" s="179" t="n">
        <v>432041531</v>
      </c>
      <c r="E49" s="146" t="n">
        <v>0.998739</v>
      </c>
      <c r="F49" s="179" t="n">
        <v>4287194543</v>
      </c>
      <c r="G49" s="179" t="n">
        <v>4292606435</v>
      </c>
      <c r="H49" s="179">
        <f>IFERROR(D49+G49,D49)</f>
        <v/>
      </c>
      <c r="I49" s="184">
        <f>IFERROR(D49/H49,"")</f>
        <v/>
      </c>
      <c r="J49" s="179" t="n">
        <v>86408306</v>
      </c>
      <c r="K49" s="179" t="n">
        <v>172816612</v>
      </c>
      <c r="L49" s="179" t="n">
        <v>259224919</v>
      </c>
    </row>
    <row r="50" ht="15" customHeight="1" s="95">
      <c r="A50" s="143" t="n">
        <v>43879</v>
      </c>
      <c r="B50" s="146" t="n">
        <v>1.000495</v>
      </c>
      <c r="C50" s="179" t="n">
        <v>430318294</v>
      </c>
      <c r="D50" s="179" t="n">
        <v>430105318</v>
      </c>
      <c r="E50" s="146" t="n">
        <v>1.003152</v>
      </c>
      <c r="F50" s="179" t="n">
        <v>4296553112</v>
      </c>
      <c r="G50" s="179" t="n">
        <v>4283051048</v>
      </c>
      <c r="H50" s="179">
        <f>IFERROR(D50+G50,D50)</f>
        <v/>
      </c>
      <c r="I50" s="184">
        <f>IFERROR(D50/H50,"")</f>
        <v/>
      </c>
      <c r="J50" s="179" t="n">
        <v>86021064</v>
      </c>
      <c r="K50" s="179" t="n">
        <v>172042127</v>
      </c>
      <c r="L50" s="179" t="n">
        <v>258063191</v>
      </c>
    </row>
    <row r="51" ht="15" customHeight="1" s="95">
      <c r="A51" s="143" t="n">
        <v>43880</v>
      </c>
      <c r="B51" s="146" t="n">
        <v>0.996572</v>
      </c>
      <c r="C51" s="179" t="n">
        <v>432640417</v>
      </c>
      <c r="D51" s="179" t="n">
        <v>434128508</v>
      </c>
      <c r="E51" s="146" t="n">
        <v>0.998916</v>
      </c>
      <c r="F51" s="179" t="n">
        <v>4285326170</v>
      </c>
      <c r="G51" s="179" t="n">
        <v>4289975258</v>
      </c>
      <c r="H51" s="179">
        <f>IFERROR(D51+G51,D51)</f>
        <v/>
      </c>
      <c r="I51" s="184">
        <f>IFERROR(D51/H51,"")</f>
        <v/>
      </c>
      <c r="J51" s="179" t="n">
        <v>86825702</v>
      </c>
      <c r="K51" s="179" t="n">
        <v>173651403</v>
      </c>
      <c r="L51" s="179" t="n">
        <v>260477105</v>
      </c>
    </row>
    <row r="52" ht="15" customHeight="1" s="95">
      <c r="A52" s="143" t="n">
        <v>43881</v>
      </c>
      <c r="B52" s="146" t="n">
        <v>0.99977</v>
      </c>
      <c r="C52" s="179" t="n">
        <v>434416692</v>
      </c>
      <c r="D52" s="179" t="n">
        <v>434516557</v>
      </c>
      <c r="E52" s="146" t="n">
        <v>0.998576</v>
      </c>
      <c r="F52" s="179" t="n">
        <v>4282876600</v>
      </c>
      <c r="G52" s="179" t="n">
        <v>4288982487</v>
      </c>
      <c r="H52" s="179">
        <f>IFERROR(D52+G52,D52)</f>
        <v/>
      </c>
      <c r="I52" s="184">
        <f>IFERROR(D52/H52,"")</f>
        <v/>
      </c>
      <c r="J52" s="179" t="n">
        <v>86903311</v>
      </c>
      <c r="K52" s="179" t="n">
        <v>173806623</v>
      </c>
      <c r="L52" s="179" t="n">
        <v>260709934</v>
      </c>
    </row>
    <row r="53" ht="15" customHeight="1" s="95">
      <c r="A53" s="143" t="n">
        <v>43882</v>
      </c>
      <c r="B53" s="146" t="n">
        <v>0.999722</v>
      </c>
      <c r="C53" s="179" t="n">
        <v>425180738</v>
      </c>
      <c r="D53" s="179" t="n">
        <v>425298896</v>
      </c>
      <c r="E53" s="146" t="n">
        <v>1.000023</v>
      </c>
      <c r="F53" s="179" t="n">
        <v>4287659834</v>
      </c>
      <c r="G53" s="179" t="n">
        <v>4287560478</v>
      </c>
      <c r="H53" s="179">
        <f>IFERROR(D53+G53,D53)</f>
        <v/>
      </c>
      <c r="I53" s="184">
        <f>IFERROR(D53/H53,"")</f>
        <v/>
      </c>
      <c r="J53" s="179" t="n">
        <v>85059779</v>
      </c>
      <c r="K53" s="179" t="n">
        <v>170119558</v>
      </c>
      <c r="L53" s="179" t="n">
        <v>255179338</v>
      </c>
    </row>
    <row r="54" ht="15" customHeight="1" s="95">
      <c r="A54" s="143" t="n">
        <v>43883</v>
      </c>
      <c r="B54" s="146" t="n">
        <v>0.997794</v>
      </c>
      <c r="C54" s="179" t="n">
        <v>424407128</v>
      </c>
      <c r="D54" s="179" t="n">
        <v>425345264</v>
      </c>
      <c r="E54" s="146" t="n">
        <v>0.998378</v>
      </c>
      <c r="F54" s="179" t="n">
        <v>4286189909</v>
      </c>
      <c r="G54" s="179" t="n">
        <v>4293153491</v>
      </c>
      <c r="H54" s="179">
        <f>IFERROR(D54+G54,D54)</f>
        <v/>
      </c>
      <c r="I54" s="184">
        <f>IFERROR(D54/H54,"")</f>
        <v/>
      </c>
      <c r="J54" s="179" t="n">
        <v>85069053</v>
      </c>
      <c r="K54" s="179" t="n">
        <v>170138106</v>
      </c>
      <c r="L54" s="179" t="n">
        <v>255207158</v>
      </c>
    </row>
    <row r="55" ht="15" customHeight="1" s="95">
      <c r="A55" s="143" t="n">
        <v>43884</v>
      </c>
      <c r="B55" s="146" t="n">
        <v>0.998707</v>
      </c>
      <c r="C55" s="179" t="n">
        <v>425934494</v>
      </c>
      <c r="D55" s="179" t="n">
        <v>426486119</v>
      </c>
      <c r="E55" s="146" t="n">
        <v>0.999835</v>
      </c>
      <c r="F55" s="179" t="n">
        <v>4285130709</v>
      </c>
      <c r="G55" s="179" t="n">
        <v>4285837483</v>
      </c>
      <c r="H55" s="179">
        <f>IFERROR(D55+G55,D55)</f>
        <v/>
      </c>
      <c r="I55" s="184">
        <f>IFERROR(D55/H55,"")</f>
        <v/>
      </c>
      <c r="J55" s="179" t="n">
        <v>85297224</v>
      </c>
      <c r="K55" s="179" t="n">
        <v>170594448</v>
      </c>
      <c r="L55" s="179" t="n">
        <v>255891671</v>
      </c>
    </row>
    <row r="56" ht="15" customHeight="1" s="95">
      <c r="A56" s="143" t="n">
        <v>43885</v>
      </c>
      <c r="B56" s="146" t="n">
        <v>0.995675</v>
      </c>
      <c r="C56" s="179" t="n">
        <v>424523237</v>
      </c>
      <c r="D56" s="179" t="n">
        <v>426367316</v>
      </c>
      <c r="E56" s="146" t="n">
        <v>1.000592</v>
      </c>
      <c r="F56" s="179" t="n">
        <v>4294456127</v>
      </c>
      <c r="G56" s="179" t="n">
        <v>4291914941</v>
      </c>
      <c r="H56" s="179">
        <f>IFERROR(D56+G56,D56)</f>
        <v/>
      </c>
      <c r="I56" s="184">
        <f>IFERROR(D56/H56,"")</f>
        <v/>
      </c>
      <c r="J56" s="179" t="n">
        <v>85273463</v>
      </c>
      <c r="K56" s="179" t="n">
        <v>170546926</v>
      </c>
      <c r="L56" s="179" t="n">
        <v>255820390</v>
      </c>
    </row>
    <row r="57" ht="15" customHeight="1" s="95">
      <c r="A57" s="143" t="n">
        <v>43886</v>
      </c>
      <c r="B57" s="146" t="n">
        <v>1.000098</v>
      </c>
      <c r="C57" s="179" t="n">
        <v>427141133</v>
      </c>
      <c r="D57" s="179" t="n">
        <v>427099230</v>
      </c>
      <c r="E57" s="146" t="n">
        <v>1.001962</v>
      </c>
      <c r="F57" s="179" t="n">
        <v>4289228245</v>
      </c>
      <c r="G57" s="179" t="n">
        <v>4280828995</v>
      </c>
      <c r="H57" s="179">
        <f>IFERROR(D57+G57,D57)</f>
        <v/>
      </c>
      <c r="I57" s="184">
        <f>IFERROR(D57/H57,"")</f>
        <v/>
      </c>
      <c r="J57" s="179" t="n">
        <v>85419846</v>
      </c>
      <c r="K57" s="179" t="n">
        <v>170839692</v>
      </c>
      <c r="L57" s="179" t="n">
        <v>256259538</v>
      </c>
    </row>
    <row r="58" ht="15" customHeight="1" s="95">
      <c r="A58" s="143" t="n">
        <v>43887</v>
      </c>
      <c r="B58" s="146" t="n">
        <v>1.000611</v>
      </c>
      <c r="C58" s="179" t="n">
        <v>428152154</v>
      </c>
      <c r="D58" s="179" t="n">
        <v>427890794</v>
      </c>
      <c r="E58" s="146" t="n">
        <v>0.998178</v>
      </c>
      <c r="F58" s="179" t="n">
        <v>4284267566</v>
      </c>
      <c r="G58" s="179" t="n">
        <v>4292089535</v>
      </c>
      <c r="H58" s="179">
        <f>IFERROR(D58+G58,D58)</f>
        <v/>
      </c>
      <c r="I58" s="184">
        <f>IFERROR(D58/H58,"")</f>
        <v/>
      </c>
      <c r="J58" s="179" t="n">
        <v>85578159</v>
      </c>
      <c r="K58" s="179" t="n">
        <v>171156318</v>
      </c>
      <c r="L58" s="179" t="n">
        <v>256734476</v>
      </c>
    </row>
    <row r="59" ht="15" customHeight="1" s="95">
      <c r="A59" s="143" t="n">
        <v>43888</v>
      </c>
      <c r="B59" s="146" t="n">
        <v>1.001176</v>
      </c>
      <c r="C59" s="179" t="n">
        <v>430280212</v>
      </c>
      <c r="D59" s="179" t="n">
        <v>429774814</v>
      </c>
      <c r="E59" s="146" t="n">
        <v>0.999237</v>
      </c>
      <c r="F59" s="179" t="n">
        <v>4279357850</v>
      </c>
      <c r="G59" s="179" t="n">
        <v>4282625172</v>
      </c>
      <c r="H59" s="179">
        <f>IFERROR(D59+G59,D59)</f>
        <v/>
      </c>
      <c r="I59" s="184">
        <f>IFERROR(D59/H59,"")</f>
        <v/>
      </c>
      <c r="J59" s="179" t="n">
        <v>85954963</v>
      </c>
      <c r="K59" s="179" t="n">
        <v>171909926</v>
      </c>
      <c r="L59" s="179" t="n">
        <v>257864888</v>
      </c>
    </row>
    <row r="60" ht="15" customHeight="1" s="95">
      <c r="A60" s="143" t="n">
        <v>43889</v>
      </c>
      <c r="B60" s="146" t="n">
        <v>1.002395</v>
      </c>
      <c r="C60" s="179" t="n">
        <v>442683070</v>
      </c>
      <c r="D60" s="179" t="n">
        <v>441625219</v>
      </c>
      <c r="E60" s="146" t="n">
        <v>0.999718</v>
      </c>
      <c r="F60" s="179" t="n">
        <v>4290501476</v>
      </c>
      <c r="G60" s="179" t="n">
        <v>4291711970</v>
      </c>
      <c r="H60" s="179">
        <f>IFERROR(D60+G60,D60)</f>
        <v/>
      </c>
      <c r="I60" s="184">
        <f>IFERROR(D60/H60,"")</f>
        <v/>
      </c>
      <c r="J60" s="179" t="n">
        <v>88325044</v>
      </c>
      <c r="K60" s="179" t="n">
        <v>176650088</v>
      </c>
      <c r="L60" s="179" t="n">
        <v>264975131</v>
      </c>
    </row>
    <row r="61" ht="15" customHeight="1" s="95">
      <c r="A61" s="143" t="n">
        <v>43890</v>
      </c>
      <c r="B61" s="146" t="n">
        <v>0.99721</v>
      </c>
      <c r="C61" s="179" t="n">
        <v>444737275</v>
      </c>
      <c r="D61" s="179" t="n">
        <v>445981572</v>
      </c>
      <c r="E61" s="146" t="n">
        <v>1.000058</v>
      </c>
      <c r="F61" s="179" t="n">
        <v>4284583525</v>
      </c>
      <c r="G61" s="179" t="n">
        <v>4284333789</v>
      </c>
      <c r="H61" s="179">
        <f>IFERROR(D61+G61,D61)</f>
        <v/>
      </c>
      <c r="I61" s="184">
        <f>IFERROR(D61/H61,"")</f>
        <v/>
      </c>
      <c r="J61" s="179" t="n">
        <v>89196314</v>
      </c>
      <c r="K61" s="179" t="n">
        <v>178392629</v>
      </c>
      <c r="L61" s="179" t="n">
        <v>267588943</v>
      </c>
    </row>
    <row r="62" ht="15" customHeight="1" s="95">
      <c r="A62" s="143" t="n">
        <v>43891</v>
      </c>
      <c r="B62" s="146" t="n">
        <v>0.998244</v>
      </c>
      <c r="C62" s="179" t="n">
        <v>444538917</v>
      </c>
      <c r="D62" s="179" t="n">
        <v>445321007</v>
      </c>
      <c r="E62" s="146" t="n">
        <v>0.9987549999999999</v>
      </c>
      <c r="F62" s="179" t="n">
        <v>4281707677</v>
      </c>
      <c r="G62" s="179" t="n">
        <v>4287046444</v>
      </c>
      <c r="H62" s="179">
        <f>IFERROR(D62+G62,D62)</f>
        <v/>
      </c>
      <c r="I62" s="184">
        <f>IFERROR(D62/H62,"")</f>
        <v/>
      </c>
      <c r="J62" s="179" t="n">
        <v>89064201</v>
      </c>
      <c r="K62" s="179" t="n">
        <v>178128403</v>
      </c>
      <c r="L62" s="179" t="n">
        <v>267192604</v>
      </c>
    </row>
    <row r="63" ht="15" customHeight="1" s="95">
      <c r="A63" s="143" t="n">
        <v>43892</v>
      </c>
      <c r="B63" s="146" t="n">
        <v>1.003307</v>
      </c>
      <c r="C63" s="179" t="n">
        <v>445667651</v>
      </c>
      <c r="D63" s="179" t="n">
        <v>444198487</v>
      </c>
      <c r="E63" s="146" t="n">
        <v>1.001386</v>
      </c>
      <c r="F63" s="179" t="n">
        <v>4287586058</v>
      </c>
      <c r="G63" s="179" t="n">
        <v>4281649871</v>
      </c>
      <c r="H63" s="179">
        <f>IFERROR(D63+G63,D63)</f>
        <v/>
      </c>
      <c r="I63" s="184">
        <f>IFERROR(D63/H63,"")</f>
        <v/>
      </c>
      <c r="J63" s="179" t="n">
        <v>88839697</v>
      </c>
      <c r="K63" s="179" t="n">
        <v>177679395</v>
      </c>
      <c r="L63" s="179" t="n">
        <v>266519092</v>
      </c>
    </row>
    <row r="64" ht="15" customHeight="1" s="95">
      <c r="A64" s="143" t="n">
        <v>43893</v>
      </c>
      <c r="B64" s="146" t="n">
        <v>1.000199</v>
      </c>
      <c r="C64" s="179" t="n">
        <v>457244830</v>
      </c>
      <c r="D64" s="179" t="n">
        <v>457153944</v>
      </c>
      <c r="E64" s="146" t="n">
        <v>1.000333</v>
      </c>
      <c r="F64" s="179" t="n">
        <v>4287612678</v>
      </c>
      <c r="G64" s="179" t="n">
        <v>4286185822</v>
      </c>
      <c r="H64" s="179">
        <f>IFERROR(D64+G64,D64)</f>
        <v/>
      </c>
      <c r="I64" s="184">
        <f>IFERROR(D64/H64,"")</f>
        <v/>
      </c>
      <c r="J64" s="179" t="n">
        <v>91430789</v>
      </c>
      <c r="K64" s="179" t="n">
        <v>182861578</v>
      </c>
      <c r="L64" s="179" t="n">
        <v>274292366</v>
      </c>
    </row>
    <row r="65" ht="15" customHeight="1" s="95">
      <c r="A65" s="143" t="n">
        <v>43894</v>
      </c>
      <c r="B65" s="146" t="n">
        <v>1.000404</v>
      </c>
      <c r="C65" s="179" t="n">
        <v>468968352</v>
      </c>
      <c r="D65" s="179" t="n">
        <v>468778739</v>
      </c>
      <c r="E65" s="146" t="n">
        <v>1.000839</v>
      </c>
      <c r="F65" s="179" t="n">
        <v>4290848897</v>
      </c>
      <c r="G65" s="179" t="n">
        <v>4287250473</v>
      </c>
      <c r="H65" s="179">
        <f>IFERROR(D65+G65,D65)</f>
        <v/>
      </c>
      <c r="I65" s="184">
        <f>IFERROR(D65/H65,"")</f>
        <v/>
      </c>
      <c r="J65" s="179" t="n">
        <v>93755748</v>
      </c>
      <c r="K65" s="179" t="n">
        <v>187511496</v>
      </c>
      <c r="L65" s="179" t="n">
        <v>281267243</v>
      </c>
    </row>
    <row r="66" ht="15" customHeight="1" s="95">
      <c r="A66" s="143" t="n">
        <v>43895</v>
      </c>
      <c r="B66" s="146" t="n">
        <v>1.001061</v>
      </c>
      <c r="C66" s="179" t="n">
        <v>468927308</v>
      </c>
      <c r="D66" s="179" t="n">
        <v>468430438</v>
      </c>
      <c r="E66" s="146" t="n">
        <v>1.001649</v>
      </c>
      <c r="F66" s="179" t="n">
        <v>4294158069</v>
      </c>
      <c r="G66" s="179" t="n">
        <v>4287090452</v>
      </c>
      <c r="H66" s="179">
        <f>IFERROR(D66+G66,D66)</f>
        <v/>
      </c>
      <c r="I66" s="184">
        <f>IFERROR(D66/H66,"")</f>
        <v/>
      </c>
      <c r="J66" s="179" t="n">
        <v>93686088</v>
      </c>
      <c r="K66" s="179" t="n">
        <v>187372175</v>
      </c>
      <c r="L66" s="179" t="n">
        <v>281058263</v>
      </c>
    </row>
    <row r="67" ht="15" customHeight="1" s="95">
      <c r="A67" s="143" t="n">
        <v>43896</v>
      </c>
      <c r="B67" s="146" t="n">
        <v>0.999075</v>
      </c>
      <c r="C67" s="179" t="n">
        <v>462571692</v>
      </c>
      <c r="D67" s="179" t="n">
        <v>463000131</v>
      </c>
      <c r="E67" s="146" t="n">
        <v>0.999044</v>
      </c>
      <c r="F67" s="179" t="n">
        <v>4283452585</v>
      </c>
      <c r="G67" s="179" t="n">
        <v>4287551148</v>
      </c>
      <c r="H67" s="179">
        <f>IFERROR(D67+G67,D67)</f>
        <v/>
      </c>
      <c r="I67" s="184">
        <f>IFERROR(D67/H67,"")</f>
        <v/>
      </c>
      <c r="J67" s="179" t="n">
        <v>92600026</v>
      </c>
      <c r="K67" s="179" t="n">
        <v>185200052</v>
      </c>
      <c r="L67" s="179" t="n">
        <v>277800079</v>
      </c>
    </row>
    <row r="68" ht="15" customHeight="1" s="95">
      <c r="A68" s="143" t="n">
        <v>43897</v>
      </c>
      <c r="B68" s="146" t="n">
        <v>0.998138</v>
      </c>
      <c r="C68" s="179" t="n">
        <v>462713791</v>
      </c>
      <c r="D68" s="179" t="n">
        <v>463576835</v>
      </c>
      <c r="E68" s="146" t="n">
        <v>1.000406</v>
      </c>
      <c r="F68" s="179" t="n">
        <v>4292195689</v>
      </c>
      <c r="G68" s="179" t="n">
        <v>4290451639</v>
      </c>
      <c r="H68" s="179">
        <f>IFERROR(D68+G68,D68)</f>
        <v/>
      </c>
      <c r="I68" s="184">
        <f>IFERROR(D68/H68,"")</f>
        <v/>
      </c>
      <c r="J68" s="179" t="n">
        <v>92715367</v>
      </c>
      <c r="K68" s="179" t="n">
        <v>185430734</v>
      </c>
      <c r="L68" s="179" t="n">
        <v>278146101</v>
      </c>
    </row>
    <row r="69" ht="15" customHeight="1" s="95">
      <c r="A69" s="143" t="n">
        <v>43898</v>
      </c>
      <c r="B69" s="146" t="n">
        <v>1.000679</v>
      </c>
      <c r="C69" s="179" t="n">
        <v>464653647</v>
      </c>
      <c r="D69" s="179" t="n">
        <v>464338492</v>
      </c>
      <c r="E69" s="146" t="n">
        <v>1.00107</v>
      </c>
      <c r="F69" s="179" t="n">
        <v>4288082506</v>
      </c>
      <c r="G69" s="179" t="n">
        <v>4283498728</v>
      </c>
      <c r="H69" s="179">
        <f>IFERROR(D69+G69,D69)</f>
        <v/>
      </c>
      <c r="I69" s="184">
        <f>IFERROR(D69/H69,"")</f>
        <v/>
      </c>
      <c r="J69" s="179" t="n">
        <v>92867698</v>
      </c>
      <c r="K69" s="179" t="n">
        <v>185735397</v>
      </c>
      <c r="L69" s="179" t="n">
        <v>278603095</v>
      </c>
    </row>
    <row r="70" ht="15" customHeight="1" s="95">
      <c r="A70" s="143" t="n">
        <v>43899</v>
      </c>
      <c r="B70" s="146" t="n">
        <v>1.001439</v>
      </c>
      <c r="C70" s="179" t="n">
        <v>460009438</v>
      </c>
      <c r="D70" s="179" t="n">
        <v>459348378</v>
      </c>
      <c r="E70" s="146" t="n">
        <v>0.9959</v>
      </c>
      <c r="F70" s="179" t="n">
        <v>4262796415</v>
      </c>
      <c r="G70" s="179" t="n">
        <v>4280345289</v>
      </c>
      <c r="H70" s="179">
        <f>IFERROR(D70+G70,D70)</f>
        <v/>
      </c>
      <c r="I70" s="184">
        <f>IFERROR(D70/H70,"")</f>
        <v/>
      </c>
      <c r="J70" s="179" t="n">
        <v>91869676</v>
      </c>
      <c r="K70" s="179" t="n">
        <v>183739351</v>
      </c>
      <c r="L70" s="179" t="n">
        <v>275609027</v>
      </c>
    </row>
    <row r="71" ht="15" customHeight="1" s="95">
      <c r="A71" s="143" t="n">
        <v>43900</v>
      </c>
      <c r="B71" s="146" t="n">
        <v>1.000751</v>
      </c>
      <c r="C71" s="179" t="n">
        <v>460225304</v>
      </c>
      <c r="D71" s="179" t="n">
        <v>459879911</v>
      </c>
      <c r="E71" s="146" t="n">
        <v>1.003455</v>
      </c>
      <c r="F71" s="179" t="n">
        <v>4299840152</v>
      </c>
      <c r="G71" s="179" t="n">
        <v>4285035498</v>
      </c>
      <c r="H71" s="179">
        <f>IFERROR(D71+G71,D71)</f>
        <v/>
      </c>
      <c r="I71" s="184">
        <f>IFERROR(D71/H71,"")</f>
        <v/>
      </c>
      <c r="J71" s="179" t="n">
        <v>91975982</v>
      </c>
      <c r="K71" s="179" t="n">
        <v>183951964</v>
      </c>
      <c r="L71" s="179" t="n">
        <v>275927947</v>
      </c>
    </row>
    <row r="72" ht="15" customHeight="1" s="95">
      <c r="A72" s="143" t="n">
        <v>43901</v>
      </c>
      <c r="B72" s="146" t="n">
        <v>1.001644</v>
      </c>
      <c r="C72" s="179" t="n">
        <v>457583949</v>
      </c>
      <c r="D72" s="179" t="n">
        <v>456833055</v>
      </c>
      <c r="E72" s="146" t="n">
        <v>1.00053</v>
      </c>
      <c r="F72" s="179" t="n">
        <v>4301130617</v>
      </c>
      <c r="G72" s="179" t="n">
        <v>4298852635</v>
      </c>
      <c r="H72" s="179">
        <f>IFERROR(D72+G72,D72)</f>
        <v/>
      </c>
      <c r="I72" s="184">
        <f>IFERROR(D72/H72,"")</f>
        <v/>
      </c>
      <c r="J72" s="179" t="n">
        <v>91366611</v>
      </c>
      <c r="K72" s="179" t="n">
        <v>182733222</v>
      </c>
      <c r="L72" s="179" t="n">
        <v>274099833</v>
      </c>
    </row>
    <row r="73" ht="15" customHeight="1" s="95">
      <c r="A73" s="143" t="n">
        <v>43902</v>
      </c>
      <c r="B73" s="146" t="n">
        <v>1.001604</v>
      </c>
      <c r="C73" s="179" t="n">
        <v>467915567</v>
      </c>
      <c r="D73" s="179" t="n">
        <v>467166368</v>
      </c>
      <c r="E73" s="146" t="n">
        <v>0.998817</v>
      </c>
      <c r="F73" s="179" t="n">
        <v>4311456649</v>
      </c>
      <c r="G73" s="179" t="n">
        <v>4316564013</v>
      </c>
      <c r="H73" s="179">
        <f>IFERROR(D73+G73,D73)</f>
        <v/>
      </c>
      <c r="I73" s="184">
        <f>IFERROR(D73/H73,"")</f>
        <v/>
      </c>
      <c r="J73" s="179" t="n">
        <v>93433274</v>
      </c>
      <c r="K73" s="179" t="n">
        <v>186866547</v>
      </c>
      <c r="L73" s="179" t="n">
        <v>280299821</v>
      </c>
    </row>
    <row r="74" ht="15" customHeight="1" s="95">
      <c r="A74" s="143" t="n">
        <v>43903</v>
      </c>
      <c r="B74" s="146" t="n">
        <v>1.004728</v>
      </c>
      <c r="C74" s="179" t="n">
        <v>518795787</v>
      </c>
      <c r="D74" s="179" t="n">
        <v>516354270</v>
      </c>
      <c r="E74" s="146" t="n">
        <v>0.9872919999999999</v>
      </c>
      <c r="F74" s="179" t="n">
        <v>4308381652</v>
      </c>
      <c r="G74" s="179" t="n">
        <v>4363835523</v>
      </c>
      <c r="H74" s="179">
        <f>IFERROR(D74+G74,D74)</f>
        <v/>
      </c>
      <c r="I74" s="184">
        <f>IFERROR(D74/H74,"")</f>
        <v/>
      </c>
      <c r="J74" s="179" t="n">
        <v>103270854</v>
      </c>
      <c r="K74" s="179" t="n">
        <v>206541708</v>
      </c>
      <c r="L74" s="179" t="n">
        <v>309812562</v>
      </c>
    </row>
    <row r="75" ht="15" customHeight="1" s="95">
      <c r="A75" s="143" t="n">
        <v>43904</v>
      </c>
      <c r="B75" s="146" t="n">
        <v>0.99834</v>
      </c>
      <c r="C75" s="179" t="n">
        <v>563821751</v>
      </c>
      <c r="D75" s="179" t="n">
        <v>564759107</v>
      </c>
      <c r="E75" s="146" t="n">
        <v>1.01229</v>
      </c>
      <c r="F75" s="179" t="n">
        <v>4340812840</v>
      </c>
      <c r="G75" s="179" t="n">
        <v>4288110054</v>
      </c>
      <c r="H75" s="179">
        <f>IFERROR(D75+G75,D75)</f>
        <v/>
      </c>
      <c r="I75" s="184">
        <f>IFERROR(D75/H75,"")</f>
        <v/>
      </c>
      <c r="J75" s="179" t="n">
        <v>112951821</v>
      </c>
      <c r="K75" s="179" t="n">
        <v>225903643</v>
      </c>
      <c r="L75" s="179" t="n">
        <v>338855464</v>
      </c>
    </row>
    <row r="76" ht="15" customHeight="1" s="95">
      <c r="A76" s="143" t="n">
        <v>43905</v>
      </c>
      <c r="B76" s="146" t="n">
        <v>1.003954</v>
      </c>
      <c r="C76" s="179" t="n">
        <v>564599306</v>
      </c>
      <c r="D76" s="179" t="n">
        <v>562375410</v>
      </c>
      <c r="E76" s="146" t="n">
        <v>0.992664</v>
      </c>
      <c r="F76" s="179" t="n">
        <v>4271079465</v>
      </c>
      <c r="G76" s="179" t="n">
        <v>4302645399</v>
      </c>
      <c r="H76" s="179">
        <f>IFERROR(D76+G76,D76)</f>
        <v/>
      </c>
      <c r="I76" s="184">
        <f>IFERROR(D76/H76,"")</f>
        <v/>
      </c>
      <c r="J76" s="179" t="n">
        <v>112475082</v>
      </c>
      <c r="K76" s="179" t="n">
        <v>224950164</v>
      </c>
      <c r="L76" s="179" t="n">
        <v>337425246</v>
      </c>
    </row>
    <row r="77" ht="15" customHeight="1" s="95">
      <c r="A77" s="143" t="n">
        <v>43906</v>
      </c>
      <c r="B77" s="146" t="n">
        <v>1.003679</v>
      </c>
      <c r="C77" s="179" t="n">
        <v>604610634</v>
      </c>
      <c r="D77" s="179" t="n">
        <v>602394701</v>
      </c>
      <c r="E77" s="146" t="n">
        <v>1.001146</v>
      </c>
      <c r="F77" s="179" t="n">
        <v>4293832554</v>
      </c>
      <c r="G77" s="179" t="n">
        <v>4288917905</v>
      </c>
      <c r="H77" s="179">
        <f>IFERROR(D77+G77,D77)</f>
        <v/>
      </c>
      <c r="I77" s="184">
        <f>IFERROR(D77/H77,"")</f>
        <v/>
      </c>
      <c r="J77" s="179" t="n">
        <v>120478940</v>
      </c>
      <c r="K77" s="179" t="n">
        <v>240957880</v>
      </c>
      <c r="L77" s="179" t="n">
        <v>361436821</v>
      </c>
    </row>
    <row r="78" ht="15" customHeight="1" s="95">
      <c r="A78" s="143" t="n">
        <v>43907</v>
      </c>
      <c r="B78" s="146" t="n">
        <v>1.004737</v>
      </c>
      <c r="C78" s="179" t="n">
        <v>606271145</v>
      </c>
      <c r="D78" s="179" t="n">
        <v>603412605</v>
      </c>
      <c r="E78" s="146" t="n">
        <v>1.005486</v>
      </c>
      <c r="F78" s="179" t="n">
        <v>4317599420</v>
      </c>
      <c r="G78" s="179" t="n">
        <v>4294041083</v>
      </c>
      <c r="H78" s="179">
        <f>IFERROR(D78+G78,D78)</f>
        <v/>
      </c>
      <c r="I78" s="184">
        <f>IFERROR(D78/H78,"")</f>
        <v/>
      </c>
      <c r="J78" s="179" t="n">
        <v>120682521</v>
      </c>
      <c r="K78" s="179" t="n">
        <v>241365042</v>
      </c>
      <c r="L78" s="179" t="n">
        <v>362047563</v>
      </c>
    </row>
    <row r="79" ht="15" customHeight="1" s="95">
      <c r="A79" s="143" t="n">
        <v>43908</v>
      </c>
      <c r="B79" s="146" t="n">
        <v>0.996459</v>
      </c>
      <c r="C79" s="179" t="n">
        <v>626587117</v>
      </c>
      <c r="D79" s="179" t="n">
        <v>628813492</v>
      </c>
      <c r="E79" s="146" t="n">
        <v>1.00178</v>
      </c>
      <c r="F79" s="179" t="n">
        <v>4306583144</v>
      </c>
      <c r="G79" s="179" t="n">
        <v>4298932372</v>
      </c>
      <c r="H79" s="179">
        <f>IFERROR(D79+G79,D79)</f>
        <v/>
      </c>
      <c r="I79" s="184">
        <f>IFERROR(D79/H79,"")</f>
        <v/>
      </c>
      <c r="J79" s="179" t="n">
        <v>125762698</v>
      </c>
      <c r="K79" s="179" t="n">
        <v>251525397</v>
      </c>
      <c r="L79" s="179" t="n">
        <v>377288095</v>
      </c>
    </row>
    <row r="80" ht="15" customHeight="1" s="95">
      <c r="A80" s="143" t="n">
        <v>43909</v>
      </c>
      <c r="B80" s="146" t="n">
        <v>0.99856</v>
      </c>
      <c r="C80" s="179" t="n">
        <v>628140652</v>
      </c>
      <c r="D80" s="179" t="n">
        <v>629046185</v>
      </c>
      <c r="E80" s="146" t="n">
        <v>1.00222</v>
      </c>
      <c r="F80" s="179" t="n">
        <v>4231721926</v>
      </c>
      <c r="G80" s="179" t="n">
        <v>4222348357</v>
      </c>
      <c r="H80" s="179">
        <f>IFERROR(D80+G80,D80)</f>
        <v/>
      </c>
      <c r="I80" s="184">
        <f>IFERROR(D80/H80,"")</f>
        <v/>
      </c>
      <c r="J80" s="179" t="n">
        <v>125809237</v>
      </c>
      <c r="K80" s="179" t="n">
        <v>251618474</v>
      </c>
      <c r="L80" s="179" t="n">
        <v>377427711</v>
      </c>
    </row>
    <row r="81" ht="15" customHeight="1" s="95">
      <c r="A81" s="143" t="n">
        <v>43910</v>
      </c>
      <c r="B81" s="146" t="n">
        <v>0.996185</v>
      </c>
      <c r="C81" s="179" t="n">
        <v>651712527</v>
      </c>
      <c r="D81" s="179" t="n">
        <v>654208007</v>
      </c>
      <c r="E81" s="146" t="n">
        <v>1.001393</v>
      </c>
      <c r="F81" s="179" t="n">
        <v>4294893981</v>
      </c>
      <c r="G81" s="179" t="n">
        <v>4288917905</v>
      </c>
      <c r="H81" s="179">
        <f>IFERROR(D81+G81,D81)</f>
        <v/>
      </c>
      <c r="I81" s="184">
        <f>IFERROR(D81/H81,"")</f>
        <v/>
      </c>
      <c r="J81" s="179" t="n">
        <v>130841601</v>
      </c>
      <c r="K81" s="179" t="n">
        <v>261683203</v>
      </c>
      <c r="L81" s="179" t="n">
        <v>392524804</v>
      </c>
    </row>
    <row r="82" ht="15" customHeight="1" s="95">
      <c r="A82" s="143" t="n">
        <v>43911</v>
      </c>
      <c r="B82" s="146" t="n">
        <v>1.003703</v>
      </c>
      <c r="C82" s="179" t="n">
        <v>646624347</v>
      </c>
      <c r="D82" s="179" t="n">
        <v>644238750</v>
      </c>
      <c r="E82" s="146" t="n">
        <v>1.004792</v>
      </c>
      <c r="F82" s="179" t="n">
        <v>4342066151</v>
      </c>
      <c r="G82" s="179" t="n">
        <v>4321359439</v>
      </c>
      <c r="H82" s="179">
        <f>IFERROR(D82+G82,D82)</f>
        <v/>
      </c>
      <c r="I82" s="184">
        <f>IFERROR(D82/H82,"")</f>
        <v/>
      </c>
      <c r="J82" s="179" t="n">
        <v>128847750</v>
      </c>
      <c r="K82" s="179" t="n">
        <v>257695500</v>
      </c>
      <c r="L82" s="179" t="n">
        <v>386543250</v>
      </c>
    </row>
    <row r="83" ht="15" customHeight="1" s="95">
      <c r="A83" s="143" t="n">
        <v>43912</v>
      </c>
      <c r="B83" s="146" t="n">
        <v>1.001257</v>
      </c>
      <c r="C83" s="179" t="n">
        <v>668188336</v>
      </c>
      <c r="D83" s="179" t="n">
        <v>667349188</v>
      </c>
      <c r="E83" s="146" t="n">
        <v>0.998395</v>
      </c>
      <c r="F83" s="179" t="n">
        <v>4274759423</v>
      </c>
      <c r="G83" s="179" t="n">
        <v>4281631594</v>
      </c>
      <c r="H83" s="179">
        <f>IFERROR(D83+G83,D83)</f>
        <v/>
      </c>
      <c r="I83" s="184">
        <f>IFERROR(D83/H83,"")</f>
        <v/>
      </c>
      <c r="J83" s="179" t="n">
        <v>133469838</v>
      </c>
      <c r="K83" s="179" t="n">
        <v>266939675</v>
      </c>
      <c r="L83" s="179" t="n">
        <v>400409513</v>
      </c>
    </row>
    <row r="84" ht="15" customHeight="1" s="95">
      <c r="A84" s="143" t="n">
        <v>43913</v>
      </c>
      <c r="B84" s="146" t="n">
        <v>0.999376</v>
      </c>
      <c r="C84" s="179" t="n">
        <v>669658760</v>
      </c>
      <c r="D84" s="179" t="n">
        <v>670076653</v>
      </c>
      <c r="E84" s="146" t="n">
        <v>0.9982839999999999</v>
      </c>
      <c r="F84" s="179" t="n">
        <v>4298879010</v>
      </c>
      <c r="G84" s="179" t="n">
        <v>4306267031</v>
      </c>
      <c r="H84" s="179">
        <f>IFERROR(D84+G84,D84)</f>
        <v/>
      </c>
      <c r="I84" s="184">
        <f>IFERROR(D84/H84,"")</f>
        <v/>
      </c>
      <c r="J84" s="179" t="n">
        <v>134015331</v>
      </c>
      <c r="K84" s="179" t="n">
        <v>268030661</v>
      </c>
      <c r="L84" s="179" t="n">
        <v>402045992</v>
      </c>
    </row>
    <row r="85" ht="15" customHeight="1" s="95">
      <c r="A85" s="143" t="n">
        <v>43914</v>
      </c>
      <c r="B85" s="146" t="n">
        <v>0.996395</v>
      </c>
      <c r="C85" s="179" t="n">
        <v>670753143</v>
      </c>
      <c r="D85" s="179" t="n">
        <v>673179766</v>
      </c>
      <c r="E85" s="146" t="n">
        <v>1.002244</v>
      </c>
      <c r="F85" s="179" t="n">
        <v>4298542912</v>
      </c>
      <c r="G85" s="179" t="n">
        <v>4288917905</v>
      </c>
      <c r="H85" s="179">
        <f>IFERROR(D85+G85,D85)</f>
        <v/>
      </c>
      <c r="I85" s="184">
        <f>IFERROR(D85/H85,"")</f>
        <v/>
      </c>
      <c r="J85" s="179" t="n">
        <v>134635953</v>
      </c>
      <c r="K85" s="179" t="n">
        <v>269271906</v>
      </c>
      <c r="L85" s="179" t="n">
        <v>403907860</v>
      </c>
    </row>
    <row r="86" ht="15" customHeight="1" s="95">
      <c r="A86" s="143" t="n">
        <v>43915</v>
      </c>
      <c r="B86" s="146" t="n">
        <v>0.9973880000000001</v>
      </c>
      <c r="C86" s="179" t="n">
        <v>689313852</v>
      </c>
      <c r="D86" s="179" t="n">
        <v>691119265</v>
      </c>
      <c r="E86" s="146" t="n">
        <v>0.999569</v>
      </c>
      <c r="F86" s="179" t="n">
        <v>4287070634</v>
      </c>
      <c r="G86" s="179" t="n">
        <v>4288917905</v>
      </c>
      <c r="H86" s="179">
        <f>IFERROR(D86+G86,D86)</f>
        <v/>
      </c>
      <c r="I86" s="184">
        <f>IFERROR(D86/H86,"")</f>
        <v/>
      </c>
      <c r="J86" s="179" t="n">
        <v>138223853</v>
      </c>
      <c r="K86" s="179" t="n">
        <v>276447706</v>
      </c>
      <c r="L86" s="179" t="n">
        <v>414671559</v>
      </c>
    </row>
    <row r="87" ht="15" customHeight="1" s="95">
      <c r="A87" s="143" t="n">
        <v>43916</v>
      </c>
      <c r="B87" s="146" t="n">
        <v>0.999641</v>
      </c>
      <c r="C87" s="179" t="n">
        <v>688998447</v>
      </c>
      <c r="D87" s="179" t="n">
        <v>689245633</v>
      </c>
      <c r="E87" s="146" t="n">
        <v>1.000935</v>
      </c>
      <c r="F87" s="179" t="n">
        <v>4304355950</v>
      </c>
      <c r="G87" s="179" t="n">
        <v>4300334883</v>
      </c>
      <c r="H87" s="179">
        <f>IFERROR(D87+G87,D87)</f>
        <v/>
      </c>
      <c r="I87" s="184">
        <f>IFERROR(D87/H87,"")</f>
        <v/>
      </c>
      <c r="J87" s="179" t="n">
        <v>137849127</v>
      </c>
      <c r="K87" s="179" t="n">
        <v>275698253</v>
      </c>
      <c r="L87" s="179" t="n">
        <v>413547380</v>
      </c>
    </row>
    <row r="88" ht="15" customHeight="1" s="95">
      <c r="A88" s="143" t="n">
        <v>43917</v>
      </c>
      <c r="B88" s="146" t="n">
        <v>0.999634</v>
      </c>
      <c r="C88" s="179" t="n">
        <v>686111344</v>
      </c>
      <c r="D88" s="179" t="n">
        <v>686362512</v>
      </c>
      <c r="E88" s="146" t="n">
        <v>1.004372</v>
      </c>
      <c r="F88" s="179" t="n">
        <v>4300196108</v>
      </c>
      <c r="G88" s="179" t="n">
        <v>4281476902</v>
      </c>
      <c r="H88" s="179">
        <f>IFERROR(D88+G88,D88)</f>
        <v/>
      </c>
      <c r="I88" s="184">
        <f>IFERROR(D88/H88,"")</f>
        <v/>
      </c>
      <c r="J88" s="179" t="n">
        <v>137272502</v>
      </c>
      <c r="K88" s="179" t="n">
        <v>274545005</v>
      </c>
      <c r="L88" s="179" t="n">
        <v>411817507</v>
      </c>
    </row>
    <row r="89" ht="15" customHeight="1" s="95">
      <c r="A89" s="143" t="n">
        <v>43918</v>
      </c>
      <c r="B89" s="146" t="n">
        <v>0.999561</v>
      </c>
      <c r="C89" s="179" t="n">
        <v>685378083</v>
      </c>
      <c r="D89" s="179" t="n">
        <v>685678807</v>
      </c>
      <c r="E89" s="146" t="n">
        <v>0.999147</v>
      </c>
      <c r="F89" s="179" t="n">
        <v>4285259141</v>
      </c>
      <c r="G89" s="179" t="n">
        <v>4288917905</v>
      </c>
      <c r="H89" s="179">
        <f>IFERROR(D89+G89,D89)</f>
        <v/>
      </c>
      <c r="I89" s="184">
        <f>IFERROR(D89/H89,"")</f>
        <v/>
      </c>
      <c r="J89" s="179" t="n">
        <v>137135761</v>
      </c>
      <c r="K89" s="179" t="n">
        <v>274271523</v>
      </c>
      <c r="L89" s="179" t="n">
        <v>411407284</v>
      </c>
    </row>
    <row r="90" ht="15" customHeight="1" s="95">
      <c r="A90" s="143" t="n">
        <v>43919</v>
      </c>
      <c r="B90" s="146" t="n">
        <v>1.001137</v>
      </c>
      <c r="C90" s="179" t="n">
        <v>689133980</v>
      </c>
      <c r="D90" s="179" t="n">
        <v>688351467</v>
      </c>
      <c r="E90" s="146" t="n">
        <v>1.000637</v>
      </c>
      <c r="F90" s="179" t="n">
        <v>4291651284</v>
      </c>
      <c r="G90" s="179" t="n">
        <v>4288917905</v>
      </c>
      <c r="H90" s="179">
        <f>IFERROR(D90+G90,D90)</f>
        <v/>
      </c>
      <c r="I90" s="184">
        <f>IFERROR(D90/H90,"")</f>
        <v/>
      </c>
      <c r="J90" s="179" t="n">
        <v>137670293</v>
      </c>
      <c r="K90" s="179" t="n">
        <v>275340587</v>
      </c>
      <c r="L90" s="179" t="n">
        <v>413010880</v>
      </c>
    </row>
    <row r="91" ht="15" customHeight="1" s="95">
      <c r="A91" s="143" t="n">
        <v>43920</v>
      </c>
      <c r="B91" s="146" t="n">
        <v>0.997131</v>
      </c>
      <c r="C91" s="179" t="n">
        <v>693876956</v>
      </c>
      <c r="D91" s="179" t="n">
        <v>695873569</v>
      </c>
      <c r="E91" s="146" t="n">
        <v>1.002327</v>
      </c>
      <c r="F91" s="179" t="n">
        <v>4298897388</v>
      </c>
      <c r="G91" s="179" t="n">
        <v>4288917905</v>
      </c>
      <c r="H91" s="179">
        <f>IFERROR(D91+G91,D91)</f>
        <v/>
      </c>
      <c r="I91" s="184">
        <f>IFERROR(D91/H91,"")</f>
        <v/>
      </c>
      <c r="J91" s="179" t="n">
        <v>139174714</v>
      </c>
      <c r="K91" s="179" t="n">
        <v>278349428</v>
      </c>
      <c r="L91" s="179" t="n">
        <v>417524141</v>
      </c>
    </row>
    <row r="92" ht="15" customHeight="1" s="95">
      <c r="A92" s="143" t="n">
        <v>43921</v>
      </c>
      <c r="B92" s="146" t="n">
        <v>0.9961179999999999</v>
      </c>
      <c r="C92" s="179" t="n">
        <v>691237918</v>
      </c>
      <c r="D92" s="179" t="n">
        <v>693931794</v>
      </c>
      <c r="E92" s="146" t="n">
        <v>1.00295</v>
      </c>
      <c r="F92" s="179" t="n">
        <v>4303567262</v>
      </c>
      <c r="G92" s="179" t="n">
        <v>4290910061</v>
      </c>
      <c r="H92" s="179">
        <f>IFERROR(D92+G92,D92)</f>
        <v/>
      </c>
      <c r="I92" s="184">
        <f>IFERROR(D92/H92,"")</f>
        <v/>
      </c>
      <c r="J92" s="179" t="n">
        <v>138786359</v>
      </c>
      <c r="K92" s="179" t="n">
        <v>277572718</v>
      </c>
      <c r="L92" s="179" t="n">
        <v>416359076</v>
      </c>
    </row>
    <row r="93" ht="15" customHeight="1" s="95">
      <c r="A93" s="143" t="n">
        <v>43922</v>
      </c>
      <c r="B93" s="146" t="n">
        <v>0.997692</v>
      </c>
      <c r="C93" s="179" t="n">
        <v>693220680</v>
      </c>
      <c r="D93" s="179" t="n">
        <v>694824218</v>
      </c>
      <c r="E93" s="146" t="n">
        <v>0.998493</v>
      </c>
      <c r="F93" s="179" t="n">
        <v>4282455239</v>
      </c>
      <c r="G93" s="179" t="n">
        <v>4288917905</v>
      </c>
      <c r="H93" s="179">
        <f>IFERROR(D93+G93,D93)</f>
        <v/>
      </c>
      <c r="I93" s="184">
        <f>IFERROR(D93/H93,"")</f>
        <v/>
      </c>
      <c r="J93" s="179" t="n">
        <v>138964844</v>
      </c>
      <c r="K93" s="179" t="n">
        <v>277929687</v>
      </c>
      <c r="L93" s="179" t="n">
        <v>416894531</v>
      </c>
    </row>
    <row r="94" ht="15" customHeight="1" s="95">
      <c r="A94" s="143" t="n">
        <v>43923</v>
      </c>
      <c r="B94" s="146" t="n">
        <v>1.004223</v>
      </c>
      <c r="C94" s="179" t="n">
        <v>695999746</v>
      </c>
      <c r="D94" s="179" t="n">
        <v>693072997</v>
      </c>
      <c r="E94" s="146" t="n">
        <v>1.000337</v>
      </c>
      <c r="F94" s="179" t="n">
        <v>4298464571</v>
      </c>
      <c r="G94" s="179" t="n">
        <v>4297015176</v>
      </c>
      <c r="H94" s="179">
        <f>IFERROR(D94+G94,D94)</f>
        <v/>
      </c>
      <c r="I94" s="184">
        <f>IFERROR(D94/H94,"")</f>
        <v/>
      </c>
      <c r="J94" s="179" t="n">
        <v>138614599</v>
      </c>
      <c r="K94" s="179" t="n">
        <v>277229199</v>
      </c>
      <c r="L94" s="179" t="n">
        <v>415843798</v>
      </c>
    </row>
    <row r="95" ht="15" customHeight="1" s="95">
      <c r="A95" s="143" t="n">
        <v>43924</v>
      </c>
      <c r="B95" s="146" t="n">
        <v>1.000082</v>
      </c>
      <c r="C95" s="179" t="n">
        <v>693825977</v>
      </c>
      <c r="D95" s="179" t="n">
        <v>693769403</v>
      </c>
      <c r="E95" s="146" t="n">
        <v>0.994715</v>
      </c>
      <c r="F95" s="179" t="n">
        <v>6308898014</v>
      </c>
      <c r="G95" s="179" t="n">
        <v>6342419996</v>
      </c>
      <c r="H95" s="179">
        <f>IFERROR(D95+G95,D95)</f>
        <v/>
      </c>
      <c r="I95" s="184">
        <f>IFERROR(D95/H95,"")</f>
        <v/>
      </c>
      <c r="J95" s="179" t="n">
        <v>138753881</v>
      </c>
      <c r="K95" s="179" t="n">
        <v>277507761</v>
      </c>
      <c r="L95" s="179" t="n">
        <v>416261642</v>
      </c>
    </row>
    <row r="96" ht="15" customHeight="1" s="95">
      <c r="A96" s="143" t="n">
        <v>43925</v>
      </c>
      <c r="B96" s="146" t="n">
        <v>0.998593</v>
      </c>
      <c r="C96" s="179" t="n">
        <v>702995459</v>
      </c>
      <c r="D96" s="179" t="n">
        <v>703986250</v>
      </c>
      <c r="E96" s="146" t="n">
        <v>0.9999209999999999</v>
      </c>
      <c r="F96" s="179" t="n">
        <v>6345586550</v>
      </c>
      <c r="G96" s="179" t="n">
        <v>6346086375</v>
      </c>
      <c r="H96" s="179">
        <f>IFERROR(D96+G96,D96)</f>
        <v/>
      </c>
      <c r="I96" s="184">
        <f>IFERROR(D96/H96,"")</f>
        <v/>
      </c>
      <c r="J96" s="179" t="n">
        <v>140797250</v>
      </c>
      <c r="K96" s="179" t="n">
        <v>281594500</v>
      </c>
      <c r="L96" s="179" t="n">
        <v>422391750</v>
      </c>
    </row>
    <row r="97" ht="15" customHeight="1" s="95">
      <c r="A97" s="143" t="n">
        <v>43926</v>
      </c>
      <c r="B97" s="146" t="n">
        <v>0.998735</v>
      </c>
      <c r="C97" s="179" t="n">
        <v>702183762</v>
      </c>
      <c r="D97" s="179" t="n">
        <v>703073180</v>
      </c>
      <c r="E97" s="146" t="n">
        <v>0.998742</v>
      </c>
      <c r="F97" s="179" t="n">
        <v>6341175558</v>
      </c>
      <c r="G97" s="179" t="n">
        <v>6349160932</v>
      </c>
      <c r="H97" s="179">
        <f>IFERROR(D97+G97,D97)</f>
        <v/>
      </c>
      <c r="I97" s="184">
        <f>IFERROR(D97/H97,"")</f>
        <v/>
      </c>
      <c r="J97" s="179" t="n">
        <v>140614636</v>
      </c>
      <c r="K97" s="179" t="n">
        <v>281229272</v>
      </c>
      <c r="L97" s="179" t="n">
        <v>421843908</v>
      </c>
    </row>
    <row r="98" ht="15" customHeight="1" s="95">
      <c r="A98" s="143" t="n">
        <v>43927</v>
      </c>
      <c r="B98" s="146" t="n">
        <v>0.998677</v>
      </c>
      <c r="C98" s="179" t="n">
        <v>700351785</v>
      </c>
      <c r="D98" s="179" t="n">
        <v>701279385</v>
      </c>
      <c r="E98" s="146" t="n">
        <v>0.999864</v>
      </c>
      <c r="F98" s="179" t="n">
        <v>6357859575</v>
      </c>
      <c r="G98" s="179" t="n">
        <v>6358721605</v>
      </c>
      <c r="H98" s="179">
        <f>IFERROR(D98+G98,D98)</f>
        <v/>
      </c>
      <c r="I98" s="184">
        <f>IFERROR(D98/H98,"")</f>
        <v/>
      </c>
      <c r="J98" s="179" t="n">
        <v>140255877</v>
      </c>
      <c r="K98" s="179" t="n">
        <v>280511754</v>
      </c>
      <c r="L98" s="179" t="n">
        <v>420767631</v>
      </c>
    </row>
    <row r="99" ht="15" customHeight="1" s="95">
      <c r="A99" s="143" t="n">
        <v>43928</v>
      </c>
      <c r="B99" s="146" t="n">
        <v>1.000605</v>
      </c>
      <c r="C99" s="179" t="n">
        <v>686220118</v>
      </c>
      <c r="D99" s="179" t="n">
        <v>685805347</v>
      </c>
      <c r="E99" s="146" t="n">
        <v>0.999974</v>
      </c>
      <c r="F99" s="179" t="n">
        <v>6348996817</v>
      </c>
      <c r="G99" s="179" t="n">
        <v>6349160932</v>
      </c>
      <c r="H99" s="179">
        <f>IFERROR(D99+G99,D99)</f>
        <v/>
      </c>
      <c r="I99" s="184">
        <f>IFERROR(D99/H99,"")</f>
        <v/>
      </c>
      <c r="J99" s="179" t="n">
        <v>137161069</v>
      </c>
      <c r="K99" s="179" t="n">
        <v>274322139</v>
      </c>
      <c r="L99" s="179" t="n">
        <v>411483208</v>
      </c>
    </row>
    <row r="100" ht="15" customHeight="1" s="95">
      <c r="A100" s="143" t="n">
        <v>43929</v>
      </c>
      <c r="B100" s="146" t="n">
        <v>1.000672</v>
      </c>
      <c r="C100" s="179" t="n">
        <v>697129227</v>
      </c>
      <c r="D100" s="179" t="n">
        <v>696661238</v>
      </c>
      <c r="E100" s="146" t="n">
        <v>0.999377</v>
      </c>
      <c r="F100" s="179" t="n">
        <v>6337540894</v>
      </c>
      <c r="G100" s="179" t="n">
        <v>6341494713</v>
      </c>
      <c r="H100" s="179">
        <f>IFERROR(D100+G100,D100)</f>
        <v/>
      </c>
      <c r="I100" s="184">
        <f>IFERROR(D100/H100,"")</f>
        <v/>
      </c>
      <c r="J100" s="179" t="n">
        <v>139332248</v>
      </c>
      <c r="K100" s="179" t="n">
        <v>278664495</v>
      </c>
      <c r="L100" s="179" t="n">
        <v>417996743</v>
      </c>
    </row>
    <row r="101" ht="15" customHeight="1" s="95">
      <c r="A101" s="143" t="n">
        <v>43930</v>
      </c>
      <c r="B101" s="146" t="n">
        <v>0.998117</v>
      </c>
      <c r="C101" s="179" t="n">
        <v>713025412</v>
      </c>
      <c r="D101" s="179" t="n">
        <v>714370418</v>
      </c>
      <c r="E101" s="146" t="n">
        <v>0.998996</v>
      </c>
      <c r="F101" s="179" t="n">
        <v>6342789172</v>
      </c>
      <c r="G101" s="179" t="n">
        <v>6349160932</v>
      </c>
      <c r="H101" s="179">
        <f>IFERROR(D101+G101,D101)</f>
        <v/>
      </c>
      <c r="I101" s="184">
        <f>IFERROR(D101/H101,"")</f>
        <v/>
      </c>
      <c r="J101" s="179" t="n">
        <v>142874084</v>
      </c>
      <c r="K101" s="179" t="n">
        <v>285748167</v>
      </c>
      <c r="L101" s="179" t="n">
        <v>428622251</v>
      </c>
    </row>
    <row r="102" ht="15" customHeight="1" s="95">
      <c r="A102" s="143" t="n">
        <v>43931</v>
      </c>
      <c r="B102" s="146" t="n">
        <v>0.998592</v>
      </c>
      <c r="C102" s="179" t="n">
        <v>711749677</v>
      </c>
      <c r="D102" s="179" t="n">
        <v>712753507</v>
      </c>
      <c r="E102" s="146" t="n">
        <v>1.000048</v>
      </c>
      <c r="F102" s="179" t="n">
        <v>6351749244</v>
      </c>
      <c r="G102" s="179" t="n">
        <v>6351447212</v>
      </c>
      <c r="H102" s="179">
        <f>IFERROR(D102+G102,D102)</f>
        <v/>
      </c>
      <c r="I102" s="184">
        <f>IFERROR(D102/H102,"")</f>
        <v/>
      </c>
      <c r="J102" s="179" t="n">
        <v>142550701</v>
      </c>
      <c r="K102" s="179" t="n">
        <v>285101403</v>
      </c>
      <c r="L102" s="179" t="n">
        <v>427652104</v>
      </c>
    </row>
    <row r="103" ht="15" customHeight="1" s="95">
      <c r="A103" s="143" t="n">
        <v>43932</v>
      </c>
      <c r="B103" s="146" t="n">
        <v>0.999907</v>
      </c>
      <c r="C103" s="179" t="n">
        <v>710557996</v>
      </c>
      <c r="D103" s="179" t="n">
        <v>710624076</v>
      </c>
      <c r="E103" s="146" t="n">
        <v>1.001752</v>
      </c>
      <c r="F103" s="179" t="n">
        <v>6360286245</v>
      </c>
      <c r="G103" s="179" t="n">
        <v>6349160932</v>
      </c>
      <c r="H103" s="179">
        <f>IFERROR(D103+G103,D103)</f>
        <v/>
      </c>
      <c r="I103" s="184">
        <f>IFERROR(D103/H103,"")</f>
        <v/>
      </c>
      <c r="J103" s="179" t="n">
        <v>142124815</v>
      </c>
      <c r="K103" s="179" t="n">
        <v>284249630</v>
      </c>
      <c r="L103" s="179" t="n">
        <v>426374446</v>
      </c>
    </row>
    <row r="104" ht="15" customHeight="1" s="95">
      <c r="A104" s="143" t="n">
        <v>43933</v>
      </c>
      <c r="B104" s="146" t="n">
        <v>1.000246</v>
      </c>
      <c r="C104" s="179" t="n">
        <v>710605126</v>
      </c>
      <c r="D104" s="179" t="n">
        <v>710430704</v>
      </c>
      <c r="E104" s="146" t="n">
        <v>1.001414</v>
      </c>
      <c r="F104" s="179" t="n">
        <v>6358136925</v>
      </c>
      <c r="G104" s="179" t="n">
        <v>6349160932</v>
      </c>
      <c r="H104" s="179">
        <f>IFERROR(D104+G104,D104)</f>
        <v/>
      </c>
      <c r="I104" s="184">
        <f>IFERROR(D104/H104,"")</f>
        <v/>
      </c>
      <c r="J104" s="179" t="n">
        <v>142086141</v>
      </c>
      <c r="K104" s="179" t="n">
        <v>284172282</v>
      </c>
      <c r="L104" s="179" t="n">
        <v>426258422</v>
      </c>
    </row>
    <row r="105" ht="15" customHeight="1" s="95">
      <c r="A105" s="143" t="n">
        <v>43934</v>
      </c>
      <c r="B105" s="146" t="n">
        <v>0.997223</v>
      </c>
      <c r="C105" s="179" t="n">
        <v>717420223</v>
      </c>
      <c r="D105" s="179" t="n">
        <v>719418264</v>
      </c>
      <c r="E105" s="146" t="n">
        <v>0.996086</v>
      </c>
      <c r="F105" s="179" t="n">
        <v>6360712294</v>
      </c>
      <c r="G105" s="179" t="n">
        <v>6385704605</v>
      </c>
      <c r="H105" s="179">
        <f>IFERROR(D105+G105,D105)</f>
        <v/>
      </c>
      <c r="I105" s="184">
        <f>IFERROR(D105/H105,"")</f>
        <v/>
      </c>
      <c r="J105" s="179" t="n">
        <v>143883653</v>
      </c>
      <c r="K105" s="179" t="n">
        <v>287767306</v>
      </c>
      <c r="L105" s="179" t="n">
        <v>431650958</v>
      </c>
    </row>
    <row r="106" ht="15" customHeight="1" s="95">
      <c r="A106" s="143" t="n">
        <v>43935</v>
      </c>
      <c r="B106" s="146" t="n">
        <v>0.999008</v>
      </c>
      <c r="C106" s="179" t="n">
        <v>725680674</v>
      </c>
      <c r="D106" s="179" t="n">
        <v>726401396</v>
      </c>
      <c r="E106" s="146" t="n">
        <v>0.998972</v>
      </c>
      <c r="F106" s="179" t="n">
        <v>6342632339</v>
      </c>
      <c r="G106" s="179" t="n">
        <v>6349160932</v>
      </c>
      <c r="H106" s="179">
        <f>IFERROR(D106+G106,D106)</f>
        <v/>
      </c>
      <c r="I106" s="184">
        <f>IFERROR(D106/H106,"")</f>
        <v/>
      </c>
      <c r="J106" s="179" t="n">
        <v>145280279</v>
      </c>
      <c r="K106" s="179" t="n">
        <v>290560558</v>
      </c>
      <c r="L106" s="179" t="n">
        <v>435840838</v>
      </c>
    </row>
    <row r="107" ht="15" customHeight="1" s="95">
      <c r="A107" s="143" t="n">
        <v>43936</v>
      </c>
      <c r="B107" s="146" t="n">
        <v>1.00036</v>
      </c>
      <c r="C107" s="179" t="n">
        <v>735203086</v>
      </c>
      <c r="D107" s="179" t="n">
        <v>734938719</v>
      </c>
      <c r="E107" s="146" t="n">
        <v>1.000622</v>
      </c>
      <c r="F107" s="179" t="n">
        <v>6353107084</v>
      </c>
      <c r="G107" s="179" t="n">
        <v>6349160932</v>
      </c>
      <c r="H107" s="179">
        <f>IFERROR(D107+G107,D107)</f>
        <v/>
      </c>
      <c r="I107" s="184">
        <f>IFERROR(D107/H107,"")</f>
        <v/>
      </c>
      <c r="J107" s="179" t="n">
        <v>146987744</v>
      </c>
      <c r="K107" s="179" t="n">
        <v>293975488</v>
      </c>
      <c r="L107" s="179" t="n">
        <v>440963231</v>
      </c>
    </row>
    <row r="108" ht="15" customHeight="1" s="95">
      <c r="A108" s="143" t="n">
        <v>43937</v>
      </c>
      <c r="B108" s="146" t="n">
        <v>0.999058</v>
      </c>
      <c r="C108" s="179" t="n">
        <v>735988497</v>
      </c>
      <c r="D108" s="179" t="n">
        <v>736682485</v>
      </c>
      <c r="E108" s="146" t="n">
        <v>0.9983</v>
      </c>
      <c r="F108" s="179" t="n">
        <v>6338368646</v>
      </c>
      <c r="G108" s="179" t="n">
        <v>6349160932</v>
      </c>
      <c r="H108" s="179">
        <f>IFERROR(D108+G108,D108)</f>
        <v/>
      </c>
      <c r="I108" s="184">
        <f>IFERROR(D108/H108,"")</f>
        <v/>
      </c>
      <c r="J108" s="179" t="n">
        <v>147336497</v>
      </c>
      <c r="K108" s="179" t="n">
        <v>294672994</v>
      </c>
      <c r="L108" s="179" t="n">
        <v>442009491</v>
      </c>
    </row>
    <row r="109" ht="15" customHeight="1" s="95">
      <c r="A109" s="143" t="n">
        <v>43938</v>
      </c>
      <c r="B109" s="146" t="n">
        <v>0.995703</v>
      </c>
      <c r="C109" s="179" t="n">
        <v>731850212</v>
      </c>
      <c r="D109" s="179" t="n">
        <v>735008843</v>
      </c>
      <c r="E109" s="146" t="n">
        <v>1.00286</v>
      </c>
      <c r="F109" s="179" t="n">
        <v>6367320936</v>
      </c>
      <c r="G109" s="179" t="n">
        <v>6349160932</v>
      </c>
      <c r="H109" s="179">
        <f>IFERROR(D109+G109,D109)</f>
        <v/>
      </c>
      <c r="I109" s="184">
        <f>IFERROR(D109/H109,"")</f>
        <v/>
      </c>
      <c r="J109" s="179" t="n">
        <v>147001769</v>
      </c>
      <c r="K109" s="179" t="n">
        <v>294003537</v>
      </c>
      <c r="L109" s="179" t="n">
        <v>441005306</v>
      </c>
    </row>
    <row r="110" ht="15" customHeight="1" s="95">
      <c r="A110" s="143" t="n">
        <v>43939</v>
      </c>
      <c r="B110" s="146" t="n">
        <v>0.995179</v>
      </c>
      <c r="C110" s="179" t="n">
        <v>725926636</v>
      </c>
      <c r="D110" s="179" t="n">
        <v>729443479</v>
      </c>
      <c r="E110" s="146" t="n">
        <v>1.000911</v>
      </c>
      <c r="F110" s="179" t="n">
        <v>6354943648</v>
      </c>
      <c r="G110" s="179" t="n">
        <v>6349160932</v>
      </c>
      <c r="H110" s="179">
        <f>IFERROR(D110+G110,D110)</f>
        <v/>
      </c>
      <c r="I110" s="184">
        <f>IFERROR(D110/H110,"")</f>
        <v/>
      </c>
      <c r="J110" s="179" t="n">
        <v>145888696</v>
      </c>
      <c r="K110" s="179" t="n">
        <v>291777392</v>
      </c>
      <c r="L110" s="179" t="n">
        <v>437666087</v>
      </c>
    </row>
    <row r="111" ht="15" customHeight="1" s="95">
      <c r="A111" s="143" t="n">
        <v>43940</v>
      </c>
      <c r="B111" s="146" t="n">
        <v>0.998328</v>
      </c>
      <c r="C111" s="179" t="n">
        <v>728802965</v>
      </c>
      <c r="D111" s="179" t="n">
        <v>730023257</v>
      </c>
      <c r="E111" s="146" t="n">
        <v>0.999861</v>
      </c>
      <c r="F111" s="179" t="n">
        <v>6348280713</v>
      </c>
      <c r="G111" s="179" t="n">
        <v>6349160932</v>
      </c>
      <c r="H111" s="179">
        <f>IFERROR(D111+G111,D111)</f>
        <v/>
      </c>
      <c r="I111" s="184">
        <f>IFERROR(D111/H111,"")</f>
        <v/>
      </c>
      <c r="J111" s="179" t="n">
        <v>146004651</v>
      </c>
      <c r="K111" s="179" t="n">
        <v>292009303</v>
      </c>
      <c r="L111" s="179" t="n">
        <v>438013954</v>
      </c>
    </row>
    <row r="112" ht="15" customHeight="1" s="95">
      <c r="A112" s="143" t="n">
        <v>43941</v>
      </c>
      <c r="B112" s="146" t="n">
        <v>0.998557</v>
      </c>
      <c r="C112" s="179" t="n">
        <v>726847322</v>
      </c>
      <c r="D112" s="179" t="n">
        <v>727897884</v>
      </c>
      <c r="E112" s="146" t="n">
        <v>1.000474</v>
      </c>
      <c r="F112" s="179" t="n">
        <v>6370176428</v>
      </c>
      <c r="G112" s="179" t="n">
        <v>6367159604</v>
      </c>
      <c r="H112" s="179">
        <f>IFERROR(D112+G112,D112)</f>
        <v/>
      </c>
      <c r="I112" s="184">
        <f>IFERROR(D112/H112,"")</f>
        <v/>
      </c>
      <c r="J112" s="179" t="n">
        <v>145579577</v>
      </c>
      <c r="K112" s="179" t="n">
        <v>291159154</v>
      </c>
      <c r="L112" s="179" t="n">
        <v>436738730</v>
      </c>
    </row>
    <row r="113" ht="15" customHeight="1" s="95">
      <c r="A113" s="143" t="n">
        <v>43942</v>
      </c>
      <c r="B113" s="146" t="n">
        <v>0.999796</v>
      </c>
      <c r="C113" s="179" t="n">
        <v>735999651</v>
      </c>
      <c r="D113" s="179" t="n">
        <v>736149880</v>
      </c>
      <c r="E113" s="146" t="n">
        <v>1.005895</v>
      </c>
      <c r="F113" s="179" t="n">
        <v>6369201538</v>
      </c>
      <c r="G113" s="179" t="n">
        <v>6331873070</v>
      </c>
      <c r="H113" s="179">
        <f>IFERROR(D113+G113,D113)</f>
        <v/>
      </c>
      <c r="I113" s="184">
        <f>IFERROR(D113/H113,"")</f>
        <v/>
      </c>
      <c r="J113" s="179" t="n">
        <v>147229976</v>
      </c>
      <c r="K113" s="179" t="n">
        <v>294459952</v>
      </c>
      <c r="L113" s="179" t="n">
        <v>441689928</v>
      </c>
    </row>
    <row r="114" ht="15" customHeight="1" s="95">
      <c r="A114" s="143" t="n">
        <v>43943</v>
      </c>
      <c r="B114" s="146" t="n">
        <v>0.997841</v>
      </c>
      <c r="C114" s="179" t="n">
        <v>725055953</v>
      </c>
      <c r="D114" s="179" t="n">
        <v>726625040</v>
      </c>
      <c r="E114" s="146" t="n">
        <v>1.001102</v>
      </c>
      <c r="F114" s="179" t="n">
        <v>6355845853</v>
      </c>
      <c r="G114" s="179" t="n">
        <v>6348850491</v>
      </c>
      <c r="H114" s="179">
        <f>IFERROR(D114+G114,D114)</f>
        <v/>
      </c>
      <c r="I114" s="184">
        <f>IFERROR(D114/H114,"")</f>
        <v/>
      </c>
      <c r="J114" s="179" t="n">
        <v>145325008</v>
      </c>
      <c r="K114" s="179" t="n">
        <v>290650016</v>
      </c>
      <c r="L114" s="179" t="n">
        <v>435975024</v>
      </c>
    </row>
    <row r="115" ht="15" customHeight="1" s="95">
      <c r="A115" s="143" t="n">
        <v>43944</v>
      </c>
      <c r="B115" s="146" t="n">
        <v>0.998764</v>
      </c>
      <c r="C115" s="179" t="n">
        <v>726234993</v>
      </c>
      <c r="D115" s="179" t="n">
        <v>727133663</v>
      </c>
      <c r="E115" s="146" t="n">
        <v>1.000444</v>
      </c>
      <c r="F115" s="179" t="n">
        <v>7133234307</v>
      </c>
      <c r="G115" s="179" t="n">
        <v>7130071976</v>
      </c>
      <c r="H115" s="179">
        <f>IFERROR(D115+G115,D115)</f>
        <v/>
      </c>
      <c r="I115" s="184">
        <f>IFERROR(D115/H115,"")</f>
        <v/>
      </c>
      <c r="J115" s="179" t="n">
        <v>145426733</v>
      </c>
      <c r="K115" s="179" t="n">
        <v>290853465</v>
      </c>
      <c r="L115" s="179" t="n">
        <v>436280198</v>
      </c>
    </row>
    <row r="116" ht="15" customHeight="1" s="95">
      <c r="A116" s="143" t="n">
        <v>43945</v>
      </c>
      <c r="B116" s="146" t="n">
        <v>0.996972</v>
      </c>
      <c r="C116" s="179" t="n">
        <v>731974511</v>
      </c>
      <c r="D116" s="179" t="n">
        <v>734197988</v>
      </c>
      <c r="E116" s="146" t="n">
        <v>0.996059</v>
      </c>
      <c r="F116" s="179" t="n">
        <v>7101969333</v>
      </c>
      <c r="G116" s="179" t="n">
        <v>7130071976</v>
      </c>
      <c r="H116" s="179">
        <f>IFERROR(D116+G116,D116)</f>
        <v/>
      </c>
      <c r="I116" s="184">
        <f>IFERROR(D116/H116,"")</f>
        <v/>
      </c>
      <c r="J116" s="179" t="n">
        <v>146839598</v>
      </c>
      <c r="K116" s="179" t="n">
        <v>293679195</v>
      </c>
      <c r="L116" s="179" t="n">
        <v>440518793</v>
      </c>
    </row>
    <row r="117" ht="15" customHeight="1" s="95">
      <c r="A117" s="143" t="n">
        <v>43946</v>
      </c>
      <c r="B117" s="146" t="n">
        <v>0.998906</v>
      </c>
      <c r="C117" s="179" t="n">
        <v>753828819</v>
      </c>
      <c r="D117" s="179" t="n">
        <v>754654521</v>
      </c>
      <c r="E117" s="146" t="n">
        <v>1.000027</v>
      </c>
      <c r="F117" s="179" t="n">
        <v>7109426016</v>
      </c>
      <c r="G117" s="179" t="n">
        <v>7109235911</v>
      </c>
      <c r="H117" s="179">
        <f>IFERROR(D117+G117,D117)</f>
        <v/>
      </c>
      <c r="I117" s="184">
        <f>IFERROR(D117/H117,"")</f>
        <v/>
      </c>
      <c r="J117" s="179" t="n">
        <v>150930904</v>
      </c>
      <c r="K117" s="179" t="n">
        <v>301861808</v>
      </c>
      <c r="L117" s="179" t="n">
        <v>452792713</v>
      </c>
    </row>
    <row r="118" ht="15" customHeight="1" s="95">
      <c r="A118" s="143" t="n">
        <v>43947</v>
      </c>
      <c r="B118" s="146" t="n">
        <v>1.000393</v>
      </c>
      <c r="C118" s="179" t="n">
        <v>756062774</v>
      </c>
      <c r="D118" s="179" t="n">
        <v>755765811</v>
      </c>
      <c r="E118" s="146" t="n">
        <v>0.999333</v>
      </c>
      <c r="F118" s="179" t="n">
        <v>7125314349</v>
      </c>
      <c r="G118" s="179" t="n">
        <v>7130071976</v>
      </c>
      <c r="H118" s="179">
        <f>IFERROR(D118+G118,D118)</f>
        <v/>
      </c>
      <c r="I118" s="184">
        <f>IFERROR(D118/H118,"")</f>
        <v/>
      </c>
      <c r="J118" s="179" t="n">
        <v>151153162</v>
      </c>
      <c r="K118" s="179" t="n">
        <v>302306324</v>
      </c>
      <c r="L118" s="179" t="n">
        <v>453459487</v>
      </c>
    </row>
    <row r="119" ht="15" customHeight="1" s="95">
      <c r="A119" s="143" t="n">
        <v>43948</v>
      </c>
      <c r="B119" s="146" t="n">
        <v>1.001664</v>
      </c>
      <c r="C119" s="179" t="n">
        <v>755111871</v>
      </c>
      <c r="D119" s="179" t="n">
        <v>753857118</v>
      </c>
      <c r="E119" s="146" t="n">
        <v>1.001372</v>
      </c>
      <c r="F119" s="179" t="n">
        <v>7139857876</v>
      </c>
      <c r="G119" s="179" t="n">
        <v>7130071976</v>
      </c>
      <c r="H119" s="179">
        <f>IFERROR(D119+G119,D119)</f>
        <v/>
      </c>
      <c r="I119" s="184">
        <f>IFERROR(D119/H119,"")</f>
        <v/>
      </c>
      <c r="J119" s="179" t="n">
        <v>150771424</v>
      </c>
      <c r="K119" s="179" t="n">
        <v>301542847</v>
      </c>
      <c r="L119" s="179" t="n">
        <v>452314271</v>
      </c>
    </row>
    <row r="120" ht="15" customHeight="1" s="95">
      <c r="A120" s="143" t="n">
        <v>43949</v>
      </c>
      <c r="B120" s="146" t="n">
        <v>0.9999</v>
      </c>
      <c r="C120" s="179" t="n">
        <v>752281854</v>
      </c>
      <c r="D120" s="179" t="n">
        <v>752356856</v>
      </c>
      <c r="E120" s="146" t="n">
        <v>1.0027</v>
      </c>
      <c r="F120" s="179" t="n">
        <v>7149322731</v>
      </c>
      <c r="G120" s="179" t="n">
        <v>7130071976</v>
      </c>
      <c r="H120" s="179">
        <f>IFERROR(D120+G120,D120)</f>
        <v/>
      </c>
      <c r="I120" s="184">
        <f>IFERROR(D120/H120,"")</f>
        <v/>
      </c>
      <c r="J120" s="179" t="n">
        <v>150471371</v>
      </c>
      <c r="K120" s="179" t="n">
        <v>300942742</v>
      </c>
      <c r="L120" s="179" t="n">
        <v>451414114</v>
      </c>
    </row>
    <row r="121" ht="15" customHeight="1" s="95">
      <c r="A121" s="143" t="n">
        <v>43950</v>
      </c>
      <c r="B121" s="146" t="n">
        <v>0.99813</v>
      </c>
      <c r="C121" s="179" t="n">
        <v>731366477</v>
      </c>
      <c r="D121" s="179" t="n">
        <v>732737010</v>
      </c>
      <c r="E121" s="146" t="n">
        <v>1.000525</v>
      </c>
      <c r="F121" s="179" t="n">
        <v>7134423239</v>
      </c>
      <c r="G121" s="179" t="n">
        <v>7130677217</v>
      </c>
      <c r="H121" s="179">
        <f>IFERROR(D121+G121,D121)</f>
        <v/>
      </c>
      <c r="I121" s="184">
        <f>IFERROR(D121/H121,"")</f>
        <v/>
      </c>
      <c r="J121" s="179" t="n">
        <v>146547402</v>
      </c>
      <c r="K121" s="179" t="n">
        <v>293094804</v>
      </c>
      <c r="L121" s="179" t="n">
        <v>439642206</v>
      </c>
    </row>
    <row r="122" ht="15" customHeight="1" s="95">
      <c r="A122" s="143" t="n">
        <v>43951</v>
      </c>
      <c r="B122" s="146" t="n">
        <v>1.001355</v>
      </c>
      <c r="C122" s="179" t="n">
        <v>726001387</v>
      </c>
      <c r="D122" s="179" t="n">
        <v>725018631</v>
      </c>
      <c r="E122" s="146" t="n">
        <v>0.997505</v>
      </c>
      <c r="F122" s="179" t="n">
        <v>7692068637</v>
      </c>
      <c r="G122" s="179" t="n">
        <v>7711310623</v>
      </c>
      <c r="H122" s="179">
        <f>IFERROR(D122+G122,D122)</f>
        <v/>
      </c>
      <c r="I122" s="184">
        <f>IFERROR(D122/H122,"")</f>
        <v/>
      </c>
      <c r="J122" s="179" t="n">
        <v>145003726</v>
      </c>
      <c r="K122" s="179" t="n">
        <v>290007452</v>
      </c>
      <c r="L122" s="179" t="n">
        <v>435011179</v>
      </c>
    </row>
    <row r="123" ht="15" customHeight="1" s="95">
      <c r="A123" s="143" t="n">
        <v>43952</v>
      </c>
      <c r="B123" s="146" t="n">
        <v>0.998611</v>
      </c>
      <c r="C123" s="179" t="n">
        <v>726339842</v>
      </c>
      <c r="D123" s="179" t="n">
        <v>727350245</v>
      </c>
      <c r="E123" s="146" t="n">
        <v>0.999779</v>
      </c>
      <c r="F123" s="179" t="n">
        <v>7699585322</v>
      </c>
      <c r="G123" s="179" t="n">
        <v>7701288890</v>
      </c>
      <c r="H123" s="179">
        <f>IFERROR(D123+G123,D123)</f>
        <v/>
      </c>
      <c r="I123" s="184">
        <f>IFERROR(D123/H123,"")</f>
        <v/>
      </c>
      <c r="J123" s="179" t="n">
        <v>145470049</v>
      </c>
      <c r="K123" s="179" t="n">
        <v>290940098</v>
      </c>
      <c r="L123" s="179" t="n">
        <v>436410147</v>
      </c>
    </row>
    <row r="124" ht="15" customHeight="1" s="95">
      <c r="A124" s="143" t="n">
        <v>43953</v>
      </c>
      <c r="B124" s="146" t="n">
        <v>0.997508</v>
      </c>
      <c r="C124" s="179" t="n">
        <v>712603897</v>
      </c>
      <c r="D124" s="179" t="n">
        <v>714384079</v>
      </c>
      <c r="E124" s="146" t="n">
        <v>1.001514</v>
      </c>
      <c r="F124" s="179" t="n">
        <v>7792729872</v>
      </c>
      <c r="G124" s="179" t="n">
        <v>7780948676</v>
      </c>
      <c r="H124" s="179">
        <f>IFERROR(D124+G124,D124)</f>
        <v/>
      </c>
      <c r="I124" s="184">
        <f>IFERROR(D124/H124,"")</f>
        <v/>
      </c>
      <c r="J124" s="179" t="n">
        <v>142876816</v>
      </c>
      <c r="K124" s="179" t="n">
        <v>285753632</v>
      </c>
      <c r="L124" s="179" t="n">
        <v>428630447</v>
      </c>
    </row>
    <row r="125" ht="15" customHeight="1" s="95">
      <c r="A125" s="143" t="n">
        <v>43954</v>
      </c>
      <c r="B125" s="146" t="n">
        <v>0.999217</v>
      </c>
      <c r="C125" s="179" t="n">
        <v>711461081</v>
      </c>
      <c r="D125" s="179" t="n">
        <v>712018622</v>
      </c>
      <c r="E125" s="146" t="n">
        <v>1.002755</v>
      </c>
      <c r="F125" s="179" t="n">
        <v>7801751804</v>
      </c>
      <c r="G125" s="179" t="n">
        <v>7780320767</v>
      </c>
      <c r="H125" s="179">
        <f>IFERROR(D125+G125,D125)</f>
        <v/>
      </c>
      <c r="I125" s="184">
        <f>IFERROR(D125/H125,"")</f>
        <v/>
      </c>
      <c r="J125" s="179" t="n">
        <v>142403724</v>
      </c>
      <c r="K125" s="179" t="n">
        <v>284807449</v>
      </c>
      <c r="L125" s="179" t="n">
        <v>427211173</v>
      </c>
    </row>
    <row r="126" ht="15" customHeight="1" s="95">
      <c r="A126" s="143" t="n">
        <v>43955</v>
      </c>
      <c r="B126" s="146" t="n">
        <v>1.00008</v>
      </c>
      <c r="C126" s="179" t="n">
        <v>710346518</v>
      </c>
      <c r="D126" s="179" t="n">
        <v>710289583</v>
      </c>
      <c r="E126" s="146" t="n">
        <v>1.00097</v>
      </c>
      <c r="F126" s="179" t="n">
        <v>7820865420</v>
      </c>
      <c r="G126" s="179" t="n">
        <v>7813285915</v>
      </c>
      <c r="H126" s="179">
        <f>IFERROR(D126+G126,D126)</f>
        <v/>
      </c>
      <c r="I126" s="184">
        <f>IFERROR(D126/H126,"")</f>
        <v/>
      </c>
      <c r="J126" s="179" t="n">
        <v>142057917</v>
      </c>
      <c r="K126" s="179" t="n">
        <v>284115833</v>
      </c>
      <c r="L126" s="179" t="n">
        <v>426173750</v>
      </c>
    </row>
    <row r="127" ht="15" customHeight="1" s="95">
      <c r="A127" s="143" t="n">
        <v>43956</v>
      </c>
      <c r="B127" s="146" t="n">
        <v>0.999498</v>
      </c>
      <c r="C127" s="179" t="n">
        <v>710793061</v>
      </c>
      <c r="D127" s="179" t="n">
        <v>711150017</v>
      </c>
      <c r="E127" s="146" t="n">
        <v>0.998274</v>
      </c>
      <c r="F127" s="179" t="n">
        <v>7790956108</v>
      </c>
      <c r="G127" s="179" t="n">
        <v>7804430095</v>
      </c>
      <c r="H127" s="179">
        <f>IFERROR(D127+G127,D127)</f>
        <v/>
      </c>
      <c r="I127" s="184">
        <f>IFERROR(D127/H127,"")</f>
        <v/>
      </c>
      <c r="J127" s="179" t="n">
        <v>142230003</v>
      </c>
      <c r="K127" s="179" t="n">
        <v>284460007</v>
      </c>
      <c r="L127" s="179" t="n">
        <v>426690010</v>
      </c>
    </row>
    <row r="128" ht="15" customHeight="1" s="95">
      <c r="A128" s="143" t="n">
        <v>43957</v>
      </c>
      <c r="B128" s="146" t="n">
        <v>1.002735</v>
      </c>
      <c r="C128" s="179" t="n">
        <v>714139098</v>
      </c>
      <c r="D128" s="179" t="n">
        <v>712191033</v>
      </c>
      <c r="E128" s="146" t="n">
        <v>1.000929</v>
      </c>
      <c r="F128" s="179" t="n">
        <v>7861206043</v>
      </c>
      <c r="G128" s="179" t="n">
        <v>7853913236</v>
      </c>
      <c r="H128" s="179">
        <f>IFERROR(D128+G128,D128)</f>
        <v/>
      </c>
      <c r="I128" s="184">
        <f>IFERROR(D128/H128,"")</f>
        <v/>
      </c>
      <c r="J128" s="179" t="n">
        <v>142438207</v>
      </c>
      <c r="K128" s="179" t="n">
        <v>284876413</v>
      </c>
      <c r="L128" s="179" t="n">
        <v>427314620</v>
      </c>
    </row>
    <row r="129" ht="15" customHeight="1" s="95">
      <c r="A129" s="143" t="n">
        <v>43958</v>
      </c>
      <c r="B129" s="146" t="n">
        <v>0.990259</v>
      </c>
      <c r="C129" s="179" t="n">
        <v>711778609</v>
      </c>
      <c r="D129" s="179" t="n">
        <v>718780210</v>
      </c>
      <c r="E129" s="146" t="n">
        <v>0.999176</v>
      </c>
      <c r="F129" s="179" t="n">
        <v>7930935317</v>
      </c>
      <c r="G129" s="179" t="n">
        <v>7937479519</v>
      </c>
      <c r="H129" s="179">
        <f>IFERROR(D129+G129,D129)</f>
        <v/>
      </c>
      <c r="I129" s="184">
        <f>IFERROR(D129/H129,"")</f>
        <v/>
      </c>
      <c r="J129" s="179" t="n">
        <v>143756042</v>
      </c>
      <c r="K129" s="179" t="n">
        <v>287512084</v>
      </c>
      <c r="L129" s="179" t="n">
        <v>431268126</v>
      </c>
    </row>
    <row r="130" ht="15" customHeight="1" s="95">
      <c r="A130" s="143" t="n">
        <v>43959</v>
      </c>
      <c r="B130" s="146" t="n">
        <v>0.999685</v>
      </c>
      <c r="C130" s="179" t="n">
        <v>722023647</v>
      </c>
      <c r="D130" s="179" t="n">
        <v>722251128</v>
      </c>
      <c r="E130" s="146" t="n">
        <v>1.001081</v>
      </c>
      <c r="F130" s="179" t="n">
        <v>8079054026</v>
      </c>
      <c r="G130" s="179" t="n">
        <v>8070331641</v>
      </c>
      <c r="H130" s="179">
        <f>IFERROR(D130+G130,D130)</f>
        <v/>
      </c>
      <c r="I130" s="184">
        <f>IFERROR(D130/H130,"")</f>
        <v/>
      </c>
      <c r="J130" s="179" t="n">
        <v>144450226</v>
      </c>
      <c r="K130" s="179" t="n">
        <v>288900451</v>
      </c>
      <c r="L130" s="179" t="n">
        <v>433350677</v>
      </c>
    </row>
    <row r="131" ht="15" customHeight="1" s="95">
      <c r="A131" s="143" t="n">
        <v>43960</v>
      </c>
      <c r="B131" s="146" t="n">
        <v>0.995866</v>
      </c>
      <c r="C131" s="179" t="n">
        <v>721261346</v>
      </c>
      <c r="D131" s="179" t="n">
        <v>724255365</v>
      </c>
      <c r="E131" s="146" t="n">
        <v>0.998404</v>
      </c>
      <c r="F131" s="179" t="n">
        <v>8155833351</v>
      </c>
      <c r="G131" s="179" t="n">
        <v>8168869328</v>
      </c>
      <c r="H131" s="179">
        <f>IFERROR(D131+G131,D131)</f>
        <v/>
      </c>
      <c r="I131" s="184">
        <f>IFERROR(D131/H131,"")</f>
        <v/>
      </c>
      <c r="J131" s="179" t="n">
        <v>144851073</v>
      </c>
      <c r="K131" s="179" t="n">
        <v>289702146</v>
      </c>
      <c r="L131" s="179" t="n">
        <v>434553219</v>
      </c>
    </row>
    <row r="132" ht="15" customHeight="1" s="95">
      <c r="A132" s="143" t="n">
        <v>43961</v>
      </c>
      <c r="B132" s="146" t="n">
        <v>0.9980520000000001</v>
      </c>
      <c r="C132" s="179" t="n">
        <v>722268679</v>
      </c>
      <c r="D132" s="179" t="n">
        <v>723678510</v>
      </c>
      <c r="E132" s="146" t="n">
        <v>1.000306</v>
      </c>
      <c r="F132" s="179" t="n">
        <v>8313422573</v>
      </c>
      <c r="G132" s="179" t="n">
        <v>8310875514</v>
      </c>
      <c r="H132" s="179">
        <f>IFERROR(D132+G132,D132)</f>
        <v/>
      </c>
      <c r="I132" s="184">
        <f>IFERROR(D132/H132,"")</f>
        <v/>
      </c>
      <c r="J132" s="179" t="n">
        <v>144735702</v>
      </c>
      <c r="K132" s="179" t="n">
        <v>289471404</v>
      </c>
      <c r="L132" s="179" t="n">
        <v>434207106</v>
      </c>
    </row>
    <row r="133" ht="15" customHeight="1" s="95">
      <c r="A133" s="143" t="n">
        <v>43962</v>
      </c>
      <c r="B133" s="146" t="n">
        <v>1.000952</v>
      </c>
      <c r="C133" s="179" t="n">
        <v>746986294</v>
      </c>
      <c r="D133" s="179" t="n">
        <v>746275498</v>
      </c>
      <c r="E133" s="146" t="n">
        <v>1.001243</v>
      </c>
      <c r="F133" s="179" t="n">
        <v>8473215858</v>
      </c>
      <c r="G133" s="179" t="n">
        <v>8462697287</v>
      </c>
      <c r="H133" s="179">
        <f>IFERROR(D133+G133,D133)</f>
        <v/>
      </c>
      <c r="I133" s="184">
        <f>IFERROR(D133/H133,"")</f>
        <v/>
      </c>
      <c r="J133" s="179" t="n">
        <v>149255100</v>
      </c>
      <c r="K133" s="179" t="n">
        <v>298510199</v>
      </c>
      <c r="L133" s="179" t="n">
        <v>447765299</v>
      </c>
    </row>
    <row r="134" ht="15" customHeight="1" s="95">
      <c r="A134" s="143" t="n">
        <v>43963</v>
      </c>
      <c r="B134" s="146" t="n">
        <v>0.9968590000000001</v>
      </c>
      <c r="C134" s="179" t="n">
        <v>745026108</v>
      </c>
      <c r="D134" s="179" t="n">
        <v>747373651</v>
      </c>
      <c r="E134" s="146" t="n">
        <v>0.999563</v>
      </c>
      <c r="F134" s="179" t="n">
        <v>8491686231</v>
      </c>
      <c r="G134" s="179" t="n">
        <v>8495397287</v>
      </c>
      <c r="H134" s="179">
        <f>IFERROR(D134+G134,D134)</f>
        <v/>
      </c>
      <c r="I134" s="184">
        <f>IFERROR(D134/H134,"")</f>
        <v/>
      </c>
      <c r="J134" s="179" t="n">
        <v>149474730</v>
      </c>
      <c r="K134" s="179" t="n">
        <v>298949460</v>
      </c>
      <c r="L134" s="179" t="n">
        <v>448424191</v>
      </c>
    </row>
    <row r="135" ht="15" customHeight="1" s="95">
      <c r="A135" s="143" t="n">
        <v>43964</v>
      </c>
      <c r="B135" s="146" t="n">
        <v>0.998483</v>
      </c>
      <c r="C135" s="179" t="n">
        <v>748338008</v>
      </c>
      <c r="D135" s="179" t="n">
        <v>749474971</v>
      </c>
      <c r="E135" s="146" t="n">
        <v>1.001612</v>
      </c>
      <c r="F135" s="179" t="n">
        <v>8640172742</v>
      </c>
      <c r="G135" s="179" t="n">
        <v>8626269379</v>
      </c>
      <c r="H135" s="179">
        <f>IFERROR(D135+G135,D135)</f>
        <v/>
      </c>
      <c r="I135" s="184">
        <f>IFERROR(D135/H135,"")</f>
        <v/>
      </c>
      <c r="J135" s="179" t="n">
        <v>149894994</v>
      </c>
      <c r="K135" s="179" t="n">
        <v>299789988</v>
      </c>
      <c r="L135" s="179" t="n">
        <v>449684983</v>
      </c>
    </row>
    <row r="136" ht="15" customHeight="1" s="95">
      <c r="A136" s="143" t="n">
        <v>43965</v>
      </c>
      <c r="B136" s="146" t="n">
        <v>0.999244</v>
      </c>
      <c r="C136" s="179" t="n">
        <v>769698234</v>
      </c>
      <c r="D136" s="179" t="n">
        <v>770280734</v>
      </c>
      <c r="E136" s="146" t="n">
        <v>1.000356</v>
      </c>
      <c r="F136" s="179" t="n">
        <v>8634423669</v>
      </c>
      <c r="G136" s="179" t="n">
        <v>8631350720</v>
      </c>
      <c r="H136" s="179">
        <f>IFERROR(D136+G136,D136)</f>
        <v/>
      </c>
      <c r="I136" s="184">
        <f>IFERROR(D136/H136,"")</f>
        <v/>
      </c>
      <c r="J136" s="179" t="n">
        <v>154056147</v>
      </c>
      <c r="K136" s="179" t="n">
        <v>308112294</v>
      </c>
      <c r="L136" s="179" t="n">
        <v>462168440</v>
      </c>
    </row>
    <row r="137" ht="15" customHeight="1" s="95">
      <c r="A137" s="143" t="n">
        <v>43966</v>
      </c>
      <c r="B137" s="146" t="n">
        <v>0.998133</v>
      </c>
      <c r="C137" s="179" t="n">
        <v>726205937</v>
      </c>
      <c r="D137" s="179" t="n">
        <v>727564092</v>
      </c>
      <c r="E137" s="146" t="n">
        <v>1.002363</v>
      </c>
      <c r="F137" s="179" t="n">
        <v>8807791056</v>
      </c>
      <c r="G137" s="179" t="n">
        <v>8787030070</v>
      </c>
      <c r="H137" s="179">
        <f>IFERROR(D137+G137,D137)</f>
        <v/>
      </c>
      <c r="I137" s="184">
        <f>IFERROR(D137/H137,"")</f>
        <v/>
      </c>
      <c r="J137" s="179" t="n">
        <v>145512818</v>
      </c>
      <c r="K137" s="179" t="n">
        <v>291025637</v>
      </c>
      <c r="L137" s="179" t="n">
        <v>436538455</v>
      </c>
    </row>
    <row r="138" ht="15" customHeight="1" s="95">
      <c r="A138" s="143" t="n">
        <v>43967</v>
      </c>
      <c r="B138" s="146" t="n">
        <v>1.000514</v>
      </c>
      <c r="C138" s="179" t="n">
        <v>727130462</v>
      </c>
      <c r="D138" s="179" t="n">
        <v>726756823</v>
      </c>
      <c r="E138" s="146" t="n">
        <v>0.9997779999999999</v>
      </c>
      <c r="F138" s="179" t="n">
        <v>8864847685</v>
      </c>
      <c r="G138" s="179" t="n">
        <v>8866813360</v>
      </c>
      <c r="H138" s="179">
        <f>IFERROR(D138+G138,D138)</f>
        <v/>
      </c>
      <c r="I138" s="184">
        <f>IFERROR(D138/H138,"")</f>
        <v/>
      </c>
      <c r="J138" s="179" t="n">
        <v>145351365</v>
      </c>
      <c r="K138" s="179" t="n">
        <v>290702729</v>
      </c>
      <c r="L138" s="179" t="n">
        <v>436054094</v>
      </c>
    </row>
    <row r="139" ht="15" customHeight="1" s="95">
      <c r="A139" s="143" t="n">
        <v>43968</v>
      </c>
      <c r="B139" s="146" t="n">
        <v>0.997224</v>
      </c>
      <c r="C139" s="179" t="n">
        <v>724661419</v>
      </c>
      <c r="D139" s="179" t="n">
        <v>726678772</v>
      </c>
      <c r="E139" s="146" t="n">
        <v>0.998853</v>
      </c>
      <c r="F139" s="179" t="n">
        <v>8887329332</v>
      </c>
      <c r="G139" s="179" t="n">
        <v>8897531346</v>
      </c>
      <c r="H139" s="179">
        <f>IFERROR(D139+G139,D139)</f>
        <v/>
      </c>
      <c r="I139" s="184">
        <f>IFERROR(D139/H139,"")</f>
        <v/>
      </c>
      <c r="J139" s="179" t="n">
        <v>145335754</v>
      </c>
      <c r="K139" s="179" t="n">
        <v>290671509</v>
      </c>
      <c r="L139" s="179" t="n">
        <v>436007263</v>
      </c>
    </row>
    <row r="140" ht="15" customHeight="1" s="95">
      <c r="A140" s="143" t="n">
        <v>43969</v>
      </c>
      <c r="B140" s="146" t="n">
        <v>1.000519</v>
      </c>
      <c r="C140" s="179" t="n">
        <v>726279460</v>
      </c>
      <c r="D140" s="179" t="n">
        <v>725902951</v>
      </c>
      <c r="E140" s="146" t="n">
        <v>1.001998</v>
      </c>
      <c r="F140" s="179" t="n">
        <v>8975796528</v>
      </c>
      <c r="G140" s="179" t="n">
        <v>8957897293</v>
      </c>
      <c r="H140" s="179">
        <f>IFERROR(D140+G140,D140)</f>
        <v/>
      </c>
      <c r="I140" s="184">
        <f>IFERROR(D140/H140,"")</f>
        <v/>
      </c>
      <c r="J140" s="179" t="n">
        <v>145180590</v>
      </c>
      <c r="K140" s="179" t="n">
        <v>290361180</v>
      </c>
      <c r="L140" s="179" t="n">
        <v>435541771</v>
      </c>
    </row>
    <row r="141" ht="15" customHeight="1" s="95">
      <c r="A141" s="143" t="n">
        <v>43970</v>
      </c>
      <c r="B141" s="146" t="n">
        <v>0.998573</v>
      </c>
      <c r="C141" s="179" t="n">
        <v>724994740</v>
      </c>
      <c r="D141" s="179" t="n">
        <v>726030505</v>
      </c>
      <c r="E141" s="146" t="n">
        <v>0.997509</v>
      </c>
      <c r="F141" s="179" t="n">
        <v>8946398316</v>
      </c>
      <c r="G141" s="179" t="n">
        <v>8968743585</v>
      </c>
      <c r="H141" s="179">
        <f>IFERROR(D141+G141,D141)</f>
        <v/>
      </c>
      <c r="I141" s="184">
        <f>IFERROR(D141/H141,"")</f>
        <v/>
      </c>
      <c r="J141" s="179" t="n">
        <v>145206101</v>
      </c>
      <c r="K141" s="179" t="n">
        <v>290412202</v>
      </c>
      <c r="L141" s="179" t="n">
        <v>435618303</v>
      </c>
    </row>
    <row r="142" ht="15" customHeight="1" s="95">
      <c r="A142" s="143" t="n">
        <v>43971</v>
      </c>
      <c r="B142" s="146" t="n">
        <v>0.999399</v>
      </c>
      <c r="C142" s="179" t="n">
        <v>726086023</v>
      </c>
      <c r="D142" s="179" t="n">
        <v>726522577</v>
      </c>
      <c r="E142" s="146" t="n">
        <v>0.997822</v>
      </c>
      <c r="F142" s="179" t="n">
        <v>8925141348</v>
      </c>
      <c r="G142" s="179" t="n">
        <v>8944623374</v>
      </c>
      <c r="H142" s="179">
        <f>IFERROR(D142+G142,D142)</f>
        <v/>
      </c>
      <c r="I142" s="184">
        <f>IFERROR(D142/H142,"")</f>
        <v/>
      </c>
      <c r="J142" s="179" t="n">
        <v>145304515</v>
      </c>
      <c r="K142" s="179" t="n">
        <v>290609031</v>
      </c>
      <c r="L142" s="179" t="n">
        <v>435913546</v>
      </c>
    </row>
    <row r="143" ht="15" customHeight="1" s="95">
      <c r="A143" s="143" t="n">
        <v>43972</v>
      </c>
      <c r="B143" s="146" t="n">
        <v>0.999438</v>
      </c>
      <c r="C143" s="179" t="n">
        <v>733473515</v>
      </c>
      <c r="D143" s="179" t="n">
        <v>733885953</v>
      </c>
      <c r="E143" s="146" t="n">
        <v>0.999319</v>
      </c>
      <c r="F143" s="179" t="n">
        <v>8949763767</v>
      </c>
      <c r="G143" s="179" t="n">
        <v>8955864308</v>
      </c>
      <c r="H143" s="179">
        <f>IFERROR(D143+G143,D143)</f>
        <v/>
      </c>
      <c r="I143" s="184">
        <f>IFERROR(D143/H143,"")</f>
        <v/>
      </c>
      <c r="J143" s="179" t="n">
        <v>146777191</v>
      </c>
      <c r="K143" s="179" t="n">
        <v>293554381</v>
      </c>
      <c r="L143" s="179" t="n">
        <v>440331572</v>
      </c>
    </row>
    <row r="144" ht="15" customHeight="1" s="95">
      <c r="A144" s="143" t="n">
        <v>43973</v>
      </c>
      <c r="B144" s="146" t="n">
        <v>0.999014</v>
      </c>
      <c r="C144" s="179" t="n">
        <v>730845882</v>
      </c>
      <c r="D144" s="179" t="n">
        <v>731567470</v>
      </c>
      <c r="E144" s="146" t="n">
        <v>0.99812</v>
      </c>
      <c r="F144" s="179" t="n">
        <v>8937031687</v>
      </c>
      <c r="G144" s="179" t="n">
        <v>8953864308</v>
      </c>
      <c r="H144" s="179">
        <f>IFERROR(D144+G144,D144)</f>
        <v/>
      </c>
      <c r="I144" s="184">
        <f>IFERROR(D144/H144,"")</f>
        <v/>
      </c>
      <c r="J144" s="179" t="n">
        <v>146313494</v>
      </c>
      <c r="K144" s="179" t="n">
        <v>292626988</v>
      </c>
      <c r="L144" s="179" t="n">
        <v>438940482</v>
      </c>
    </row>
    <row r="145" ht="15" customHeight="1" s="95">
      <c r="A145" s="143" t="n">
        <v>43974</v>
      </c>
      <c r="B145" s="146" t="n">
        <v>0.99837</v>
      </c>
      <c r="C145" s="179" t="n">
        <v>730001403</v>
      </c>
      <c r="D145" s="179" t="n">
        <v>731193163</v>
      </c>
      <c r="E145" s="146" t="n">
        <v>0.999511</v>
      </c>
      <c r="F145" s="179" t="n">
        <v>8904835042</v>
      </c>
      <c r="G145" s="179" t="n">
        <v>8909194471</v>
      </c>
      <c r="H145" s="179">
        <f>IFERROR(D145+G145,D145)</f>
        <v/>
      </c>
      <c r="I145" s="184">
        <f>IFERROR(D145/H145,"")</f>
        <v/>
      </c>
      <c r="J145" s="179" t="n">
        <v>146238633</v>
      </c>
      <c r="K145" s="179" t="n">
        <v>292477265</v>
      </c>
      <c r="L145" s="179" t="n">
        <v>438715898</v>
      </c>
    </row>
    <row r="146" ht="15" customHeight="1" s="95">
      <c r="A146" s="143" t="n">
        <v>43975</v>
      </c>
      <c r="B146" s="146" t="n">
        <v>0.9992760000000001</v>
      </c>
      <c r="C146" s="179" t="n">
        <v>730880485</v>
      </c>
      <c r="D146" s="179" t="n">
        <v>731409719</v>
      </c>
      <c r="E146" s="146" t="n">
        <v>0.998406</v>
      </c>
      <c r="F146" s="179" t="n">
        <v>8912893843</v>
      </c>
      <c r="G146" s="179" t="n">
        <v>8927119269</v>
      </c>
      <c r="H146" s="179">
        <f>IFERROR(D146+G146,D146)</f>
        <v/>
      </c>
      <c r="I146" s="184">
        <f>IFERROR(D146/H146,"")</f>
        <v/>
      </c>
      <c r="J146" s="179" t="n">
        <v>146281944</v>
      </c>
      <c r="K146" s="179" t="n">
        <v>292563888</v>
      </c>
      <c r="L146" s="179" t="n">
        <v>438845831</v>
      </c>
    </row>
    <row r="147" ht="15" customHeight="1" s="95">
      <c r="A147" s="143" t="n">
        <v>43976</v>
      </c>
      <c r="B147" s="146" t="n">
        <v>0.995618</v>
      </c>
      <c r="C147" s="179" t="n">
        <v>728156160</v>
      </c>
      <c r="D147" s="179" t="n">
        <v>731361146</v>
      </c>
      <c r="E147" s="146" t="n">
        <v>0.99411</v>
      </c>
      <c r="F147" s="179" t="n">
        <v>8973070176</v>
      </c>
      <c r="G147" s="179" t="n">
        <v>9026233753</v>
      </c>
      <c r="H147" s="179">
        <f>IFERROR(D147+G147,D147)</f>
        <v/>
      </c>
      <c r="I147" s="184">
        <f>IFERROR(D147/H147,"")</f>
        <v/>
      </c>
      <c r="J147" s="179" t="n">
        <v>146272229</v>
      </c>
      <c r="K147" s="179" t="n">
        <v>292544458</v>
      </c>
      <c r="L147" s="179" t="n">
        <v>438816688</v>
      </c>
    </row>
    <row r="148" ht="15" customHeight="1" s="95">
      <c r="A148" s="143" t="n">
        <v>43977</v>
      </c>
      <c r="B148" s="146" t="n">
        <v>0.998417</v>
      </c>
      <c r="C148" s="179" t="n">
        <v>738174061</v>
      </c>
      <c r="D148" s="179" t="n">
        <v>739344619</v>
      </c>
      <c r="E148" s="146" t="n">
        <v>1.000572</v>
      </c>
      <c r="F148" s="179" t="n">
        <v>9005148939</v>
      </c>
      <c r="G148" s="179" t="n">
        <v>9000002390</v>
      </c>
      <c r="H148" s="179">
        <f>IFERROR(D148+G148,D148)</f>
        <v/>
      </c>
      <c r="I148" s="184">
        <f>IFERROR(D148/H148,"")</f>
        <v/>
      </c>
      <c r="J148" s="179" t="n">
        <v>147868924</v>
      </c>
      <c r="K148" s="179" t="n">
        <v>295737848</v>
      </c>
      <c r="L148" s="179" t="n">
        <v>443606771</v>
      </c>
    </row>
    <row r="149" ht="15" customHeight="1" s="95">
      <c r="A149" s="143" t="n">
        <v>43978</v>
      </c>
      <c r="B149" s="146" t="n">
        <v>0.999954</v>
      </c>
      <c r="C149" s="179" t="n">
        <v>738446276</v>
      </c>
      <c r="D149" s="179" t="n">
        <v>738479991</v>
      </c>
      <c r="E149" s="146" t="n">
        <v>1.000043</v>
      </c>
      <c r="F149" s="179" t="n">
        <v>9000991564</v>
      </c>
      <c r="G149" s="179" t="n">
        <v>9000602390</v>
      </c>
      <c r="H149" s="179">
        <f>IFERROR(D149+G149,D149)</f>
        <v/>
      </c>
      <c r="I149" s="184">
        <f>IFERROR(D149/H149,"")</f>
        <v/>
      </c>
      <c r="J149" s="179" t="n">
        <v>147695998</v>
      </c>
      <c r="K149" s="179" t="n">
        <v>295391996</v>
      </c>
      <c r="L149" s="179" t="n">
        <v>443087995</v>
      </c>
    </row>
    <row r="150" ht="15" customHeight="1" s="95">
      <c r="A150" s="143" t="n">
        <v>43979</v>
      </c>
      <c r="B150" s="146" t="n">
        <v>1.000918</v>
      </c>
      <c r="C150" s="179" t="n">
        <v>740107622</v>
      </c>
      <c r="D150" s="179" t="n">
        <v>739428577</v>
      </c>
      <c r="E150" s="146" t="n">
        <v>1.00018</v>
      </c>
      <c r="F150" s="179" t="n">
        <v>9015071777</v>
      </c>
      <c r="G150" s="179" t="n">
        <v>9013444896</v>
      </c>
      <c r="H150" s="179">
        <f>IFERROR(D150+G150,D150)</f>
        <v/>
      </c>
      <c r="I150" s="184">
        <f>IFERROR(D150/H150,"")</f>
        <v/>
      </c>
      <c r="J150" s="179" t="n">
        <v>147885715</v>
      </c>
      <c r="K150" s="179" t="n">
        <v>295771431</v>
      </c>
      <c r="L150" s="179" t="n">
        <v>443657146</v>
      </c>
    </row>
    <row r="151" ht="15" customHeight="1" s="95">
      <c r="A151" s="143" t="n">
        <v>43980</v>
      </c>
      <c r="B151" s="146" t="n">
        <v>0.998733</v>
      </c>
      <c r="C151" s="179" t="n">
        <v>744293975</v>
      </c>
      <c r="D151" s="179" t="n">
        <v>745238257</v>
      </c>
      <c r="E151" s="146" t="n">
        <v>1.000313</v>
      </c>
      <c r="F151" s="179" t="n">
        <v>9034880313</v>
      </c>
      <c r="G151" s="179" t="n">
        <v>9032050203</v>
      </c>
      <c r="H151" s="179">
        <f>IFERROR(D151+G151,D151)</f>
        <v/>
      </c>
      <c r="I151" s="184">
        <f>IFERROR(D151/H151,"")</f>
        <v/>
      </c>
      <c r="J151" s="179" t="n">
        <v>149047651</v>
      </c>
      <c r="K151" s="179" t="n">
        <v>298095303</v>
      </c>
      <c r="L151" s="179" t="n">
        <v>447142954</v>
      </c>
    </row>
    <row r="152" ht="15" customHeight="1" s="95">
      <c r="A152" s="143" t="n">
        <v>43981</v>
      </c>
      <c r="B152" s="146" t="n">
        <v>0.999555</v>
      </c>
      <c r="C152" s="179" t="n">
        <v>746020197</v>
      </c>
      <c r="D152" s="179" t="n">
        <v>746352634</v>
      </c>
      <c r="E152" s="146" t="n">
        <v>0.999309</v>
      </c>
      <c r="F152" s="179" t="n">
        <v>9046743741</v>
      </c>
      <c r="G152" s="179" t="n">
        <v>9052994881</v>
      </c>
      <c r="H152" s="179">
        <f>IFERROR(D152+G152,D152)</f>
        <v/>
      </c>
      <c r="I152" s="184">
        <f>IFERROR(D152/H152,"")</f>
        <v/>
      </c>
      <c r="J152" s="179" t="n">
        <v>149270527</v>
      </c>
      <c r="K152" s="179" t="n">
        <v>298541054</v>
      </c>
      <c r="L152" s="179" t="n">
        <v>447811580</v>
      </c>
    </row>
    <row r="153" ht="15" customHeight="1" s="95">
      <c r="A153" s="143" t="n">
        <v>43982</v>
      </c>
      <c r="B153" s="146" t="n">
        <v>1.001596</v>
      </c>
      <c r="C153" s="179" t="n">
        <v>747124387</v>
      </c>
      <c r="D153" s="179" t="n">
        <v>745934034</v>
      </c>
      <c r="E153" s="146" t="n">
        <v>1.001617</v>
      </c>
      <c r="F153" s="179" t="n">
        <v>9107846024</v>
      </c>
      <c r="G153" s="179" t="n">
        <v>9093141663</v>
      </c>
      <c r="H153" s="179">
        <f>IFERROR(D153+G153,D153)</f>
        <v/>
      </c>
      <c r="I153" s="184">
        <f>IFERROR(D153/H153,"")</f>
        <v/>
      </c>
      <c r="J153" s="179" t="n">
        <v>149186807</v>
      </c>
      <c r="K153" s="179" t="n">
        <v>298373614</v>
      </c>
      <c r="L153" s="179" t="n">
        <v>447560420</v>
      </c>
    </row>
    <row r="154" ht="15" customHeight="1" s="95">
      <c r="A154" s="143" t="n">
        <v>43983</v>
      </c>
      <c r="B154" s="146" t="n">
        <v>1.002798</v>
      </c>
      <c r="C154" s="179" t="n">
        <v>732150216</v>
      </c>
      <c r="D154" s="179" t="n">
        <v>730107615</v>
      </c>
      <c r="E154" s="146" t="n">
        <v>0.999325</v>
      </c>
      <c r="F154" s="179" t="n">
        <v>9087003495</v>
      </c>
      <c r="G154" s="179" t="n">
        <v>9093141663</v>
      </c>
      <c r="H154" s="179">
        <f>IFERROR(D154+G154,D154)</f>
        <v/>
      </c>
      <c r="I154" s="184">
        <f>IFERROR(D154/H154,"")</f>
        <v/>
      </c>
      <c r="J154" s="179" t="n">
        <v>146021523</v>
      </c>
      <c r="K154" s="179" t="n">
        <v>292043046</v>
      </c>
      <c r="L154" s="179" t="n">
        <v>438064569</v>
      </c>
    </row>
    <row r="155" ht="15" customHeight="1" s="95">
      <c r="A155" s="143" t="n">
        <v>43984</v>
      </c>
      <c r="B155" s="146" t="n">
        <v>0.999375</v>
      </c>
      <c r="C155" s="179" t="n">
        <v>729757861</v>
      </c>
      <c r="D155" s="179" t="n">
        <v>730214261</v>
      </c>
      <c r="E155" s="146" t="n">
        <v>1.009694</v>
      </c>
      <c r="F155" s="179" t="n">
        <v>9131206431</v>
      </c>
      <c r="G155" s="179" t="n">
        <v>9043539740</v>
      </c>
      <c r="H155" s="179">
        <f>IFERROR(D155+G155,D155)</f>
        <v/>
      </c>
      <c r="I155" s="184">
        <f>IFERROR(D155/H155,"")</f>
        <v/>
      </c>
      <c r="J155" s="179" t="n">
        <v>146042852</v>
      </c>
      <c r="K155" s="179" t="n">
        <v>292085704</v>
      </c>
      <c r="L155" s="179" t="n">
        <v>438128557</v>
      </c>
    </row>
    <row r="156" ht="15" customHeight="1" s="95">
      <c r="A156" s="143" t="n">
        <v>43985</v>
      </c>
      <c r="B156" s="146" t="n">
        <v>1.000188</v>
      </c>
      <c r="C156" s="179" t="n">
        <v>741158313</v>
      </c>
      <c r="D156" s="179" t="n">
        <v>741019268</v>
      </c>
      <c r="E156" s="146" t="n">
        <v>0.998624</v>
      </c>
      <c r="F156" s="179" t="n">
        <v>9212094570</v>
      </c>
      <c r="G156" s="179" t="n">
        <v>9224787989</v>
      </c>
      <c r="H156" s="179">
        <f>IFERROR(D156+G156,D156)</f>
        <v/>
      </c>
      <c r="I156" s="184">
        <f>IFERROR(D156/H156,"")</f>
        <v/>
      </c>
      <c r="J156" s="179" t="n">
        <v>148203854</v>
      </c>
      <c r="K156" s="179" t="n">
        <v>296407707</v>
      </c>
      <c r="L156" s="179" t="n">
        <v>444611561</v>
      </c>
    </row>
    <row r="157" ht="15" customHeight="1" s="95">
      <c r="A157" s="143" t="n">
        <v>43986</v>
      </c>
      <c r="B157" s="146" t="n">
        <v>1.001519</v>
      </c>
      <c r="C157" s="179" t="n">
        <v>737553655</v>
      </c>
      <c r="D157" s="179" t="n">
        <v>736435238</v>
      </c>
      <c r="E157" s="146" t="n">
        <v>0.9994459999999999</v>
      </c>
      <c r="F157" s="179" t="n">
        <v>9223480386</v>
      </c>
      <c r="G157" s="179" t="n">
        <v>9228590404</v>
      </c>
      <c r="H157" s="179">
        <f>IFERROR(D157+G157,D157)</f>
        <v/>
      </c>
      <c r="I157" s="184">
        <f>IFERROR(D157/H157,"")</f>
        <v/>
      </c>
      <c r="J157" s="179" t="n">
        <v>147287048</v>
      </c>
      <c r="K157" s="179" t="n">
        <v>294574095</v>
      </c>
      <c r="L157" s="179" t="n">
        <v>441861143</v>
      </c>
    </row>
    <row r="158" ht="15" customHeight="1" s="95">
      <c r="A158" s="143" t="n">
        <v>43987</v>
      </c>
      <c r="B158" s="146" t="n">
        <v>1.000719</v>
      </c>
      <c r="C158" s="179" t="n">
        <v>739424342</v>
      </c>
      <c r="D158" s="179" t="n">
        <v>738893341</v>
      </c>
      <c r="E158" s="146" t="n">
        <v>0.99992</v>
      </c>
      <c r="F158" s="179" t="n">
        <v>9264926473</v>
      </c>
      <c r="G158" s="179" t="n">
        <v>9265671391</v>
      </c>
      <c r="H158" s="179">
        <f>IFERROR(D158+G158,D158)</f>
        <v/>
      </c>
      <c r="I158" s="184">
        <f>IFERROR(D158/H158,"")</f>
        <v/>
      </c>
      <c r="J158" s="179" t="n">
        <v>147778668</v>
      </c>
      <c r="K158" s="179" t="n">
        <v>295557336</v>
      </c>
      <c r="L158" s="179" t="n">
        <v>443336005</v>
      </c>
    </row>
    <row r="159" ht="15" customHeight="1" s="95">
      <c r="A159" s="143" t="n">
        <v>43988</v>
      </c>
      <c r="B159" s="146" t="n">
        <v>0.995475</v>
      </c>
      <c r="C159" s="179" t="n">
        <v>738419597</v>
      </c>
      <c r="D159" s="179" t="n">
        <v>741776141</v>
      </c>
      <c r="E159" s="146" t="n">
        <v>0.998482</v>
      </c>
      <c r="F159" s="179" t="n">
        <v>9267985509</v>
      </c>
      <c r="G159" s="179" t="n">
        <v>9282071391</v>
      </c>
      <c r="H159" s="179">
        <f>IFERROR(D159+G159,D159)</f>
        <v/>
      </c>
      <c r="I159" s="184">
        <f>IFERROR(D159/H159,"")</f>
        <v/>
      </c>
      <c r="J159" s="179" t="n">
        <v>148355228</v>
      </c>
      <c r="K159" s="179" t="n">
        <v>296710456</v>
      </c>
      <c r="L159" s="179" t="n">
        <v>445065685</v>
      </c>
    </row>
    <row r="160" ht="15" customHeight="1" s="95">
      <c r="A160" s="143" t="n">
        <v>43989</v>
      </c>
      <c r="B160" s="146" t="n">
        <v>1.00037</v>
      </c>
      <c r="C160" s="179" t="n">
        <v>740762680</v>
      </c>
      <c r="D160" s="179" t="n">
        <v>740488573</v>
      </c>
      <c r="E160" s="146" t="n">
        <v>0.999134</v>
      </c>
      <c r="F160" s="179" t="n">
        <v>9281349701</v>
      </c>
      <c r="G160" s="179" t="n">
        <v>9289398846</v>
      </c>
      <c r="H160" s="179">
        <f>IFERROR(D160+G160,D160)</f>
        <v/>
      </c>
      <c r="I160" s="184">
        <f>IFERROR(D160/H160,"")</f>
        <v/>
      </c>
      <c r="J160" s="179" t="n">
        <v>148097715</v>
      </c>
      <c r="K160" s="179" t="n">
        <v>296195429</v>
      </c>
      <c r="L160" s="179" t="n">
        <v>444293144</v>
      </c>
    </row>
    <row r="161" ht="15" customHeight="1" s="95">
      <c r="A161" s="143" t="n">
        <v>43990</v>
      </c>
      <c r="B161" s="146" t="n">
        <v>1.000126</v>
      </c>
      <c r="C161" s="179" t="n">
        <v>739704499</v>
      </c>
      <c r="D161" s="179" t="n">
        <v>739611467</v>
      </c>
      <c r="E161" s="146" t="n">
        <v>0.9997740000000001</v>
      </c>
      <c r="F161" s="179" t="n">
        <v>9304968054</v>
      </c>
      <c r="G161" s="179" t="n">
        <v>9307071391</v>
      </c>
      <c r="H161" s="179">
        <f>IFERROR(D161+G161,D161)</f>
        <v/>
      </c>
      <c r="I161" s="184">
        <f>IFERROR(D161/H161,"")</f>
        <v/>
      </c>
      <c r="J161" s="179" t="n">
        <v>147922293</v>
      </c>
      <c r="K161" s="179" t="n">
        <v>295844587</v>
      </c>
      <c r="L161" s="179" t="n">
        <v>443766880</v>
      </c>
    </row>
    <row r="162" ht="15" customHeight="1" s="95">
      <c r="A162" s="143" t="n">
        <v>43991</v>
      </c>
      <c r="B162" s="146" t="n">
        <v>1.002108</v>
      </c>
      <c r="C162" s="179" t="n">
        <v>745158033</v>
      </c>
      <c r="D162" s="179" t="n">
        <v>743590281</v>
      </c>
      <c r="E162" s="146" t="n">
        <v>1.000384</v>
      </c>
      <c r="F162" s="179" t="n">
        <v>9330982636</v>
      </c>
      <c r="G162" s="179" t="n">
        <v>9327404268</v>
      </c>
      <c r="H162" s="179">
        <f>IFERROR(D162+G162,D162)</f>
        <v/>
      </c>
      <c r="I162" s="184">
        <f>IFERROR(D162/H162,"")</f>
        <v/>
      </c>
      <c r="J162" s="179" t="n">
        <v>148718056</v>
      </c>
      <c r="K162" s="179" t="n">
        <v>297436112</v>
      </c>
      <c r="L162" s="179" t="n">
        <v>446154169</v>
      </c>
    </row>
    <row r="163" ht="15" customHeight="1" s="95">
      <c r="A163" s="143" t="n">
        <v>43992</v>
      </c>
      <c r="B163" s="146" t="n">
        <v>1.000316</v>
      </c>
      <c r="C163" s="179" t="n">
        <v>744872916</v>
      </c>
      <c r="D163" s="179" t="n">
        <v>744637357</v>
      </c>
      <c r="E163" s="146" t="n">
        <v>0.99937</v>
      </c>
      <c r="F163" s="179" t="n">
        <v>9350784917</v>
      </c>
      <c r="G163" s="179" t="n">
        <v>9356683284</v>
      </c>
      <c r="H163" s="179">
        <f>IFERROR(D163+G163,D163)</f>
        <v/>
      </c>
      <c r="I163" s="184">
        <f>IFERROR(D163/H163,"")</f>
        <v/>
      </c>
      <c r="J163" s="179" t="n">
        <v>148927471</v>
      </c>
      <c r="K163" s="179" t="n">
        <v>297854943</v>
      </c>
      <c r="L163" s="179" t="n">
        <v>446782414</v>
      </c>
    </row>
    <row r="164" ht="15" customHeight="1" s="95">
      <c r="A164" s="143" t="n">
        <v>43993</v>
      </c>
      <c r="B164" s="146" t="n">
        <v>0.999005</v>
      </c>
      <c r="C164" s="179" t="n">
        <v>733633526</v>
      </c>
      <c r="D164" s="179" t="n">
        <v>734364063</v>
      </c>
      <c r="E164" s="146" t="n">
        <v>1.000542</v>
      </c>
      <c r="F164" s="179" t="n">
        <v>9408692692</v>
      </c>
      <c r="G164" s="179" t="n">
        <v>9403599110</v>
      </c>
      <c r="H164" s="179">
        <f>IFERROR(D164+G164,D164)</f>
        <v/>
      </c>
      <c r="I164" s="184">
        <f>IFERROR(D164/H164,"")</f>
        <v/>
      </c>
      <c r="J164" s="179" t="n">
        <v>146872813</v>
      </c>
      <c r="K164" s="179" t="n">
        <v>293745625</v>
      </c>
      <c r="L164" s="179" t="n">
        <v>440618438</v>
      </c>
    </row>
    <row r="165" ht="15" customHeight="1" s="95">
      <c r="A165" s="143" t="n">
        <v>43994</v>
      </c>
      <c r="B165" s="146" t="n">
        <v>1.001693</v>
      </c>
      <c r="C165" s="179" t="n">
        <v>734705830</v>
      </c>
      <c r="D165" s="179" t="n">
        <v>733464031</v>
      </c>
      <c r="E165" s="146" t="n">
        <v>0.99971</v>
      </c>
      <c r="F165" s="179" t="n">
        <v>9436245876</v>
      </c>
      <c r="G165" s="179" t="n">
        <v>9438984796</v>
      </c>
      <c r="H165" s="179">
        <f>IFERROR(D165+G165,D165)</f>
        <v/>
      </c>
      <c r="I165" s="184">
        <f>IFERROR(D165/H165,"")</f>
        <v/>
      </c>
      <c r="J165" s="179" t="n">
        <v>146692806</v>
      </c>
      <c r="K165" s="179" t="n">
        <v>293385612</v>
      </c>
      <c r="L165" s="179" t="n">
        <v>440078419</v>
      </c>
    </row>
    <row r="166" ht="15" customHeight="1" s="95">
      <c r="A166" s="143" t="n">
        <v>43995</v>
      </c>
      <c r="B166" s="146" t="n">
        <v>1.001275</v>
      </c>
      <c r="C166" s="179" t="n">
        <v>733293831</v>
      </c>
      <c r="D166" s="179" t="n">
        <v>732360153</v>
      </c>
      <c r="E166" s="146" t="n">
        <v>1.000283</v>
      </c>
      <c r="F166" s="179" t="n">
        <v>9486299302</v>
      </c>
      <c r="G166" s="179" t="n">
        <v>9483615893</v>
      </c>
      <c r="H166" s="179">
        <f>IFERROR(D166+G166,D166)</f>
        <v/>
      </c>
      <c r="I166" s="184">
        <f>IFERROR(D166/H166,"")</f>
        <v/>
      </c>
      <c r="J166" s="179" t="n">
        <v>146472031</v>
      </c>
      <c r="K166" s="179" t="n">
        <v>292944061</v>
      </c>
      <c r="L166" s="179" t="n">
        <v>439416092</v>
      </c>
    </row>
    <row r="167" ht="15" customHeight="1" s="95">
      <c r="A167" s="143" t="n">
        <v>43996</v>
      </c>
      <c r="B167" s="146" t="n">
        <v>1.0003</v>
      </c>
      <c r="C167" s="179" t="n">
        <v>742538868</v>
      </c>
      <c r="D167" s="179" t="n">
        <v>742316069</v>
      </c>
      <c r="E167" s="146" t="n">
        <v>0.999821</v>
      </c>
      <c r="F167" s="179" t="n">
        <v>9481923029</v>
      </c>
      <c r="G167" s="179" t="n">
        <v>9483615893</v>
      </c>
      <c r="H167" s="179">
        <f>IFERROR(D167+G167,D167)</f>
        <v/>
      </c>
      <c r="I167" s="184">
        <f>IFERROR(D167/H167,"")</f>
        <v/>
      </c>
      <c r="J167" s="179" t="n">
        <v>148463214</v>
      </c>
      <c r="K167" s="179" t="n">
        <v>296926428</v>
      </c>
      <c r="L167" s="179" t="n">
        <v>445389641</v>
      </c>
    </row>
    <row r="168" ht="15" customHeight="1" s="95">
      <c r="A168" s="143" t="n">
        <v>43997</v>
      </c>
      <c r="B168" s="146" t="n">
        <v>0.999952</v>
      </c>
      <c r="C168" s="179" t="n">
        <v>742292747</v>
      </c>
      <c r="D168" s="179" t="n">
        <v>742328167</v>
      </c>
      <c r="E168" s="146" t="n">
        <v>0.998945</v>
      </c>
      <c r="F168" s="179" t="n">
        <v>9493593132</v>
      </c>
      <c r="G168" s="179" t="n">
        <v>9503615893</v>
      </c>
      <c r="H168" s="179">
        <f>IFERROR(D168+G168,D168)</f>
        <v/>
      </c>
      <c r="I168" s="184">
        <f>IFERROR(D168/H168,"")</f>
        <v/>
      </c>
      <c r="J168" s="179" t="n">
        <v>148465633</v>
      </c>
      <c r="K168" s="179" t="n">
        <v>296931267</v>
      </c>
      <c r="L168" s="179" t="n">
        <v>445396900</v>
      </c>
    </row>
    <row r="169" ht="15" customHeight="1" s="95">
      <c r="A169" s="143" t="n">
        <v>43998</v>
      </c>
      <c r="B169" s="146" t="n">
        <v>0.999503</v>
      </c>
      <c r="C169" s="179" t="n">
        <v>752372162</v>
      </c>
      <c r="D169" s="179" t="n">
        <v>752746490</v>
      </c>
      <c r="E169" s="146" t="n">
        <v>1.001591</v>
      </c>
      <c r="F169" s="179" t="n">
        <v>9518736918</v>
      </c>
      <c r="G169" s="179" t="n">
        <v>9503615893</v>
      </c>
      <c r="H169" s="179">
        <f>IFERROR(D169+G169,D169)</f>
        <v/>
      </c>
      <c r="I169" s="184">
        <f>IFERROR(D169/H169,"")</f>
        <v/>
      </c>
      <c r="J169" s="179" t="n">
        <v>150549298</v>
      </c>
      <c r="K169" s="179" t="n">
        <v>301098596</v>
      </c>
      <c r="L169" s="179" t="n">
        <v>451647894</v>
      </c>
    </row>
    <row r="170" ht="15" customHeight="1" s="95">
      <c r="A170" s="143" t="n">
        <v>43999</v>
      </c>
      <c r="B170" s="146" t="n">
        <v>1.000189</v>
      </c>
      <c r="C170" s="179" t="n">
        <v>771764657</v>
      </c>
      <c r="D170" s="179" t="n">
        <v>771618552</v>
      </c>
      <c r="E170" s="146" t="n">
        <v>0.999507</v>
      </c>
      <c r="F170" s="179" t="n">
        <v>9544643008</v>
      </c>
      <c r="G170" s="179" t="n">
        <v>9549350792</v>
      </c>
      <c r="H170" s="179">
        <f>IFERROR(D170+G170,D170)</f>
        <v/>
      </c>
      <c r="I170" s="184">
        <f>IFERROR(D170/H170,"")</f>
        <v/>
      </c>
      <c r="J170" s="179" t="n">
        <v>154323710</v>
      </c>
      <c r="K170" s="179" t="n">
        <v>308647421</v>
      </c>
      <c r="L170" s="179" t="n">
        <v>462971131</v>
      </c>
    </row>
    <row r="171" ht="15" customHeight="1" s="95">
      <c r="A171" s="143" t="n">
        <v>44000</v>
      </c>
      <c r="B171" s="146" t="n">
        <v>1.001125</v>
      </c>
      <c r="C171" s="179" t="n">
        <v>802944492</v>
      </c>
      <c r="D171" s="179" t="n">
        <v>802042250</v>
      </c>
      <c r="E171" s="146" t="n">
        <v>1.000052</v>
      </c>
      <c r="F171" s="179" t="n">
        <v>9549847479</v>
      </c>
      <c r="G171" s="179" t="n">
        <v>9549350792</v>
      </c>
      <c r="H171" s="179">
        <f>IFERROR(D171+G171,D171)</f>
        <v/>
      </c>
      <c r="I171" s="184">
        <f>IFERROR(D171/H171,"")</f>
        <v/>
      </c>
      <c r="J171" s="179" t="n">
        <v>160408450</v>
      </c>
      <c r="K171" s="179" t="n">
        <v>320816900</v>
      </c>
      <c r="L171" s="179" t="n">
        <v>481225350</v>
      </c>
    </row>
    <row r="172" ht="15" customHeight="1" s="95">
      <c r="A172" s="143" t="n">
        <v>44001</v>
      </c>
      <c r="B172" s="146" t="n">
        <v>1.000655</v>
      </c>
      <c r="C172" s="179" t="n">
        <v>830636248</v>
      </c>
      <c r="D172" s="179" t="n">
        <v>830092543</v>
      </c>
      <c r="E172" s="146" t="n">
        <v>0.999444</v>
      </c>
      <c r="F172" s="179" t="n">
        <v>9574951885</v>
      </c>
      <c r="G172" s="179" t="n">
        <v>9580279006</v>
      </c>
      <c r="H172" s="179">
        <f>IFERROR(D172+G172,D172)</f>
        <v/>
      </c>
      <c r="I172" s="184">
        <f>IFERROR(D172/H172,"")</f>
        <v/>
      </c>
      <c r="J172" s="179" t="n">
        <v>166018509</v>
      </c>
      <c r="K172" s="179" t="n">
        <v>332037017</v>
      </c>
      <c r="L172" s="179" t="n">
        <v>498055526</v>
      </c>
    </row>
    <row r="173" ht="15" customHeight="1" s="95">
      <c r="A173" s="143" t="n">
        <v>44002</v>
      </c>
      <c r="B173" s="146" t="n">
        <v>1.00185</v>
      </c>
      <c r="C173" s="179" t="n">
        <v>882367706</v>
      </c>
      <c r="D173" s="179" t="n">
        <v>880738139</v>
      </c>
      <c r="E173" s="146" t="n">
        <v>0.999887</v>
      </c>
      <c r="F173" s="179" t="n">
        <v>9614392469</v>
      </c>
      <c r="G173" s="179" t="n">
        <v>9615477016</v>
      </c>
      <c r="H173" s="179">
        <f>IFERROR(D173+G173,D173)</f>
        <v/>
      </c>
      <c r="I173" s="184">
        <f>IFERROR(D173/H173,"")</f>
        <v/>
      </c>
      <c r="J173" s="179" t="n">
        <v>176147628</v>
      </c>
      <c r="K173" s="179" t="n">
        <v>352295256</v>
      </c>
      <c r="L173" s="179" t="n">
        <v>528442883</v>
      </c>
    </row>
    <row r="174" ht="15" customHeight="1" s="95">
      <c r="A174" s="143" t="n">
        <v>44003</v>
      </c>
      <c r="B174" s="146" t="n">
        <v>1.000519</v>
      </c>
      <c r="C174" s="179" t="n">
        <v>912533593</v>
      </c>
      <c r="D174" s="179" t="n">
        <v>912060511</v>
      </c>
      <c r="E174" s="146" t="n">
        <v>0.9995889999999999</v>
      </c>
      <c r="F174" s="179" t="n">
        <v>9627169919</v>
      </c>
      <c r="G174" s="179" t="n">
        <v>9631128757</v>
      </c>
      <c r="H174" s="179">
        <f>IFERROR(D174+G174,D174)</f>
        <v/>
      </c>
      <c r="I174" s="184">
        <f>IFERROR(D174/H174,"")</f>
        <v/>
      </c>
      <c r="J174" s="179" t="n">
        <v>182412102</v>
      </c>
      <c r="K174" s="179" t="n">
        <v>364824204</v>
      </c>
      <c r="L174" s="179" t="n">
        <v>547236307</v>
      </c>
    </row>
    <row r="175" ht="15" customHeight="1" s="95">
      <c r="A175" s="143" t="n">
        <v>44004</v>
      </c>
      <c r="B175" s="146" t="n">
        <v>1.000664</v>
      </c>
      <c r="C175" s="179" t="n">
        <v>933298871</v>
      </c>
      <c r="D175" s="179" t="n">
        <v>932679390</v>
      </c>
      <c r="E175" s="146" t="n">
        <v>1.000404</v>
      </c>
      <c r="F175" s="179" t="n">
        <v>9622223221</v>
      </c>
      <c r="G175" s="179" t="n">
        <v>9618337568</v>
      </c>
      <c r="H175" s="179">
        <f>IFERROR(D175+G175,D175)</f>
        <v/>
      </c>
      <c r="I175" s="184">
        <f>IFERROR(D175/H175,"")</f>
        <v/>
      </c>
      <c r="J175" s="179" t="n">
        <v>186535878</v>
      </c>
      <c r="K175" s="179" t="n">
        <v>373071756</v>
      </c>
      <c r="L175" s="179" t="n">
        <v>559607634</v>
      </c>
    </row>
    <row r="176" ht="15" customHeight="1" s="95">
      <c r="A176" s="143" t="n">
        <v>44005</v>
      </c>
      <c r="B176" s="146" t="n">
        <v>0.999796</v>
      </c>
      <c r="C176" s="179" t="n">
        <v>951762279</v>
      </c>
      <c r="D176" s="179" t="n">
        <v>951956251</v>
      </c>
      <c r="E176" s="146" t="n">
        <v>0.999935</v>
      </c>
      <c r="F176" s="179" t="n">
        <v>9630499942</v>
      </c>
      <c r="G176" s="179" t="n">
        <v>9631128757</v>
      </c>
      <c r="H176" s="179">
        <f>IFERROR(D176+G176,D176)</f>
        <v/>
      </c>
      <c r="I176" s="184">
        <f>IFERROR(D176/H176,"")</f>
        <v/>
      </c>
      <c r="J176" s="179" t="n">
        <v>190391250</v>
      </c>
      <c r="K176" s="179" t="n">
        <v>380782500</v>
      </c>
      <c r="L176" s="179" t="n">
        <v>571173751</v>
      </c>
    </row>
    <row r="177" ht="15" customHeight="1" s="95">
      <c r="A177" s="143" t="n">
        <v>44006</v>
      </c>
      <c r="B177" s="146" t="n">
        <v>1.000789</v>
      </c>
      <c r="C177" s="179" t="n">
        <v>945441840</v>
      </c>
      <c r="D177" s="179" t="n">
        <v>944696708</v>
      </c>
      <c r="E177" s="146" t="n">
        <v>0.999711</v>
      </c>
      <c r="F177" s="179" t="n">
        <v>9601992527</v>
      </c>
      <c r="G177" s="179" t="n">
        <v>9604772483</v>
      </c>
      <c r="H177" s="179">
        <f>IFERROR(D177+G177,D177)</f>
        <v/>
      </c>
      <c r="I177" s="184">
        <f>IFERROR(D177/H177,"")</f>
        <v/>
      </c>
      <c r="J177" s="179" t="n">
        <v>188939342</v>
      </c>
      <c r="K177" s="179" t="n">
        <v>377878683</v>
      </c>
      <c r="L177" s="179" t="n">
        <v>566818025</v>
      </c>
    </row>
    <row r="178" ht="15" customHeight="1" s="95">
      <c r="A178" s="143" t="n">
        <v>44007</v>
      </c>
      <c r="B178" s="146" t="n">
        <v>1</v>
      </c>
      <c r="C178" s="179" t="n">
        <v>940124658</v>
      </c>
      <c r="D178" s="179" t="n">
        <v>940124675</v>
      </c>
      <c r="E178" s="146" t="n">
        <v>1.000984</v>
      </c>
      <c r="F178" s="179" t="n">
        <v>9615414191</v>
      </c>
      <c r="G178" s="179" t="n">
        <v>9605966516</v>
      </c>
      <c r="H178" s="179">
        <f>IFERROR(D178+G178,D178)</f>
        <v/>
      </c>
      <c r="I178" s="184">
        <f>IFERROR(D178/H178,"")</f>
        <v/>
      </c>
      <c r="J178" s="179" t="n">
        <v>188024935</v>
      </c>
      <c r="K178" s="179" t="n">
        <v>376049870</v>
      </c>
      <c r="L178" s="179" t="n">
        <v>564074805</v>
      </c>
    </row>
    <row r="179" ht="15" customHeight="1" s="95">
      <c r="A179" s="143" t="n">
        <v>44008</v>
      </c>
      <c r="B179" s="146" t="n">
        <v>1.000612</v>
      </c>
      <c r="C179" s="179" t="n">
        <v>941549148</v>
      </c>
      <c r="D179" s="179" t="n">
        <v>940973375</v>
      </c>
      <c r="E179" s="146" t="n">
        <v>1.000437</v>
      </c>
      <c r="F179" s="179" t="n">
        <v>9592877640</v>
      </c>
      <c r="G179" s="179" t="n">
        <v>9588684429</v>
      </c>
      <c r="H179" s="179">
        <f>IFERROR(D179+G179,D179)</f>
        <v/>
      </c>
      <c r="I179" s="184">
        <f>IFERROR(D179/H179,"")</f>
        <v/>
      </c>
      <c r="J179" s="179" t="n">
        <v>188194675</v>
      </c>
      <c r="K179" s="179" t="n">
        <v>376389350</v>
      </c>
      <c r="L179" s="179" t="n">
        <v>564584025</v>
      </c>
    </row>
    <row r="180" ht="15" customHeight="1" s="95">
      <c r="A180" s="143" t="n">
        <v>44009</v>
      </c>
      <c r="B180" s="146" t="n">
        <v>1.000902</v>
      </c>
      <c r="C180" s="179" t="n">
        <v>953580578</v>
      </c>
      <c r="D180" s="179" t="n">
        <v>952720796</v>
      </c>
      <c r="E180" s="146" t="n">
        <v>0.999167</v>
      </c>
      <c r="F180" s="179" t="n">
        <v>9629325844</v>
      </c>
      <c r="G180" s="179" t="n">
        <v>9637349272</v>
      </c>
      <c r="H180" s="179">
        <f>IFERROR(D180+G180,D180)</f>
        <v/>
      </c>
      <c r="I180" s="184">
        <f>IFERROR(D180/H180,"")</f>
        <v/>
      </c>
      <c r="J180" s="179" t="n">
        <v>190544159</v>
      </c>
      <c r="K180" s="179" t="n">
        <v>381088318</v>
      </c>
      <c r="L180" s="179" t="n">
        <v>571632478</v>
      </c>
    </row>
    <row r="181" ht="15" customHeight="1" s="95">
      <c r="A181" s="143" t="n">
        <v>44010</v>
      </c>
      <c r="B181" s="146" t="n">
        <v>1.001305</v>
      </c>
      <c r="C181" s="179" t="n">
        <v>984604097</v>
      </c>
      <c r="D181" s="179" t="n">
        <v>983320784</v>
      </c>
      <c r="E181" s="146" t="n">
        <v>0.999711</v>
      </c>
      <c r="F181" s="179" t="n">
        <v>9638700261</v>
      </c>
      <c r="G181" s="179" t="n">
        <v>9641489387</v>
      </c>
      <c r="H181" s="179">
        <f>IFERROR(D181+G181,D181)</f>
        <v/>
      </c>
      <c r="I181" s="184">
        <f>IFERROR(D181/H181,"")</f>
        <v/>
      </c>
      <c r="J181" s="179" t="n">
        <v>196664157</v>
      </c>
      <c r="K181" s="179" t="n">
        <v>393328314</v>
      </c>
      <c r="L181" s="179" t="n">
        <v>589992470</v>
      </c>
    </row>
    <row r="182" ht="15" customHeight="1" s="95">
      <c r="A182" s="143" t="n">
        <v>44011</v>
      </c>
      <c r="B182" s="146" t="n">
        <v>1.002302</v>
      </c>
      <c r="C182" s="179" t="n">
        <v>984899580</v>
      </c>
      <c r="D182" s="179" t="n">
        <v>982637328</v>
      </c>
      <c r="E182" s="146" t="n">
        <v>1.000774</v>
      </c>
      <c r="F182" s="179" t="n">
        <v>9634384874</v>
      </c>
      <c r="G182" s="179" t="n">
        <v>9626930403</v>
      </c>
      <c r="H182" s="179">
        <f>IFERROR(D182+G182,D182)</f>
        <v/>
      </c>
      <c r="I182" s="184">
        <f>IFERROR(D182/H182,"")</f>
        <v/>
      </c>
      <c r="J182" s="179" t="n">
        <v>196527466</v>
      </c>
      <c r="K182" s="179" t="n">
        <v>393054931</v>
      </c>
      <c r="L182" s="179" t="n">
        <v>589582397</v>
      </c>
    </row>
    <row r="183" ht="15" customHeight="1" s="95">
      <c r="A183" s="143" t="n">
        <v>44012</v>
      </c>
      <c r="B183" s="146" t="n">
        <v>1.000026</v>
      </c>
      <c r="C183" s="179" t="n">
        <v>981974100</v>
      </c>
      <c r="D183" s="179" t="n">
        <v>981948259</v>
      </c>
      <c r="E183" s="146" t="n">
        <v>1.00018</v>
      </c>
      <c r="F183" s="179" t="n">
        <v>9628668055</v>
      </c>
      <c r="G183" s="179" t="n">
        <v>9626930403</v>
      </c>
      <c r="H183" s="179">
        <f>IFERROR(D183+G183,D183)</f>
        <v/>
      </c>
      <c r="I183" s="184">
        <f>IFERROR(D183/H183,"")</f>
        <v/>
      </c>
      <c r="J183" s="179" t="n">
        <v>196389652</v>
      </c>
      <c r="K183" s="179" t="n">
        <v>392779304</v>
      </c>
      <c r="L183" s="179" t="n">
        <v>589168955</v>
      </c>
    </row>
    <row r="184" ht="15" customHeight="1" s="95">
      <c r="A184" s="143" t="n">
        <v>44013</v>
      </c>
      <c r="B184" s="146" t="n">
        <v>0.999736</v>
      </c>
      <c r="C184" s="179" t="n">
        <v>986360473</v>
      </c>
      <c r="D184" s="179" t="n">
        <v>986620966</v>
      </c>
      <c r="E184" s="146" t="n">
        <v>1.000977</v>
      </c>
      <c r="F184" s="179" t="n">
        <v>9637841652</v>
      </c>
      <c r="G184" s="179" t="n">
        <v>9628430403</v>
      </c>
      <c r="H184" s="179">
        <f>IFERROR(D184+G184,D184)</f>
        <v/>
      </c>
      <c r="I184" s="184">
        <f>IFERROR(D184/H184,"")</f>
        <v/>
      </c>
      <c r="J184" s="179" t="n">
        <v>197324193</v>
      </c>
      <c r="K184" s="179" t="n">
        <v>394648386</v>
      </c>
      <c r="L184" s="179" t="n">
        <v>591972580</v>
      </c>
    </row>
    <row r="185" ht="15" customHeight="1" s="95">
      <c r="A185" s="143" t="n">
        <v>44014</v>
      </c>
      <c r="B185" s="146" t="n">
        <v>1.00003</v>
      </c>
      <c r="C185" s="179" t="n">
        <v>1001687047</v>
      </c>
      <c r="D185" s="179" t="n">
        <v>1001657471</v>
      </c>
      <c r="E185" s="146" t="n">
        <v>1.000343</v>
      </c>
      <c r="F185" s="179" t="n">
        <v>9639104881</v>
      </c>
      <c r="G185" s="179" t="n">
        <v>9635796221</v>
      </c>
      <c r="H185" s="179">
        <f>IFERROR(D185+G185,D185)</f>
        <v/>
      </c>
      <c r="I185" s="184">
        <f>IFERROR(D185/H185,"")</f>
        <v/>
      </c>
      <c r="J185" s="179" t="n">
        <v>200331494</v>
      </c>
      <c r="K185" s="179" t="n">
        <v>400662988</v>
      </c>
      <c r="L185" s="179" t="n">
        <v>600994483</v>
      </c>
    </row>
    <row r="186" ht="15" customHeight="1" s="95">
      <c r="A186" s="143" t="n">
        <v>44015</v>
      </c>
      <c r="B186" s="146" t="n">
        <v>0.999742</v>
      </c>
      <c r="C186" s="179" t="n">
        <v>998027102</v>
      </c>
      <c r="D186" s="179" t="n">
        <v>998285084</v>
      </c>
      <c r="E186" s="146" t="n">
        <v>0.999796</v>
      </c>
      <c r="F186" s="179" t="n">
        <v>9647929508</v>
      </c>
      <c r="G186" s="179" t="n">
        <v>9649896221</v>
      </c>
      <c r="H186" s="179">
        <f>IFERROR(D186+G186,D186)</f>
        <v/>
      </c>
      <c r="I186" s="184">
        <f>IFERROR(D186/H186,"")</f>
        <v/>
      </c>
      <c r="J186" s="179" t="n">
        <v>199657017</v>
      </c>
      <c r="K186" s="179" t="n">
        <v>399314034</v>
      </c>
      <c r="L186" s="179" t="n">
        <v>598971050</v>
      </c>
    </row>
    <row r="187" ht="15" customHeight="1" s="95">
      <c r="A187" s="143" t="n">
        <v>44016</v>
      </c>
      <c r="B187" s="146" t="n">
        <v>1.000256</v>
      </c>
      <c r="C187" s="179" t="n">
        <v>1039334175</v>
      </c>
      <c r="D187" s="179" t="n">
        <v>1039067740</v>
      </c>
      <c r="E187" s="146" t="n">
        <v>0.999322</v>
      </c>
      <c r="F187" s="179" t="n">
        <v>9643357747</v>
      </c>
      <c r="G187" s="179" t="n">
        <v>9649896221</v>
      </c>
      <c r="H187" s="179">
        <f>IFERROR(D187+G187,D187)</f>
        <v/>
      </c>
      <c r="I187" s="184">
        <f>IFERROR(D187/H187,"")</f>
        <v/>
      </c>
      <c r="J187" s="179" t="n">
        <v>207813548</v>
      </c>
      <c r="K187" s="179" t="n">
        <v>415627096</v>
      </c>
      <c r="L187" s="179" t="n">
        <v>623440644</v>
      </c>
    </row>
    <row r="188" ht="15" customHeight="1" s="95">
      <c r="A188" s="143" t="n">
        <v>44017</v>
      </c>
      <c r="B188" s="146" t="n">
        <v>1.000362</v>
      </c>
      <c r="C188" s="179" t="n">
        <v>1038416511</v>
      </c>
      <c r="D188" s="179" t="n">
        <v>1038040794</v>
      </c>
      <c r="E188" s="146" t="n">
        <v>1.000142</v>
      </c>
      <c r="F188" s="179" t="n">
        <v>9704261207</v>
      </c>
      <c r="G188" s="179" t="n">
        <v>9702878765</v>
      </c>
      <c r="H188" s="179">
        <f>IFERROR(D188+G188,D188)</f>
        <v/>
      </c>
      <c r="I188" s="184">
        <f>IFERROR(D188/H188,"")</f>
        <v/>
      </c>
      <c r="J188" s="179" t="n">
        <v>207608159</v>
      </c>
      <c r="K188" s="179" t="n">
        <v>415216318</v>
      </c>
      <c r="L188" s="179" t="n">
        <v>622824476</v>
      </c>
    </row>
    <row r="189" ht="15" customHeight="1" s="95">
      <c r="A189" s="143" t="n">
        <v>44018</v>
      </c>
      <c r="B189" s="146" t="n">
        <v>1.000376</v>
      </c>
      <c r="C189" s="179" t="n">
        <v>1039017303</v>
      </c>
      <c r="D189" s="179" t="n">
        <v>1038626290</v>
      </c>
      <c r="E189" s="146" t="n">
        <v>1.000611</v>
      </c>
      <c r="F189" s="179" t="n">
        <v>9708811153</v>
      </c>
      <c r="G189" s="179" t="n">
        <v>9702878765</v>
      </c>
      <c r="H189" s="179">
        <f>IFERROR(D189+G189,D189)</f>
        <v/>
      </c>
      <c r="I189" s="184">
        <f>IFERROR(D189/H189,"")</f>
        <v/>
      </c>
      <c r="J189" s="179" t="n">
        <v>207725258</v>
      </c>
      <c r="K189" s="179" t="n">
        <v>415450516</v>
      </c>
      <c r="L189" s="179" t="n">
        <v>623175774</v>
      </c>
    </row>
    <row r="190" ht="15" customHeight="1" s="95">
      <c r="A190" s="143" t="n">
        <v>44019</v>
      </c>
      <c r="B190" s="146" t="n">
        <v>1.000634</v>
      </c>
      <c r="C190" s="179" t="n">
        <v>1046503700</v>
      </c>
      <c r="D190" s="179" t="n">
        <v>1045840905</v>
      </c>
      <c r="E190" s="146" t="n">
        <v>1.001034</v>
      </c>
      <c r="F190" s="179" t="n">
        <v>9712908096</v>
      </c>
      <c r="G190" s="179" t="n">
        <v>9702878765</v>
      </c>
      <c r="H190" s="179">
        <f>IFERROR(D190+G190,D190)</f>
        <v/>
      </c>
      <c r="I190" s="184">
        <f>IFERROR(D190/H190,"")</f>
        <v/>
      </c>
      <c r="J190" s="179" t="n">
        <v>209168181</v>
      </c>
      <c r="K190" s="179" t="n">
        <v>418336362</v>
      </c>
      <c r="L190" s="179" t="n">
        <v>627504543</v>
      </c>
    </row>
    <row r="191" ht="15" customHeight="1" s="95">
      <c r="A191" s="143" t="n">
        <v>44020</v>
      </c>
      <c r="B191" s="146" t="n">
        <v>1.000194</v>
      </c>
      <c r="C191" s="179" t="n">
        <v>1045241767</v>
      </c>
      <c r="D191" s="179" t="n">
        <v>1045038657</v>
      </c>
      <c r="E191" s="146" t="n">
        <v>1.000826</v>
      </c>
      <c r="F191" s="179" t="n">
        <v>9734760495</v>
      </c>
      <c r="G191" s="179" t="n">
        <v>9726728657</v>
      </c>
      <c r="H191" s="179">
        <f>IFERROR(D191+G191,D191)</f>
        <v/>
      </c>
      <c r="I191" s="184">
        <f>IFERROR(D191/H191,"")</f>
        <v/>
      </c>
      <c r="J191" s="179" t="n">
        <v>209007731</v>
      </c>
      <c r="K191" s="179" t="n">
        <v>418015463</v>
      </c>
      <c r="L191" s="179" t="n">
        <v>627023194</v>
      </c>
    </row>
    <row r="192" ht="15" customHeight="1" s="95">
      <c r="A192" s="143" t="n">
        <v>44021</v>
      </c>
      <c r="B192" s="146" t="n">
        <v>0.999776</v>
      </c>
      <c r="C192" s="179" t="n">
        <v>1069778242</v>
      </c>
      <c r="D192" s="179" t="n">
        <v>1070018362</v>
      </c>
      <c r="E192" s="146" t="n">
        <v>0.998891</v>
      </c>
      <c r="F192" s="179" t="n">
        <v>9736967713</v>
      </c>
      <c r="G192" s="179" t="n">
        <v>9747780202</v>
      </c>
      <c r="H192" s="179">
        <f>IFERROR(D192+G192,D192)</f>
        <v/>
      </c>
      <c r="I192" s="184">
        <f>IFERROR(D192/H192,"")</f>
        <v/>
      </c>
      <c r="J192" s="179" t="n">
        <v>214003672</v>
      </c>
      <c r="K192" s="179" t="n">
        <v>428007345</v>
      </c>
      <c r="L192" s="179" t="n">
        <v>642011017</v>
      </c>
    </row>
    <row r="193" ht="15" customHeight="1" s="95">
      <c r="A193" s="143" t="n">
        <v>44022</v>
      </c>
      <c r="B193" s="146" t="n">
        <v>1.00087</v>
      </c>
      <c r="C193" s="179" t="n">
        <v>1080064567</v>
      </c>
      <c r="D193" s="179" t="n">
        <v>1079125733</v>
      </c>
      <c r="E193" s="146" t="n">
        <v>0.999831</v>
      </c>
      <c r="F193" s="179" t="n">
        <v>9783869272</v>
      </c>
      <c r="G193" s="179" t="n">
        <v>9785526557</v>
      </c>
      <c r="H193" s="179">
        <f>IFERROR(D193+G193,D193)</f>
        <v/>
      </c>
      <c r="I193" s="184">
        <f>IFERROR(D193/H193,"")</f>
        <v/>
      </c>
      <c r="J193" s="179" t="n">
        <v>215825147</v>
      </c>
      <c r="K193" s="179" t="n">
        <v>431650293</v>
      </c>
      <c r="L193" s="179" t="n">
        <v>647475440</v>
      </c>
    </row>
    <row r="194" ht="15" customHeight="1" s="95">
      <c r="A194" s="143" t="n">
        <v>44023</v>
      </c>
      <c r="B194" s="146" t="n">
        <v>0.999673</v>
      </c>
      <c r="C194" s="179" t="n">
        <v>1100018698</v>
      </c>
      <c r="D194" s="179" t="n">
        <v>1100378896</v>
      </c>
      <c r="E194" s="146" t="n">
        <v>0.999857</v>
      </c>
      <c r="F194" s="179" t="n">
        <v>9803667486</v>
      </c>
      <c r="G194" s="179" t="n">
        <v>9805065201</v>
      </c>
      <c r="H194" s="179">
        <f>IFERROR(D194+G194,D194)</f>
        <v/>
      </c>
      <c r="I194" s="184">
        <f>IFERROR(D194/H194,"")</f>
        <v/>
      </c>
      <c r="J194" s="179" t="n">
        <v>220075779</v>
      </c>
      <c r="K194" s="179" t="n">
        <v>440151558</v>
      </c>
      <c r="L194" s="179" t="n">
        <v>660227338</v>
      </c>
    </row>
    <row r="195" ht="15" customHeight="1" s="95">
      <c r="A195" s="143" t="n">
        <v>44024</v>
      </c>
      <c r="B195" s="146" t="n">
        <v>1.000158</v>
      </c>
      <c r="C195" s="179" t="n">
        <v>1108808903</v>
      </c>
      <c r="D195" s="179" t="n">
        <v>1108633575</v>
      </c>
      <c r="E195" s="146" t="n">
        <v>0.999884</v>
      </c>
      <c r="F195" s="179" t="n">
        <v>9824421803</v>
      </c>
      <c r="G195" s="179" t="n">
        <v>9825565201</v>
      </c>
      <c r="H195" s="179">
        <f>IFERROR(D195+G195,D195)</f>
        <v/>
      </c>
      <c r="I195" s="184">
        <f>IFERROR(D195/H195,"")</f>
        <v/>
      </c>
      <c r="J195" s="179" t="n">
        <v>221726715</v>
      </c>
      <c r="K195" s="179" t="n">
        <v>443453430</v>
      </c>
      <c r="L195" s="179" t="n">
        <v>665180145</v>
      </c>
    </row>
    <row r="196" ht="15" customHeight="1" s="95">
      <c r="A196" s="143" t="n">
        <v>44025</v>
      </c>
      <c r="B196" s="146" t="n">
        <v>0.999956</v>
      </c>
      <c r="C196" s="179" t="n">
        <v>1108342350</v>
      </c>
      <c r="D196" s="179" t="n">
        <v>1108391188</v>
      </c>
      <c r="E196" s="146" t="n">
        <v>0.999738</v>
      </c>
      <c r="F196" s="179" t="n">
        <v>9823245541</v>
      </c>
      <c r="G196" s="179" t="n">
        <v>9825815201</v>
      </c>
      <c r="H196" s="179">
        <f>IFERROR(D196+G196,D196)</f>
        <v/>
      </c>
      <c r="I196" s="184">
        <f>IFERROR(D196/H196,"")</f>
        <v/>
      </c>
      <c r="J196" s="179" t="n">
        <v>221678238</v>
      </c>
      <c r="K196" s="179" t="n">
        <v>443356475</v>
      </c>
      <c r="L196" s="179" t="n">
        <v>665034713</v>
      </c>
    </row>
    <row r="197" ht="15" customHeight="1" s="95">
      <c r="A197" s="143" t="n">
        <v>44026</v>
      </c>
      <c r="B197" s="146" t="n">
        <v>1.000183</v>
      </c>
      <c r="C197" s="179" t="n">
        <v>1107133398</v>
      </c>
      <c r="D197" s="179" t="n">
        <v>1106930981</v>
      </c>
      <c r="E197" s="146" t="n">
        <v>0.999954</v>
      </c>
      <c r="F197" s="179" t="n">
        <v>9848359865</v>
      </c>
      <c r="G197" s="179" t="n">
        <v>9848815201</v>
      </c>
      <c r="H197" s="179">
        <f>IFERROR(D197+G197,D197)</f>
        <v/>
      </c>
      <c r="I197" s="184">
        <f>IFERROR(D197/H197,"")</f>
        <v/>
      </c>
      <c r="J197" s="179" t="n">
        <v>221386196</v>
      </c>
      <c r="K197" s="179" t="n">
        <v>442772392</v>
      </c>
      <c r="L197" s="179" t="n">
        <v>664158589</v>
      </c>
    </row>
    <row r="198" ht="15" customHeight="1" s="95">
      <c r="A198" s="143" t="n">
        <v>44027</v>
      </c>
      <c r="B198" s="146" t="n">
        <v>0.999197</v>
      </c>
      <c r="C198" s="179" t="n">
        <v>1100954441</v>
      </c>
      <c r="D198" s="179" t="n">
        <v>1101839216</v>
      </c>
      <c r="E198" s="146" t="n">
        <v>0.999647</v>
      </c>
      <c r="F198" s="179" t="n">
        <v>9845335826</v>
      </c>
      <c r="G198" s="179" t="n">
        <v>9848815201</v>
      </c>
      <c r="H198" s="179">
        <f>IFERROR(D198+G198,D198)</f>
        <v/>
      </c>
      <c r="I198" s="184">
        <f>IFERROR(D198/H198,"")</f>
        <v/>
      </c>
      <c r="J198" s="179" t="n">
        <v>220367843</v>
      </c>
      <c r="K198" s="179" t="n">
        <v>440735686</v>
      </c>
      <c r="L198" s="179" t="n">
        <v>661103530</v>
      </c>
    </row>
    <row r="199" ht="15" customHeight="1" s="95">
      <c r="A199" s="143" t="n">
        <v>44028</v>
      </c>
      <c r="B199" s="146" t="n">
        <v>1.000115</v>
      </c>
      <c r="C199" s="179" t="n">
        <v>1107994136</v>
      </c>
      <c r="D199" s="179" t="n">
        <v>1107866381</v>
      </c>
      <c r="E199" s="146" t="n">
        <v>0.998742</v>
      </c>
      <c r="F199" s="179" t="n">
        <v>9858754628</v>
      </c>
      <c r="G199" s="179" t="n">
        <v>9871172733</v>
      </c>
      <c r="H199" s="179">
        <f>IFERROR(D199+G199,D199)</f>
        <v/>
      </c>
      <c r="I199" s="184">
        <f>IFERROR(D199/H199,"")</f>
        <v/>
      </c>
      <c r="J199" s="179" t="n">
        <v>221573276</v>
      </c>
      <c r="K199" s="179" t="n">
        <v>443146552</v>
      </c>
      <c r="L199" s="179" t="n">
        <v>664719829</v>
      </c>
    </row>
    <row r="200" ht="15" customHeight="1" s="95">
      <c r="A200" s="143" t="n">
        <v>44029</v>
      </c>
      <c r="B200" s="146" t="n">
        <v>1.000507</v>
      </c>
      <c r="C200" s="179" t="n">
        <v>1105670919</v>
      </c>
      <c r="D200" s="179" t="n">
        <v>1105110150</v>
      </c>
      <c r="E200" s="146" t="n">
        <v>0.999882</v>
      </c>
      <c r="F200" s="179" t="n">
        <v>9880260498</v>
      </c>
      <c r="G200" s="179" t="n">
        <v>9881422733</v>
      </c>
      <c r="H200" s="179">
        <f>IFERROR(D200+G200,D200)</f>
        <v/>
      </c>
      <c r="I200" s="184">
        <f>IFERROR(D200/H200,"")</f>
        <v/>
      </c>
      <c r="J200" s="179" t="n">
        <v>221022030</v>
      </c>
      <c r="K200" s="179" t="n">
        <v>442044060</v>
      </c>
      <c r="L200" s="179" t="n">
        <v>663066090</v>
      </c>
    </row>
    <row r="201" ht="15" customHeight="1" s="95">
      <c r="A201" s="143" t="n">
        <v>44030</v>
      </c>
      <c r="B201" s="146" t="n">
        <v>1.000014</v>
      </c>
      <c r="C201" s="179" t="n">
        <v>1105525121</v>
      </c>
      <c r="D201" s="179" t="n">
        <v>1105509602</v>
      </c>
      <c r="E201" s="146" t="n">
        <v>0.999897</v>
      </c>
      <c r="F201" s="179" t="n">
        <v>9880407857</v>
      </c>
      <c r="G201" s="179" t="n">
        <v>9881422733</v>
      </c>
      <c r="H201" s="179">
        <f>IFERROR(D201+G201,D201)</f>
        <v/>
      </c>
      <c r="I201" s="184">
        <f>IFERROR(D201/H201,"")</f>
        <v/>
      </c>
      <c r="J201" s="179" t="n">
        <v>221101920</v>
      </c>
      <c r="K201" s="179" t="n">
        <v>442203841</v>
      </c>
      <c r="L201" s="179" t="n">
        <v>663305761</v>
      </c>
    </row>
    <row r="202" ht="15" customHeight="1" s="95">
      <c r="A202" s="143" t="n">
        <v>44031</v>
      </c>
      <c r="B202" s="146" t="n">
        <v>0.99901</v>
      </c>
      <c r="C202" s="179" t="n">
        <v>1123580301</v>
      </c>
      <c r="D202" s="179" t="n">
        <v>1124693920</v>
      </c>
      <c r="E202" s="146" t="n">
        <v>1.000237</v>
      </c>
      <c r="F202" s="179" t="n">
        <v>9884364193</v>
      </c>
      <c r="G202" s="179" t="n">
        <v>9882022733</v>
      </c>
      <c r="H202" s="179">
        <f>IFERROR(D202+G202,D202)</f>
        <v/>
      </c>
      <c r="I202" s="184">
        <f>IFERROR(D202/H202,"")</f>
        <v/>
      </c>
      <c r="J202" s="179" t="n">
        <v>224938784</v>
      </c>
      <c r="K202" s="179" t="n">
        <v>449877568</v>
      </c>
      <c r="L202" s="179" t="n">
        <v>674816352</v>
      </c>
    </row>
    <row r="203" ht="15" customHeight="1" s="95">
      <c r="A203" s="143" t="n">
        <v>44032</v>
      </c>
      <c r="B203" s="146" t="n">
        <v>1.000066</v>
      </c>
      <c r="C203" s="179" t="n">
        <v>1124222591</v>
      </c>
      <c r="D203" s="179" t="n">
        <v>1124148403</v>
      </c>
      <c r="E203" s="146" t="n">
        <v>1.000196</v>
      </c>
      <c r="F203" s="179" t="n">
        <v>9913964260</v>
      </c>
      <c r="G203" s="179" t="n">
        <v>9912022733</v>
      </c>
      <c r="H203" s="179">
        <f>IFERROR(D203+G203,D203)</f>
        <v/>
      </c>
      <c r="I203" s="184">
        <f>IFERROR(D203/H203,"")</f>
        <v/>
      </c>
      <c r="J203" s="179" t="n">
        <v>224829681</v>
      </c>
      <c r="K203" s="179" t="n">
        <v>449659361</v>
      </c>
      <c r="L203" s="179" t="n">
        <v>674489042</v>
      </c>
    </row>
    <row r="204" ht="15" customHeight="1" s="95">
      <c r="A204" s="143" t="n">
        <v>44033</v>
      </c>
      <c r="B204" s="146" t="n">
        <v>0.999417</v>
      </c>
      <c r="C204" s="179" t="n">
        <v>1109330262</v>
      </c>
      <c r="D204" s="179" t="n">
        <v>1109977354</v>
      </c>
      <c r="E204" s="146" t="n">
        <v>1.000156</v>
      </c>
      <c r="F204" s="179" t="n">
        <v>9913573514</v>
      </c>
      <c r="G204" s="179" t="n">
        <v>9912022733</v>
      </c>
      <c r="H204" s="179">
        <f>IFERROR(D204+G204,D204)</f>
        <v/>
      </c>
      <c r="I204" s="184">
        <f>IFERROR(D204/H204,"")</f>
        <v/>
      </c>
      <c r="J204" s="179" t="n">
        <v>221995471</v>
      </c>
      <c r="K204" s="179" t="n">
        <v>443990942</v>
      </c>
      <c r="L204" s="179" t="n">
        <v>665986412</v>
      </c>
    </row>
    <row r="205" ht="15" customHeight="1" s="95">
      <c r="A205" s="143" t="n">
        <v>44034</v>
      </c>
      <c r="B205" s="146" t="n">
        <v>0.999601</v>
      </c>
      <c r="C205" s="179" t="n">
        <v>1117656662</v>
      </c>
      <c r="D205" s="179" t="n">
        <v>1118102388</v>
      </c>
      <c r="E205" s="146" t="n">
        <v>1.000215</v>
      </c>
      <c r="F205" s="179" t="n">
        <v>9921658839</v>
      </c>
      <c r="G205" s="179" t="n">
        <v>9919522733</v>
      </c>
      <c r="H205" s="179">
        <f>IFERROR(D205+G205,D205)</f>
        <v/>
      </c>
      <c r="I205" s="184">
        <f>IFERROR(D205/H205,"")</f>
        <v/>
      </c>
      <c r="J205" s="179" t="n">
        <v>223620478</v>
      </c>
      <c r="K205" s="179" t="n">
        <v>447240955</v>
      </c>
      <c r="L205" s="179" t="n">
        <v>670861433</v>
      </c>
    </row>
    <row r="206" ht="15" customHeight="1" s="95">
      <c r="A206" s="143" t="n">
        <v>44035</v>
      </c>
      <c r="B206" s="146" t="n">
        <v>0.999716</v>
      </c>
      <c r="C206" s="179" t="n">
        <v>1117412376</v>
      </c>
      <c r="D206" s="179" t="n">
        <v>1117730107</v>
      </c>
      <c r="E206" s="146" t="n">
        <v>1.001199</v>
      </c>
      <c r="F206" s="179" t="n">
        <v>10016213022</v>
      </c>
      <c r="G206" s="179" t="n">
        <v>10004222733</v>
      </c>
      <c r="H206" s="179">
        <f>IFERROR(D206+G206,D206)</f>
        <v/>
      </c>
      <c r="I206" s="184">
        <f>IFERROR(D206/H206,"")</f>
        <v/>
      </c>
      <c r="J206" s="179" t="n">
        <v>223546021</v>
      </c>
      <c r="K206" s="179" t="n">
        <v>447092043</v>
      </c>
      <c r="L206" s="179" t="n">
        <v>670638064</v>
      </c>
    </row>
    <row r="207" ht="15" customHeight="1" s="95">
      <c r="A207" s="143" t="n">
        <v>44036</v>
      </c>
      <c r="B207" s="146" t="n">
        <v>0.998552</v>
      </c>
      <c r="C207" s="179" t="n">
        <v>1111666685</v>
      </c>
      <c r="D207" s="179" t="n">
        <v>1113278384</v>
      </c>
      <c r="E207" s="146" t="n">
        <v>0.999292</v>
      </c>
      <c r="F207" s="179" t="n">
        <v>10062892351</v>
      </c>
      <c r="G207" s="179" t="n">
        <v>10070022733</v>
      </c>
      <c r="H207" s="179">
        <f>IFERROR(D207+G207,D207)</f>
        <v/>
      </c>
      <c r="I207" s="184">
        <f>IFERROR(D207/H207,"")</f>
        <v/>
      </c>
      <c r="J207" s="179" t="n">
        <v>222655677</v>
      </c>
      <c r="K207" s="179" t="n">
        <v>445311354</v>
      </c>
      <c r="L207" s="179" t="n">
        <v>667967030</v>
      </c>
    </row>
    <row r="208" ht="15" customHeight="1" s="95">
      <c r="A208" s="143" t="n">
        <v>44037</v>
      </c>
      <c r="B208" s="146" t="n">
        <v>0.998803</v>
      </c>
      <c r="C208" s="179" t="n">
        <v>1109062843</v>
      </c>
      <c r="D208" s="179" t="n">
        <v>1110391670</v>
      </c>
      <c r="E208" s="146" t="n">
        <v>1.000437</v>
      </c>
      <c r="F208" s="179" t="n">
        <v>10162563057</v>
      </c>
      <c r="G208" s="179" t="n">
        <v>10158122733</v>
      </c>
      <c r="H208" s="179">
        <f>IFERROR(D208+G208,D208)</f>
        <v/>
      </c>
      <c r="I208" s="184">
        <f>IFERROR(D208/H208,"")</f>
        <v/>
      </c>
      <c r="J208" s="179" t="n">
        <v>222078334</v>
      </c>
      <c r="K208" s="179" t="n">
        <v>444156668</v>
      </c>
      <c r="L208" s="179" t="n">
        <v>666235002</v>
      </c>
    </row>
    <row r="209" ht="15" customHeight="1" s="95">
      <c r="A209" s="143" t="n">
        <v>44038</v>
      </c>
      <c r="B209" s="146" t="n">
        <v>0.998186</v>
      </c>
      <c r="C209" s="179" t="n">
        <v>1106484357</v>
      </c>
      <c r="D209" s="179" t="n">
        <v>1108495346</v>
      </c>
      <c r="E209" s="146" t="n">
        <v>0.999789</v>
      </c>
      <c r="F209" s="179" t="n">
        <v>10213180914</v>
      </c>
      <c r="G209" s="179" t="n">
        <v>10215333762</v>
      </c>
      <c r="H209" s="179">
        <f>IFERROR(D209+G209,D209)</f>
        <v/>
      </c>
      <c r="I209" s="184">
        <f>IFERROR(D209/H209,"")</f>
        <v/>
      </c>
      <c r="J209" s="179" t="n">
        <v>221699069</v>
      </c>
      <c r="K209" s="179" t="n">
        <v>443398138</v>
      </c>
      <c r="L209" s="179" t="n">
        <v>665097208</v>
      </c>
    </row>
    <row r="210" ht="15" customHeight="1" s="95">
      <c r="A210" s="143" t="n">
        <v>44039</v>
      </c>
      <c r="B210" s="146" t="n">
        <v>0.99821</v>
      </c>
      <c r="C210" s="179" t="n">
        <v>1166058591</v>
      </c>
      <c r="D210" s="179" t="n">
        <v>1168149794</v>
      </c>
      <c r="E210" s="146" t="n">
        <v>1.000131</v>
      </c>
      <c r="F210" s="179" t="n">
        <v>10216671823</v>
      </c>
      <c r="G210" s="179" t="n">
        <v>10215333762</v>
      </c>
      <c r="H210" s="179">
        <f>IFERROR(D210+G210,D210)</f>
        <v/>
      </c>
      <c r="I210" s="184">
        <f>IFERROR(D210/H210,"")</f>
        <v/>
      </c>
      <c r="J210" s="179" t="n">
        <v>233629959</v>
      </c>
      <c r="K210" s="179" t="n">
        <v>467259918</v>
      </c>
      <c r="L210" s="179" t="n">
        <v>700889876</v>
      </c>
    </row>
    <row r="211" ht="15" customHeight="1" s="95">
      <c r="A211" s="143" t="n">
        <v>44040</v>
      </c>
      <c r="B211" s="146" t="n">
        <v>0.997075</v>
      </c>
      <c r="C211" s="179" t="n">
        <v>1168067160</v>
      </c>
      <c r="D211" s="179" t="n">
        <v>1171493223</v>
      </c>
      <c r="E211" s="146" t="n">
        <v>0.994902</v>
      </c>
      <c r="F211" s="179" t="n">
        <v>10163253369</v>
      </c>
      <c r="G211" s="179" t="n">
        <v>10215333762</v>
      </c>
      <c r="H211" s="179">
        <f>IFERROR(D211+G211,D211)</f>
        <v/>
      </c>
      <c r="I211" s="184">
        <f>IFERROR(D211/H211,"")</f>
        <v/>
      </c>
      <c r="J211" s="179" t="n">
        <v>234298645</v>
      </c>
      <c r="K211" s="179" t="n">
        <v>468597289</v>
      </c>
      <c r="L211" s="179" t="n">
        <v>702895934</v>
      </c>
    </row>
    <row r="212" ht="15" customHeight="1" s="95">
      <c r="A212" s="143" t="n">
        <v>44041</v>
      </c>
      <c r="B212" s="146" t="n">
        <v>0.996841</v>
      </c>
      <c r="C212" s="179" t="n">
        <v>1167917744</v>
      </c>
      <c r="D212" s="179" t="n">
        <v>1171619402</v>
      </c>
      <c r="E212" s="146" t="n">
        <v>1.000035</v>
      </c>
      <c r="F212" s="179" t="n">
        <v>10472196877</v>
      </c>
      <c r="G212" s="179" t="n">
        <v>10471833386</v>
      </c>
      <c r="H212" s="179">
        <f>IFERROR(D212+G212,D212)</f>
        <v/>
      </c>
      <c r="I212" s="184">
        <f>IFERROR(D212/H212,"")</f>
        <v/>
      </c>
      <c r="J212" s="179" t="n">
        <v>234323880</v>
      </c>
      <c r="K212" s="179" t="n">
        <v>468647761</v>
      </c>
      <c r="L212" s="179" t="n">
        <v>702971641</v>
      </c>
    </row>
    <row r="213" ht="15" customHeight="1" s="95">
      <c r="A213" s="143" t="n">
        <v>44042</v>
      </c>
      <c r="B213" s="146" t="n">
        <v>0.999021</v>
      </c>
      <c r="C213" s="179" t="n">
        <v>1165546374</v>
      </c>
      <c r="D213" s="179" t="n">
        <v>1166688785</v>
      </c>
      <c r="E213" s="146" t="n">
        <v>0.997849</v>
      </c>
      <c r="F213" s="179" t="n">
        <v>10617855493</v>
      </c>
      <c r="G213" s="179" t="n">
        <v>10640746573</v>
      </c>
      <c r="H213" s="179">
        <f>IFERROR(D213+G213,D213)</f>
        <v/>
      </c>
      <c r="I213" s="184">
        <f>IFERROR(D213/H213,"")</f>
        <v/>
      </c>
      <c r="J213" s="179" t="n">
        <v>233337757</v>
      </c>
      <c r="K213" s="179" t="n">
        <v>466675514</v>
      </c>
      <c r="L213" s="179" t="n">
        <v>700013271</v>
      </c>
    </row>
    <row r="214" ht="15" customHeight="1" s="95">
      <c r="A214" s="143" t="n">
        <v>44043</v>
      </c>
      <c r="B214" s="146" t="n">
        <v>0.997604</v>
      </c>
      <c r="C214" s="179" t="n">
        <v>1145335232</v>
      </c>
      <c r="D214" s="179" t="n">
        <v>1148086239</v>
      </c>
      <c r="E214" s="146" t="n">
        <v>1.000773</v>
      </c>
      <c r="F214" s="179" t="n">
        <v>10707864336</v>
      </c>
      <c r="G214" s="179" t="n">
        <v>10699596573</v>
      </c>
      <c r="H214" s="179">
        <f>IFERROR(D214+G214,D214)</f>
        <v/>
      </c>
      <c r="I214" s="184">
        <f>IFERROR(D214/H214,"")</f>
        <v/>
      </c>
      <c r="J214" s="179" t="n">
        <v>229617248</v>
      </c>
      <c r="K214" s="179" t="n">
        <v>459234496</v>
      </c>
      <c r="L214" s="179" t="n">
        <v>688851743</v>
      </c>
    </row>
    <row r="215" ht="15" customHeight="1" s="95">
      <c r="A215" s="143" t="n">
        <v>44044</v>
      </c>
      <c r="B215" s="146" t="n">
        <v>0.999157</v>
      </c>
      <c r="C215" s="179" t="n">
        <v>1079713381</v>
      </c>
      <c r="D215" s="179" t="n">
        <v>1080623813</v>
      </c>
      <c r="E215" s="146" t="n">
        <v>0.999826</v>
      </c>
      <c r="F215" s="179" t="n">
        <v>10778488966</v>
      </c>
      <c r="G215" s="179" t="n">
        <v>10780366573</v>
      </c>
      <c r="H215" s="179">
        <f>IFERROR(D215+G215,D215)</f>
        <v/>
      </c>
      <c r="I215" s="184">
        <f>IFERROR(D215/H215,"")</f>
        <v/>
      </c>
      <c r="J215" s="179" t="n">
        <v>216124763</v>
      </c>
      <c r="K215" s="179" t="n">
        <v>432249525</v>
      </c>
      <c r="L215" s="179" t="n">
        <v>648374288</v>
      </c>
    </row>
    <row r="216" ht="15" customHeight="1" s="95">
      <c r="A216" s="143" t="n">
        <v>44045</v>
      </c>
      <c r="B216" s="146" t="n">
        <v>0.999579</v>
      </c>
      <c r="C216" s="179" t="n">
        <v>1087114065</v>
      </c>
      <c r="D216" s="179" t="n">
        <v>1087571590</v>
      </c>
      <c r="E216" s="146" t="n">
        <v>1.000382</v>
      </c>
      <c r="F216" s="179" t="n">
        <v>10941249518</v>
      </c>
      <c r="G216" s="179" t="n">
        <v>10937067849</v>
      </c>
      <c r="H216" s="179">
        <f>IFERROR(D216+G216,D216)</f>
        <v/>
      </c>
      <c r="I216" s="184">
        <f>IFERROR(D216/H216,"")</f>
        <v/>
      </c>
      <c r="J216" s="179" t="n">
        <v>217514318</v>
      </c>
      <c r="K216" s="179" t="n">
        <v>435028636</v>
      </c>
      <c r="L216" s="179" t="n">
        <v>652542954</v>
      </c>
    </row>
    <row r="217" ht="15" customHeight="1" s="95">
      <c r="A217" s="143" t="n">
        <v>44046</v>
      </c>
      <c r="B217" s="146" t="n">
        <v>0.998551</v>
      </c>
      <c r="C217" s="179" t="n">
        <v>1097449796</v>
      </c>
      <c r="D217" s="179" t="n">
        <v>1099042423</v>
      </c>
      <c r="E217" s="146" t="n">
        <v>0.999685</v>
      </c>
      <c r="F217" s="179" t="n">
        <v>11062349221</v>
      </c>
      <c r="G217" s="179" t="n">
        <v>11065831920</v>
      </c>
      <c r="H217" s="179">
        <f>IFERROR(D217+G217,D217)</f>
        <v/>
      </c>
      <c r="I217" s="184">
        <f>IFERROR(D217/H217,"")</f>
        <v/>
      </c>
      <c r="J217" s="179" t="n">
        <v>219808485</v>
      </c>
      <c r="K217" s="179" t="n">
        <v>439616969</v>
      </c>
      <c r="L217" s="179" t="n">
        <v>659425454</v>
      </c>
    </row>
    <row r="218" ht="15" customHeight="1" s="95">
      <c r="A218" s="143" t="n">
        <v>44047</v>
      </c>
      <c r="B218" s="146" t="n">
        <v>0.9990560000000001</v>
      </c>
      <c r="C218" s="179" t="n">
        <v>1084969022</v>
      </c>
      <c r="D218" s="179" t="n">
        <v>1085994508</v>
      </c>
      <c r="E218" s="146" t="n">
        <v>0.999691</v>
      </c>
      <c r="F218" s="179" t="n">
        <v>11118634671</v>
      </c>
      <c r="G218" s="179" t="n">
        <v>11122071920</v>
      </c>
      <c r="H218" s="179">
        <f>IFERROR(D218+G218,D218)</f>
        <v/>
      </c>
      <c r="I218" s="184">
        <f>IFERROR(D218/H218,"")</f>
        <v/>
      </c>
      <c r="J218" s="179" t="n">
        <v>217198902</v>
      </c>
      <c r="K218" s="179" t="n">
        <v>434397803</v>
      </c>
      <c r="L218" s="179" t="n">
        <v>651596705</v>
      </c>
    </row>
    <row r="219" ht="15" customHeight="1" s="95">
      <c r="A219" s="143" t="n">
        <v>44048</v>
      </c>
      <c r="B219" s="146" t="n">
        <v>0.999483</v>
      </c>
      <c r="C219" s="179" t="n">
        <v>1082620640</v>
      </c>
      <c r="D219" s="179" t="n">
        <v>1083181094</v>
      </c>
      <c r="E219" s="146" t="n">
        <v>0.999923</v>
      </c>
      <c r="F219" s="179" t="n">
        <v>11182209134</v>
      </c>
      <c r="G219" s="179" t="n">
        <v>11183071920</v>
      </c>
      <c r="H219" s="179">
        <f>IFERROR(D219+G219,D219)</f>
        <v/>
      </c>
      <c r="I219" s="184">
        <f>IFERROR(D219/H219,"")</f>
        <v/>
      </c>
      <c r="J219" s="179" t="n">
        <v>216636219</v>
      </c>
      <c r="K219" s="179" t="n">
        <v>433272438</v>
      </c>
      <c r="L219" s="179" t="n">
        <v>649908656</v>
      </c>
    </row>
    <row r="220" ht="15" customHeight="1" s="95">
      <c r="A220" s="143" t="n">
        <v>44049</v>
      </c>
      <c r="B220" s="146" t="n">
        <v>1.001772</v>
      </c>
      <c r="C220" s="179" t="n">
        <v>1080663525</v>
      </c>
      <c r="D220" s="179" t="n">
        <v>1078752083</v>
      </c>
      <c r="E220" s="146" t="n">
        <v>1.002226</v>
      </c>
      <c r="F220" s="179" t="n">
        <v>11252929576</v>
      </c>
      <c r="G220" s="179" t="n">
        <v>11227939930</v>
      </c>
      <c r="H220" s="179">
        <f>IFERROR(D220+G220,D220)</f>
        <v/>
      </c>
      <c r="I220" s="184">
        <f>IFERROR(D220/H220,"")</f>
        <v/>
      </c>
      <c r="J220" s="179" t="n">
        <v>215750417</v>
      </c>
      <c r="K220" s="179" t="n">
        <v>431500833</v>
      </c>
      <c r="L220" s="179" t="n">
        <v>647251250</v>
      </c>
    </row>
    <row r="221" ht="15" customHeight="1" s="95">
      <c r="A221" s="143" t="n">
        <v>44050</v>
      </c>
      <c r="B221" s="146" t="n">
        <v>0.999671</v>
      </c>
      <c r="C221" s="179" t="n">
        <v>1093371177</v>
      </c>
      <c r="D221" s="179" t="n">
        <v>1093731532</v>
      </c>
      <c r="E221" s="146" t="n">
        <v>1.000233</v>
      </c>
      <c r="F221" s="179" t="n">
        <v>11334228793</v>
      </c>
      <c r="G221" s="179" t="n">
        <v>11331589930</v>
      </c>
      <c r="H221" s="179">
        <f>IFERROR(D221+G221,D221)</f>
        <v/>
      </c>
      <c r="I221" s="184">
        <f>IFERROR(D221/H221,"")</f>
        <v/>
      </c>
      <c r="J221" s="179" t="n">
        <v>218746306</v>
      </c>
      <c r="K221" s="179" t="n">
        <v>437492613</v>
      </c>
      <c r="L221" s="179" t="n">
        <v>656238919</v>
      </c>
    </row>
    <row r="222" ht="15" customHeight="1" s="95">
      <c r="A222" s="143" t="n">
        <v>44051</v>
      </c>
      <c r="B222" s="146" t="n">
        <v>0.999258</v>
      </c>
      <c r="C222" s="179" t="n">
        <v>1108253404</v>
      </c>
      <c r="D222" s="179" t="n">
        <v>1109076045</v>
      </c>
      <c r="E222" s="146" t="n">
        <v>1.001862</v>
      </c>
      <c r="F222" s="179" t="n">
        <v>11495140099</v>
      </c>
      <c r="G222" s="179" t="n">
        <v>11473777463</v>
      </c>
      <c r="H222" s="179">
        <f>IFERROR(D222+G222,D222)</f>
        <v/>
      </c>
      <c r="I222" s="184">
        <f>IFERROR(D222/H222,"")</f>
        <v/>
      </c>
      <c r="J222" s="179" t="n">
        <v>221815209</v>
      </c>
      <c r="K222" s="179" t="n">
        <v>443630418</v>
      </c>
      <c r="L222" s="179" t="n">
        <v>665445627</v>
      </c>
    </row>
    <row r="223" ht="15" customHeight="1" s="95">
      <c r="A223" s="143" t="n">
        <v>44052</v>
      </c>
      <c r="B223" s="146" t="n">
        <v>0.999498</v>
      </c>
      <c r="C223" s="179" t="n">
        <v>1147426899</v>
      </c>
      <c r="D223" s="179" t="n">
        <v>1148003346</v>
      </c>
      <c r="E223" s="146" t="n">
        <v>1.000347</v>
      </c>
      <c r="F223" s="179" t="n">
        <v>11578515768</v>
      </c>
      <c r="G223" s="179" t="n">
        <v>11574496456</v>
      </c>
      <c r="H223" s="179">
        <f>IFERROR(D223+G223,D223)</f>
        <v/>
      </c>
      <c r="I223" s="184">
        <f>IFERROR(D223/H223,"")</f>
        <v/>
      </c>
      <c r="J223" s="179" t="n">
        <v>229600669</v>
      </c>
      <c r="K223" s="179" t="n">
        <v>459201338</v>
      </c>
      <c r="L223" s="179" t="n">
        <v>688802008</v>
      </c>
    </row>
    <row r="224" ht="15" customHeight="1" s="95">
      <c r="A224" s="143" t="n">
        <v>44053</v>
      </c>
      <c r="B224" s="146" t="n">
        <v>1.000328</v>
      </c>
      <c r="C224" s="179" t="n">
        <v>1146087515</v>
      </c>
      <c r="D224" s="179" t="n">
        <v>1145711668</v>
      </c>
      <c r="E224" s="146" t="n">
        <v>0.999929</v>
      </c>
      <c r="F224" s="179" t="n">
        <v>11650317901</v>
      </c>
      <c r="G224" s="179" t="n">
        <v>11651144808</v>
      </c>
      <c r="H224" s="179">
        <f>IFERROR(D224+G224,D224)</f>
        <v/>
      </c>
      <c r="I224" s="184">
        <f>IFERROR(D224/H224,"")</f>
        <v/>
      </c>
      <c r="J224" s="179" t="n">
        <v>229142334</v>
      </c>
      <c r="K224" s="179" t="n">
        <v>458284667</v>
      </c>
      <c r="L224" s="179" t="n">
        <v>687427001</v>
      </c>
    </row>
    <row r="225" ht="15" customHeight="1" s="95">
      <c r="A225" s="143" t="n">
        <v>44054</v>
      </c>
      <c r="B225" s="146" t="n">
        <v>0.999752</v>
      </c>
      <c r="C225" s="179" t="n">
        <v>1123043260</v>
      </c>
      <c r="D225" s="179" t="n">
        <v>1123321645</v>
      </c>
      <c r="E225" s="146" t="n">
        <v>1.000243</v>
      </c>
      <c r="F225" s="179" t="n">
        <v>11698790361</v>
      </c>
      <c r="G225" s="179" t="n">
        <v>11695944808</v>
      </c>
      <c r="H225" s="179">
        <f>IFERROR(D225+G225,D225)</f>
        <v/>
      </c>
      <c r="I225" s="184">
        <f>IFERROR(D225/H225,"")</f>
        <v/>
      </c>
      <c r="J225" s="179" t="n">
        <v>224664329</v>
      </c>
      <c r="K225" s="179" t="n">
        <v>449328658</v>
      </c>
      <c r="L225" s="179" t="n">
        <v>673992987</v>
      </c>
    </row>
    <row r="226" ht="15" customHeight="1" s="95">
      <c r="A226" s="143" t="n">
        <v>44055</v>
      </c>
      <c r="B226" s="146" t="n">
        <v>1.000508</v>
      </c>
      <c r="C226" s="179" t="n">
        <v>1133850753</v>
      </c>
      <c r="D226" s="179" t="n">
        <v>1133275441</v>
      </c>
      <c r="E226" s="146" t="n">
        <v>1.002244</v>
      </c>
      <c r="F226" s="179" t="n">
        <v>11858746977</v>
      </c>
      <c r="G226" s="179" t="n">
        <v>11832196083</v>
      </c>
      <c r="H226" s="179">
        <f>IFERROR(D226+G226,D226)</f>
        <v/>
      </c>
      <c r="I226" s="184">
        <f>IFERROR(D226/H226,"")</f>
        <v/>
      </c>
      <c r="J226" s="179" t="n">
        <v>226655088</v>
      </c>
      <c r="K226" s="179" t="n">
        <v>453310176</v>
      </c>
      <c r="L226" s="179" t="n">
        <v>679965265</v>
      </c>
    </row>
    <row r="227" ht="15" customHeight="1" s="95">
      <c r="A227" s="143" t="n">
        <v>44056</v>
      </c>
      <c r="B227" s="146" t="n">
        <v>0.9988590000000001</v>
      </c>
      <c r="C227" s="179" t="n">
        <v>1161006416</v>
      </c>
      <c r="D227" s="179" t="n">
        <v>1162332379</v>
      </c>
      <c r="E227" s="146" t="n">
        <v>1.000761</v>
      </c>
      <c r="F227" s="179" t="n">
        <v>11896892578</v>
      </c>
      <c r="G227" s="179" t="n">
        <v>11887843385</v>
      </c>
      <c r="H227" s="179">
        <f>IFERROR(D227+G227,D227)</f>
        <v/>
      </c>
      <c r="I227" s="184">
        <f>IFERROR(D227/H227,"")</f>
        <v/>
      </c>
      <c r="J227" s="179" t="n">
        <v>232466476</v>
      </c>
      <c r="K227" s="179" t="n">
        <v>464932952</v>
      </c>
      <c r="L227" s="179" t="n">
        <v>697399427</v>
      </c>
    </row>
    <row r="228" ht="15" customHeight="1" s="95">
      <c r="A228" s="143" t="n">
        <v>44057</v>
      </c>
      <c r="B228" s="146" t="n">
        <v>0.999095</v>
      </c>
      <c r="C228" s="179" t="n">
        <v>1177494755</v>
      </c>
      <c r="D228" s="179" t="n">
        <v>1178560908</v>
      </c>
      <c r="E228" s="146" t="n">
        <v>1.000957</v>
      </c>
      <c r="F228" s="179" t="n">
        <v>12000642229</v>
      </c>
      <c r="G228" s="179" t="n">
        <v>11989173822</v>
      </c>
      <c r="H228" s="179">
        <f>IFERROR(D228+G228,D228)</f>
        <v/>
      </c>
      <c r="I228" s="184">
        <f>IFERROR(D228/H228,"")</f>
        <v/>
      </c>
      <c r="J228" s="179" t="n">
        <v>235712182</v>
      </c>
      <c r="K228" s="179" t="n">
        <v>471424363</v>
      </c>
      <c r="L228" s="179" t="n">
        <v>707136545</v>
      </c>
    </row>
    <row r="229" ht="15" customHeight="1" s="95">
      <c r="A229" s="143" t="n">
        <v>44058</v>
      </c>
      <c r="B229" s="146" t="n">
        <v>1.000326</v>
      </c>
      <c r="C229" s="179" t="n">
        <v>1205711262</v>
      </c>
      <c r="D229" s="179" t="n">
        <v>1205317893</v>
      </c>
      <c r="E229" s="146" t="n">
        <v>1.001659</v>
      </c>
      <c r="F229" s="179" t="n">
        <v>12238797982</v>
      </c>
      <c r="G229" s="179" t="n">
        <v>12218531955</v>
      </c>
      <c r="H229" s="179">
        <f>IFERROR(D229+G229,D229)</f>
        <v/>
      </c>
      <c r="I229" s="184">
        <f>IFERROR(D229/H229,"")</f>
        <v/>
      </c>
      <c r="J229" s="179" t="n">
        <v>241063579</v>
      </c>
      <c r="K229" s="179" t="n">
        <v>482127157</v>
      </c>
      <c r="L229" s="179" t="n">
        <v>723190736</v>
      </c>
    </row>
    <row r="230" ht="15" customHeight="1" s="95">
      <c r="A230" s="143" t="n">
        <v>44059</v>
      </c>
      <c r="B230" s="146" t="n">
        <v>0.999139</v>
      </c>
      <c r="C230" s="179" t="n">
        <v>1201078658</v>
      </c>
      <c r="D230" s="179" t="n">
        <v>1202113424</v>
      </c>
      <c r="E230" s="146" t="n">
        <v>0.997786</v>
      </c>
      <c r="F230" s="179" t="n">
        <v>12215059078</v>
      </c>
      <c r="G230" s="179" t="n">
        <v>12242168007</v>
      </c>
      <c r="H230" s="179">
        <f>IFERROR(D230+G230,D230)</f>
        <v/>
      </c>
      <c r="I230" s="184">
        <f>IFERROR(D230/H230,"")</f>
        <v/>
      </c>
      <c r="J230" s="179" t="n">
        <v>240422685</v>
      </c>
      <c r="K230" s="179" t="n">
        <v>480845370</v>
      </c>
      <c r="L230" s="179" t="n">
        <v>721268054</v>
      </c>
    </row>
    <row r="231" ht="15" customHeight="1" s="95">
      <c r="A231" s="143" t="n">
        <v>44060</v>
      </c>
      <c r="B231" s="146" t="n">
        <v>1.000367</v>
      </c>
      <c r="C231" s="179" t="n">
        <v>1202780392</v>
      </c>
      <c r="D231" s="179" t="n">
        <v>1202338700</v>
      </c>
      <c r="E231" s="146" t="n">
        <v>1.000542</v>
      </c>
      <c r="F231" s="179" t="n">
        <v>12248808990</v>
      </c>
      <c r="G231" s="179" t="n">
        <v>12242168007</v>
      </c>
      <c r="H231" s="179">
        <f>IFERROR(D231+G231,D231)</f>
        <v/>
      </c>
      <c r="I231" s="184">
        <f>IFERROR(D231/H231,"")</f>
        <v/>
      </c>
      <c r="J231" s="179" t="n">
        <v>240467740</v>
      </c>
      <c r="K231" s="179" t="n">
        <v>480935480</v>
      </c>
      <c r="L231" s="179" t="n">
        <v>721403220</v>
      </c>
    </row>
    <row r="232" ht="15" customHeight="1" s="95">
      <c r="A232" s="143" t="n">
        <v>44061</v>
      </c>
      <c r="B232" s="146" t="n">
        <v>0.998493</v>
      </c>
      <c r="C232" s="179" t="n">
        <v>1218933979</v>
      </c>
      <c r="D232" s="179" t="n">
        <v>1220773240</v>
      </c>
      <c r="E232" s="146" t="n">
        <v>1.000052</v>
      </c>
      <c r="F232" s="179" t="n">
        <v>12392582270</v>
      </c>
      <c r="G232" s="179" t="n">
        <v>12391934536</v>
      </c>
      <c r="H232" s="179">
        <f>IFERROR(D232+G232,D232)</f>
        <v/>
      </c>
      <c r="I232" s="184">
        <f>IFERROR(D232/H232,"")</f>
        <v/>
      </c>
      <c r="J232" s="179" t="n">
        <v>244154648</v>
      </c>
      <c r="K232" s="179" t="n">
        <v>488309296</v>
      </c>
      <c r="L232" s="179" t="n">
        <v>732463944</v>
      </c>
    </row>
    <row r="233" ht="15" customHeight="1" s="95">
      <c r="A233" s="143" t="n">
        <v>44062</v>
      </c>
      <c r="B233" s="146" t="n">
        <v>0.998545</v>
      </c>
      <c r="C233" s="179" t="n">
        <v>1246578444</v>
      </c>
      <c r="D233" s="179" t="n">
        <v>1248394331</v>
      </c>
      <c r="E233" s="146" t="n">
        <v>0.999918</v>
      </c>
      <c r="F233" s="179" t="n">
        <v>12603054668</v>
      </c>
      <c r="G233" s="179" t="n">
        <v>12604085567</v>
      </c>
      <c r="H233" s="179">
        <f>IFERROR(D233+G233,D233)</f>
        <v/>
      </c>
      <c r="I233" s="184">
        <f>IFERROR(D233/H233,"")</f>
        <v/>
      </c>
      <c r="J233" s="179" t="n">
        <v>249678866</v>
      </c>
      <c r="K233" s="179" t="n">
        <v>499357732</v>
      </c>
      <c r="L233" s="179" t="n">
        <v>749036599</v>
      </c>
    </row>
    <row r="234" ht="15" customHeight="1" s="95">
      <c r="A234" s="143" t="n">
        <v>44063</v>
      </c>
      <c r="B234" s="146" t="n">
        <v>1.000032</v>
      </c>
      <c r="C234" s="179" t="n">
        <v>1276066353</v>
      </c>
      <c r="D234" s="179" t="n">
        <v>1276025688</v>
      </c>
      <c r="E234" s="146" t="n">
        <v>0.99932</v>
      </c>
      <c r="F234" s="179" t="n">
        <v>12605339229</v>
      </c>
      <c r="G234" s="179" t="n">
        <v>12613920111</v>
      </c>
      <c r="H234" s="179">
        <f>IFERROR(D234+G234,D234)</f>
        <v/>
      </c>
      <c r="I234" s="184">
        <f>IFERROR(D234/H234,"")</f>
        <v/>
      </c>
      <c r="J234" s="179" t="n">
        <v>255205138</v>
      </c>
      <c r="K234" s="179" t="n">
        <v>510410275</v>
      </c>
      <c r="L234" s="179" t="n">
        <v>765615413</v>
      </c>
    </row>
    <row r="235" ht="15" customHeight="1" s="95">
      <c r="A235" s="143" t="n">
        <v>44064</v>
      </c>
      <c r="B235" s="146" t="n">
        <v>1.000077</v>
      </c>
      <c r="C235" s="179" t="n">
        <v>1308639523</v>
      </c>
      <c r="D235" s="179" t="n">
        <v>1308538274</v>
      </c>
      <c r="E235" s="146" t="n">
        <v>1.00134</v>
      </c>
      <c r="F235" s="179" t="n">
        <v>12660117156</v>
      </c>
      <c r="G235" s="179" t="n">
        <v>12643178545</v>
      </c>
      <c r="H235" s="179">
        <f>IFERROR(D235+G235,D235)</f>
        <v/>
      </c>
      <c r="I235" s="184">
        <f>IFERROR(D235/H235,"")</f>
        <v/>
      </c>
      <c r="J235" s="179" t="n">
        <v>261707655</v>
      </c>
      <c r="K235" s="179" t="n">
        <v>523415310</v>
      </c>
      <c r="L235" s="179" t="n">
        <v>785122964</v>
      </c>
    </row>
    <row r="236" ht="15" customHeight="1" s="95">
      <c r="A236" s="143" t="n">
        <v>44065</v>
      </c>
      <c r="B236" s="146" t="n">
        <v>0.9996350000000001</v>
      </c>
      <c r="C236" s="179" t="n">
        <v>1318000930</v>
      </c>
      <c r="D236" s="179" t="n">
        <v>1318482468</v>
      </c>
      <c r="E236" s="146" t="n">
        <v>1.000172</v>
      </c>
      <c r="F236" s="179" t="n">
        <v>12762557153</v>
      </c>
      <c r="G236" s="179" t="n">
        <v>12760367827</v>
      </c>
      <c r="H236" s="179">
        <f>IFERROR(D236+G236,D236)</f>
        <v/>
      </c>
      <c r="I236" s="184">
        <f>IFERROR(D236/H236,"")</f>
        <v/>
      </c>
      <c r="J236" s="179" t="n">
        <v>263696494</v>
      </c>
      <c r="K236" s="179" t="n">
        <v>527392987</v>
      </c>
      <c r="L236" s="179" t="n">
        <v>791089481</v>
      </c>
    </row>
    <row r="237" ht="15" customHeight="1" s="95">
      <c r="A237" s="143" t="n">
        <v>44066</v>
      </c>
      <c r="B237" s="146" t="n">
        <v>0.999937</v>
      </c>
      <c r="C237" s="179" t="n">
        <v>1337354144</v>
      </c>
      <c r="D237" s="179" t="n">
        <v>1337438192</v>
      </c>
      <c r="E237" s="146" t="n">
        <v>0.999825</v>
      </c>
      <c r="F237" s="179" t="n">
        <v>12812234222</v>
      </c>
      <c r="G237" s="179" t="n">
        <v>12814478574</v>
      </c>
      <c r="H237" s="179">
        <f>IFERROR(D237+G237,D237)</f>
        <v/>
      </c>
      <c r="I237" s="184">
        <f>IFERROR(D237/H237,"")</f>
        <v/>
      </c>
      <c r="J237" s="179" t="n">
        <v>267487638</v>
      </c>
      <c r="K237" s="179" t="n">
        <v>534975277</v>
      </c>
      <c r="L237" s="179" t="n">
        <v>802462915</v>
      </c>
    </row>
    <row r="238" ht="15" customHeight="1" s="95">
      <c r="A238" s="143" t="n">
        <v>44067</v>
      </c>
      <c r="B238" s="146" t="n">
        <v>0.998891</v>
      </c>
      <c r="C238" s="179" t="n">
        <v>1355621233</v>
      </c>
      <c r="D238" s="179" t="n">
        <v>1357126373</v>
      </c>
      <c r="E238" s="146" t="n">
        <v>1.000164</v>
      </c>
      <c r="F238" s="179" t="n">
        <v>12830042987</v>
      </c>
      <c r="G238" s="179" t="n">
        <v>12827941938</v>
      </c>
      <c r="H238" s="179">
        <f>IFERROR(D238+G238,D238)</f>
        <v/>
      </c>
      <c r="I238" s="184">
        <f>IFERROR(D238/H238,"")</f>
        <v/>
      </c>
      <c r="J238" s="179" t="n">
        <v>271425275</v>
      </c>
      <c r="K238" s="179" t="n">
        <v>542850549</v>
      </c>
      <c r="L238" s="179" t="n">
        <v>814275824</v>
      </c>
    </row>
    <row r="239" ht="15" customHeight="1" s="95">
      <c r="A239" s="143" t="n">
        <v>44068</v>
      </c>
      <c r="B239" s="146" t="n">
        <v>0.999772</v>
      </c>
      <c r="C239" s="179" t="n">
        <v>1362784249</v>
      </c>
      <c r="D239" s="179" t="n">
        <v>1363095709</v>
      </c>
      <c r="E239" s="146" t="n">
        <v>1.000568</v>
      </c>
      <c r="F239" s="179" t="n">
        <v>12895083175</v>
      </c>
      <c r="G239" s="179" t="n">
        <v>12887761460</v>
      </c>
      <c r="H239" s="179">
        <f>IFERROR(D239+G239,D239)</f>
        <v/>
      </c>
      <c r="I239" s="184">
        <f>IFERROR(D239/H239,"")</f>
        <v/>
      </c>
      <c r="J239" s="179" t="n">
        <v>272619142</v>
      </c>
      <c r="K239" s="179" t="n">
        <v>545238284</v>
      </c>
      <c r="L239" s="179" t="n">
        <v>817857425</v>
      </c>
    </row>
    <row r="240" ht="15" customHeight="1" s="95">
      <c r="A240" s="143" t="n">
        <v>44069</v>
      </c>
      <c r="B240" s="146" t="n">
        <v>1.000926</v>
      </c>
      <c r="C240" s="179" t="n">
        <v>1382944810</v>
      </c>
      <c r="D240" s="179" t="n">
        <v>1381665020</v>
      </c>
      <c r="E240" s="146" t="n">
        <v>1.000122</v>
      </c>
      <c r="F240" s="179" t="n">
        <v>12865507393</v>
      </c>
      <c r="G240" s="179" t="n">
        <v>12863942400</v>
      </c>
      <c r="H240" s="179">
        <f>IFERROR(D240+G240,D240)</f>
        <v/>
      </c>
      <c r="I240" s="184">
        <f>IFERROR(D240/H240,"")</f>
        <v/>
      </c>
      <c r="J240" s="179" t="n">
        <v>276333004</v>
      </c>
      <c r="K240" s="179" t="n">
        <v>552666008</v>
      </c>
      <c r="L240" s="179" t="n">
        <v>828999012</v>
      </c>
    </row>
    <row r="241" ht="15" customHeight="1" s="95">
      <c r="A241" s="143" t="n">
        <v>44070</v>
      </c>
      <c r="B241" s="146" t="n">
        <v>0.999516</v>
      </c>
      <c r="C241" s="179" t="n">
        <v>1400055980</v>
      </c>
      <c r="D241" s="179" t="n">
        <v>1400733572</v>
      </c>
      <c r="E241" s="146" t="n">
        <v>1.000425</v>
      </c>
      <c r="F241" s="179" t="n">
        <v>12858452038</v>
      </c>
      <c r="G241" s="179" t="n">
        <v>12852995276</v>
      </c>
      <c r="H241" s="179">
        <f>IFERROR(D241+G241,D241)</f>
        <v/>
      </c>
      <c r="I241" s="184">
        <f>IFERROR(D241/H241,"")</f>
        <v/>
      </c>
      <c r="J241" s="179" t="n">
        <v>280146714</v>
      </c>
      <c r="K241" s="179" t="n">
        <v>560293429</v>
      </c>
      <c r="L241" s="179" t="n">
        <v>840440143</v>
      </c>
    </row>
    <row r="242" ht="15" customHeight="1" s="95">
      <c r="A242" s="143" t="n">
        <v>44071</v>
      </c>
      <c r="B242" s="146" t="n">
        <v>1.000242</v>
      </c>
      <c r="C242" s="179" t="n">
        <v>1425062753</v>
      </c>
      <c r="D242" s="179" t="n">
        <v>1424717440</v>
      </c>
      <c r="E242" s="146" t="n">
        <v>1.000734</v>
      </c>
      <c r="F242" s="179" t="n">
        <v>13028548270</v>
      </c>
      <c r="G242" s="179" t="n">
        <v>13018987566</v>
      </c>
      <c r="H242" s="179">
        <f>IFERROR(D242+G242,D242)</f>
        <v/>
      </c>
      <c r="I242" s="184">
        <f>IFERROR(D242/H242,"")</f>
        <v/>
      </c>
      <c r="J242" s="179" t="n">
        <v>284943488</v>
      </c>
      <c r="K242" s="179" t="n">
        <v>569886976</v>
      </c>
      <c r="L242" s="179" t="n">
        <v>854830464</v>
      </c>
    </row>
    <row r="243" ht="15" customHeight="1" s="95">
      <c r="A243" s="143" t="n">
        <v>44072</v>
      </c>
      <c r="B243" s="146" t="n">
        <v>1.000478</v>
      </c>
      <c r="C243" s="179" t="n">
        <v>1426970999</v>
      </c>
      <c r="D243" s="179" t="n">
        <v>1426288772</v>
      </c>
      <c r="E243" s="146" t="n">
        <v>1.001072</v>
      </c>
      <c r="F243" s="179" t="n">
        <v>13129348616</v>
      </c>
      <c r="G243" s="179" t="n">
        <v>13115292400</v>
      </c>
      <c r="H243" s="179">
        <f>IFERROR(D243+G243,D243)</f>
        <v/>
      </c>
      <c r="I243" s="184">
        <f>IFERROR(D243/H243,"")</f>
        <v/>
      </c>
      <c r="J243" s="179" t="n">
        <v>285257754</v>
      </c>
      <c r="K243" s="179" t="n">
        <v>570515509</v>
      </c>
      <c r="L243" s="179" t="n">
        <v>855773263</v>
      </c>
    </row>
    <row r="244" ht="15" customHeight="1" s="95">
      <c r="A244" s="143" t="n">
        <v>44073</v>
      </c>
      <c r="B244" s="146" t="n">
        <v>0.99862</v>
      </c>
      <c r="C244" s="179" t="n">
        <v>1461801398</v>
      </c>
      <c r="D244" s="179" t="n">
        <v>1463821209</v>
      </c>
      <c r="E244" s="146" t="n">
        <v>1.000328</v>
      </c>
      <c r="F244" s="179" t="n">
        <v>13302097287</v>
      </c>
      <c r="G244" s="179" t="n">
        <v>13297738755</v>
      </c>
      <c r="H244" s="179">
        <f>IFERROR(D244+G244,D244)</f>
        <v/>
      </c>
      <c r="I244" s="184">
        <f>IFERROR(D244/H244,"")</f>
        <v/>
      </c>
      <c r="J244" s="179" t="n">
        <v>292764242</v>
      </c>
      <c r="K244" s="179" t="n">
        <v>585528484</v>
      </c>
      <c r="L244" s="179" t="n">
        <v>878292725</v>
      </c>
    </row>
    <row r="245" ht="15" customHeight="1" s="95">
      <c r="A245" s="143" t="n">
        <v>44074</v>
      </c>
      <c r="B245" s="146" t="n">
        <v>1.002027</v>
      </c>
      <c r="C245" s="179" t="n">
        <v>1474977047</v>
      </c>
      <c r="D245" s="179" t="n">
        <v>1471993622</v>
      </c>
      <c r="E245" s="146" t="n">
        <v>0.9997</v>
      </c>
      <c r="F245" s="179" t="n">
        <v>13324009301</v>
      </c>
      <c r="G245" s="179" t="n">
        <v>13328010253</v>
      </c>
      <c r="H245" s="179">
        <f>IFERROR(D245+G245,D245)</f>
        <v/>
      </c>
      <c r="I245" s="184">
        <f>IFERROR(D245/H245,"")</f>
        <v/>
      </c>
      <c r="J245" s="179" t="n">
        <v>294398724</v>
      </c>
      <c r="K245" s="179" t="n">
        <v>588797449</v>
      </c>
      <c r="L245" s="179" t="n">
        <v>883196173</v>
      </c>
    </row>
    <row r="246" ht="15" customHeight="1" s="95">
      <c r="A246" s="143" t="n">
        <v>44075</v>
      </c>
      <c r="B246" s="146" t="n">
        <v>0.999265</v>
      </c>
      <c r="C246" s="179" t="n">
        <v>1478076251</v>
      </c>
      <c r="D246" s="179" t="n">
        <v>1479163642</v>
      </c>
      <c r="E246" s="146" t="n">
        <v>0.999524</v>
      </c>
      <c r="F246" s="179" t="n">
        <v>13325296846</v>
      </c>
      <c r="G246" s="179" t="n">
        <v>13331643926</v>
      </c>
      <c r="H246" s="179">
        <f>IFERROR(D246+G246,D246)</f>
        <v/>
      </c>
      <c r="I246" s="184">
        <f>IFERROR(D246/H246,"")</f>
        <v/>
      </c>
      <c r="J246" s="179" t="n">
        <v>295832728</v>
      </c>
      <c r="K246" s="179" t="n">
        <v>591665457</v>
      </c>
      <c r="L246" s="179" t="n">
        <v>887498185</v>
      </c>
    </row>
    <row r="247" ht="15" customHeight="1" s="95">
      <c r="A247" s="143" t="n">
        <v>44076</v>
      </c>
      <c r="B247" s="146" t="n">
        <v>0.9969</v>
      </c>
      <c r="C247" s="179" t="n">
        <v>1526243028</v>
      </c>
      <c r="D247" s="179" t="n">
        <v>1530988428</v>
      </c>
      <c r="E247" s="146" t="n">
        <v>1.000448</v>
      </c>
      <c r="F247" s="179" t="n">
        <v>13442714263</v>
      </c>
      <c r="G247" s="179" t="n">
        <v>13436693327</v>
      </c>
      <c r="H247" s="179">
        <f>IFERROR(D247+G247,D247)</f>
        <v/>
      </c>
      <c r="I247" s="184">
        <f>IFERROR(D247/H247,"")</f>
        <v/>
      </c>
      <c r="J247" s="179" t="n">
        <v>306197686</v>
      </c>
      <c r="K247" s="179" t="n">
        <v>612395371</v>
      </c>
      <c r="L247" s="179" t="n">
        <v>918593057</v>
      </c>
    </row>
    <row r="248" ht="15" customHeight="1" s="95">
      <c r="A248" s="143" t="n">
        <v>44077</v>
      </c>
      <c r="B248" s="146" t="n">
        <v>0.998644</v>
      </c>
      <c r="C248" s="179" t="n">
        <v>1521629075</v>
      </c>
      <c r="D248" s="179" t="n">
        <v>1523694750</v>
      </c>
      <c r="E248" s="146" t="n">
        <v>0.99968</v>
      </c>
      <c r="F248" s="179" t="n">
        <v>13625399575</v>
      </c>
      <c r="G248" s="179" t="n">
        <v>13629763131</v>
      </c>
      <c r="H248" s="179">
        <f>IFERROR(D248+G248,D248)</f>
        <v/>
      </c>
      <c r="I248" s="184">
        <f>IFERROR(D248/H248,"")</f>
        <v/>
      </c>
      <c r="J248" s="179" t="n">
        <v>304738950</v>
      </c>
      <c r="K248" s="179" t="n">
        <v>609477900</v>
      </c>
      <c r="L248" s="179" t="n">
        <v>914216850</v>
      </c>
    </row>
    <row r="249" ht="15" customHeight="1" s="95">
      <c r="A249" s="143" t="n">
        <v>44078</v>
      </c>
      <c r="B249" s="146" t="n">
        <v>0.998845</v>
      </c>
      <c r="C249" s="179" t="n">
        <v>1585737956</v>
      </c>
      <c r="D249" s="179" t="n">
        <v>1587571777</v>
      </c>
      <c r="E249" s="146" t="n">
        <v>0.994584</v>
      </c>
      <c r="F249" s="179" t="n">
        <v>13682958085</v>
      </c>
      <c r="G249" s="179" t="n">
        <v>13757464507</v>
      </c>
      <c r="H249" s="179">
        <f>IFERROR(D249+G249,D249)</f>
        <v/>
      </c>
      <c r="I249" s="184">
        <f>IFERROR(D249/H249,"")</f>
        <v/>
      </c>
      <c r="J249" s="179" t="n">
        <v>317514355</v>
      </c>
      <c r="K249" s="179" t="n">
        <v>635028711</v>
      </c>
      <c r="L249" s="179" t="n">
        <v>952543066</v>
      </c>
    </row>
    <row r="250" ht="15" customHeight="1" s="95">
      <c r="A250" s="143" t="n">
        <v>44079</v>
      </c>
      <c r="B250" s="146" t="n">
        <v>1.001294</v>
      </c>
      <c r="C250" s="179" t="n">
        <v>1654937550</v>
      </c>
      <c r="D250" s="179" t="n">
        <v>1652798926</v>
      </c>
      <c r="E250" s="146" t="n">
        <v>1.000525</v>
      </c>
      <c r="F250" s="179" t="n">
        <v>13944291389</v>
      </c>
      <c r="G250" s="179" t="n">
        <v>13936975080</v>
      </c>
      <c r="H250" s="179">
        <f>IFERROR(D250+G250,D250)</f>
        <v/>
      </c>
      <c r="I250" s="184">
        <f>IFERROR(D250/H250,"")</f>
        <v/>
      </c>
      <c r="J250" s="179" t="n">
        <v>330559785</v>
      </c>
      <c r="K250" s="179" t="n">
        <v>661119570</v>
      </c>
      <c r="L250" s="179" t="n">
        <v>991679356</v>
      </c>
    </row>
    <row r="251" ht="15" customHeight="1" s="95">
      <c r="A251" s="143" t="n">
        <v>44080</v>
      </c>
      <c r="B251" s="146" t="n">
        <v>1.004682</v>
      </c>
      <c r="C251" s="179" t="n">
        <v>1697373902</v>
      </c>
      <c r="D251" s="179" t="n">
        <v>1689463880</v>
      </c>
      <c r="E251" s="146" t="n">
        <v>1.004826</v>
      </c>
      <c r="F251" s="179" t="n">
        <v>14146895238</v>
      </c>
      <c r="G251" s="179" t="n">
        <v>14078944351</v>
      </c>
      <c r="H251" s="179">
        <f>IFERROR(D251+G251,D251)</f>
        <v/>
      </c>
      <c r="I251" s="184">
        <f>IFERROR(D251/H251,"")</f>
        <v/>
      </c>
      <c r="J251" s="179" t="n">
        <v>337892776</v>
      </c>
      <c r="K251" s="179" t="n">
        <v>675785552</v>
      </c>
      <c r="L251" s="179" t="n">
        <v>1013678328</v>
      </c>
    </row>
    <row r="252" ht="15" customHeight="1" s="95">
      <c r="A252" s="143" t="n">
        <v>44081</v>
      </c>
      <c r="B252" s="146" t="n">
        <v>0.9998</v>
      </c>
      <c r="C252" s="179" t="n">
        <v>1738405992</v>
      </c>
      <c r="D252" s="179" t="n">
        <v>1738754405</v>
      </c>
      <c r="E252" s="146" t="n">
        <v>1.000764</v>
      </c>
      <c r="F252" s="179" t="n">
        <v>14156780887</v>
      </c>
      <c r="G252" s="179" t="n">
        <v>14145975608</v>
      </c>
      <c r="H252" s="179">
        <f>IFERROR(D252+G252,D252)</f>
        <v/>
      </c>
      <c r="I252" s="184">
        <f>IFERROR(D252/H252,"")</f>
        <v/>
      </c>
      <c r="J252" s="179" t="n">
        <v>347750881</v>
      </c>
      <c r="K252" s="179" t="n">
        <v>695501762</v>
      </c>
      <c r="L252" s="179" t="n">
        <v>1043252643</v>
      </c>
    </row>
    <row r="253" ht="15" customHeight="1" s="95">
      <c r="A253" s="143" t="n">
        <v>44082</v>
      </c>
      <c r="B253" s="146" t="n">
        <v>0.999518</v>
      </c>
      <c r="C253" s="179" t="n">
        <v>1770732237</v>
      </c>
      <c r="D253" s="179" t="n">
        <v>1771585515</v>
      </c>
      <c r="E253" s="146" t="n">
        <v>1.000278</v>
      </c>
      <c r="F253" s="179" t="n">
        <v>14155492387</v>
      </c>
      <c r="G253" s="179" t="n">
        <v>14151560427</v>
      </c>
      <c r="H253" s="179">
        <f>IFERROR(D253+G253,D253)</f>
        <v/>
      </c>
      <c r="I253" s="184">
        <f>IFERROR(D253/H253,"")</f>
        <v/>
      </c>
      <c r="J253" s="179" t="n">
        <v>354317103</v>
      </c>
      <c r="K253" s="179" t="n">
        <v>708634206</v>
      </c>
      <c r="L253" s="179" t="n">
        <v>1062951309</v>
      </c>
    </row>
    <row r="254" ht="15" customHeight="1" s="95">
      <c r="A254" s="143" t="n">
        <v>44083</v>
      </c>
      <c r="B254" s="146" t="n">
        <v>1.003156</v>
      </c>
      <c r="C254" s="179" t="n">
        <v>1807864449</v>
      </c>
      <c r="D254" s="179" t="n">
        <v>1802177365</v>
      </c>
      <c r="E254" s="146" t="n">
        <v>1.003079</v>
      </c>
      <c r="F254" s="179" t="n">
        <v>14249894735</v>
      </c>
      <c r="G254" s="179" t="n">
        <v>14206159828</v>
      </c>
      <c r="H254" s="179">
        <f>IFERROR(D254+G254,D254)</f>
        <v/>
      </c>
      <c r="I254" s="184">
        <f>IFERROR(D254/H254,"")</f>
        <v/>
      </c>
      <c r="J254" s="179" t="n">
        <v>360435473</v>
      </c>
      <c r="K254" s="179" t="n">
        <v>720870946</v>
      </c>
      <c r="L254" s="179" t="n">
        <v>1081306419</v>
      </c>
    </row>
    <row r="255" ht="15" customHeight="1" s="95">
      <c r="A255" s="143" t="n">
        <v>44084</v>
      </c>
      <c r="B255" s="146" t="n">
        <v>1.000443</v>
      </c>
      <c r="C255" s="179" t="n">
        <v>1837881410</v>
      </c>
      <c r="D255" s="179" t="n">
        <v>1837067723</v>
      </c>
      <c r="E255" s="146" t="n">
        <v>0.999868</v>
      </c>
      <c r="F255" s="179" t="n">
        <v>14336176672</v>
      </c>
      <c r="G255" s="179" t="n">
        <v>14338064097</v>
      </c>
      <c r="H255" s="179">
        <f>IFERROR(D255+G255,D255)</f>
        <v/>
      </c>
      <c r="I255" s="184">
        <f>IFERROR(D255/H255,"")</f>
        <v/>
      </c>
      <c r="J255" s="179" t="n">
        <v>367413545</v>
      </c>
      <c r="K255" s="179" t="n">
        <v>734827089</v>
      </c>
      <c r="L255" s="179" t="n">
        <v>1102240634</v>
      </c>
    </row>
    <row r="256" ht="15" customHeight="1" s="95">
      <c r="A256" s="143" t="n">
        <v>44085</v>
      </c>
      <c r="B256" s="146" t="n">
        <v>1.001498</v>
      </c>
      <c r="C256" s="179" t="n">
        <v>1851977261</v>
      </c>
      <c r="D256" s="179" t="n">
        <v>1849206749</v>
      </c>
      <c r="E256" s="146" t="n">
        <v>0.999983</v>
      </c>
      <c r="F256" s="179" t="n">
        <v>14437687573</v>
      </c>
      <c r="G256" s="179" t="n">
        <v>14437926894</v>
      </c>
      <c r="H256" s="179">
        <f>IFERROR(D256+G256,D256)</f>
        <v/>
      </c>
      <c r="I256" s="184">
        <f>IFERROR(D256/H256,"")</f>
        <v/>
      </c>
      <c r="J256" s="179" t="n">
        <v>369841350</v>
      </c>
      <c r="K256" s="179" t="n">
        <v>739682700</v>
      </c>
      <c r="L256" s="179" t="n">
        <v>1109524049</v>
      </c>
    </row>
    <row r="257" ht="15" customHeight="1" s="95">
      <c r="A257" s="143" t="n">
        <v>44086</v>
      </c>
      <c r="B257" s="146" t="n">
        <v>0.999844</v>
      </c>
      <c r="C257" s="179" t="n">
        <v>1917867506</v>
      </c>
      <c r="D257" s="179" t="n">
        <v>1918167303</v>
      </c>
      <c r="E257" s="146" t="n">
        <v>1.000349</v>
      </c>
      <c r="F257" s="179" t="n">
        <v>14583424053</v>
      </c>
      <c r="G257" s="179" t="n">
        <v>14578329816</v>
      </c>
      <c r="H257" s="179">
        <f>IFERROR(D257+G257,D257)</f>
        <v/>
      </c>
      <c r="I257" s="184">
        <f>IFERROR(D257/H257,"")</f>
        <v/>
      </c>
      <c r="J257" s="179" t="n">
        <v>383633461</v>
      </c>
      <c r="K257" s="179" t="n">
        <v>767266921</v>
      </c>
      <c r="L257" s="179" t="n">
        <v>1150900382</v>
      </c>
    </row>
    <row r="258" ht="15" customHeight="1" s="95">
      <c r="A258" s="143" t="n">
        <v>44087</v>
      </c>
      <c r="B258" s="146" t="n">
        <v>1.00301</v>
      </c>
      <c r="C258" s="179" t="n">
        <v>1960519721</v>
      </c>
      <c r="D258" s="179" t="n">
        <v>1954637036</v>
      </c>
      <c r="E258" s="146" t="n">
        <v>1.000342</v>
      </c>
      <c r="F258" s="179" t="n">
        <v>14699656953</v>
      </c>
      <c r="G258" s="179" t="n">
        <v>14694637984</v>
      </c>
      <c r="H258" s="179">
        <f>IFERROR(D258+G258,D258)</f>
        <v/>
      </c>
      <c r="I258" s="184">
        <f>IFERROR(D258/H258,"")</f>
        <v/>
      </c>
      <c r="J258" s="179" t="n">
        <v>390927407</v>
      </c>
      <c r="K258" s="179" t="n">
        <v>781854814</v>
      </c>
      <c r="L258" s="179" t="n">
        <v>1172782222</v>
      </c>
    </row>
    <row r="259" ht="15" customHeight="1" s="95">
      <c r="A259" s="143" t="n">
        <v>44088</v>
      </c>
      <c r="B259" s="146" t="n">
        <v>1.000826</v>
      </c>
      <c r="C259" s="179" t="n">
        <v>1998726032</v>
      </c>
      <c r="D259" s="179" t="n">
        <v>1997077378</v>
      </c>
      <c r="E259" s="146" t="n">
        <v>1.000765</v>
      </c>
      <c r="F259" s="179" t="n">
        <v>14726592942</v>
      </c>
      <c r="G259" s="179" t="n">
        <v>14715332611</v>
      </c>
      <c r="H259" s="179">
        <f>IFERROR(D259+G259,D259)</f>
        <v/>
      </c>
      <c r="I259" s="184">
        <f>IFERROR(D259/H259,"")</f>
        <v/>
      </c>
      <c r="J259" s="179" t="n">
        <v>399415476</v>
      </c>
      <c r="K259" s="179" t="n">
        <v>798830951</v>
      </c>
      <c r="L259" s="179" t="n">
        <v>1198246427</v>
      </c>
    </row>
    <row r="260" ht="15" customHeight="1" s="95">
      <c r="A260" s="143" t="n">
        <v>44089</v>
      </c>
      <c r="B260" s="146" t="n">
        <v>1.001226</v>
      </c>
      <c r="C260" s="179" t="n">
        <v>2019992601</v>
      </c>
      <c r="D260" s="179" t="n">
        <v>2017518451</v>
      </c>
      <c r="E260" s="146" t="n">
        <v>1.001007</v>
      </c>
      <c r="F260" s="179" t="n">
        <v>14728080925</v>
      </c>
      <c r="G260" s="179" t="n">
        <v>14713261780</v>
      </c>
      <c r="H260" s="179">
        <f>IFERROR(D260+G260,D260)</f>
        <v/>
      </c>
      <c r="I260" s="184">
        <f>IFERROR(D260/H260,"")</f>
        <v/>
      </c>
      <c r="J260" s="179" t="n">
        <v>403503690</v>
      </c>
      <c r="K260" s="179" t="n">
        <v>807007380</v>
      </c>
      <c r="L260" s="179" t="n">
        <v>1210511071</v>
      </c>
    </row>
    <row r="261" ht="15" customHeight="1" s="95">
      <c r="A261" s="143" t="n">
        <v>44090</v>
      </c>
      <c r="B261" s="146" t="n">
        <v>1.000765</v>
      </c>
      <c r="C261" s="179" t="n">
        <v>2078905551</v>
      </c>
      <c r="D261" s="179" t="n">
        <v>2077315390</v>
      </c>
      <c r="E261" s="146" t="n">
        <v>1.00021</v>
      </c>
      <c r="F261" s="179" t="n">
        <v>14927227967</v>
      </c>
      <c r="G261" s="179" t="n">
        <v>14924095672</v>
      </c>
      <c r="H261" s="179">
        <f>IFERROR(D261+G261,D261)</f>
        <v/>
      </c>
      <c r="I261" s="184">
        <f>IFERROR(D261/H261,"")</f>
        <v/>
      </c>
      <c r="J261" s="179" t="n">
        <v>415463078</v>
      </c>
      <c r="K261" s="179" t="n">
        <v>830926156</v>
      </c>
      <c r="L261" s="179" t="n">
        <v>1246389234</v>
      </c>
    </row>
    <row r="262" ht="15" customHeight="1" s="95">
      <c r="A262" s="143" t="n">
        <v>44091</v>
      </c>
      <c r="B262" s="146" t="n">
        <v>0.997698</v>
      </c>
      <c r="C262" s="179" t="n">
        <v>2077721052</v>
      </c>
      <c r="D262" s="179" t="n">
        <v>2082515785</v>
      </c>
      <c r="E262" s="146" t="n">
        <v>1.00018</v>
      </c>
      <c r="F262" s="179" t="n">
        <v>14957143001</v>
      </c>
      <c r="G262" s="179" t="n">
        <v>14954444383</v>
      </c>
      <c r="H262" s="179">
        <f>IFERROR(D262+G262,D262)</f>
        <v/>
      </c>
      <c r="I262" s="184">
        <f>IFERROR(D262/H262,"")</f>
        <v/>
      </c>
      <c r="J262" s="179" t="n">
        <v>416503157</v>
      </c>
      <c r="K262" s="179" t="n">
        <v>833006314</v>
      </c>
      <c r="L262" s="179" t="n">
        <v>1249509471</v>
      </c>
    </row>
    <row r="263" ht="15" customHeight="1" s="95">
      <c r="A263" s="143" t="n">
        <v>44092</v>
      </c>
      <c r="B263" s="146" t="n">
        <v>0.999393</v>
      </c>
      <c r="C263" s="179" t="n">
        <v>2108597204</v>
      </c>
      <c r="D263" s="179" t="n">
        <v>2109878598</v>
      </c>
      <c r="E263" s="146" t="n">
        <v>1.000952</v>
      </c>
      <c r="F263" s="179" t="n">
        <v>15065278641</v>
      </c>
      <c r="G263" s="179" t="n">
        <v>15050944383</v>
      </c>
      <c r="H263" s="179">
        <f>IFERROR(D263+G263,D263)</f>
        <v/>
      </c>
      <c r="I263" s="184">
        <f>IFERROR(D263/H263,"")</f>
        <v/>
      </c>
      <c r="J263" s="179" t="n">
        <v>421975720</v>
      </c>
      <c r="K263" s="179" t="n">
        <v>843951439</v>
      </c>
      <c r="L263" s="179" t="n">
        <v>1265927159</v>
      </c>
    </row>
    <row r="264" ht="15" customHeight="1" s="95">
      <c r="A264" s="143" t="n">
        <v>44093</v>
      </c>
      <c r="B264" s="146" t="n">
        <v>0.99947</v>
      </c>
      <c r="C264" s="179" t="n">
        <v>2181447456</v>
      </c>
      <c r="D264" s="179" t="n">
        <v>2182603860</v>
      </c>
      <c r="E264" s="146" t="n">
        <v>1.000576</v>
      </c>
      <c r="F264" s="179" t="n">
        <v>15138915464</v>
      </c>
      <c r="G264" s="179" t="n">
        <v>15130195532</v>
      </c>
      <c r="H264" s="179">
        <f>IFERROR(D264+G264,D264)</f>
        <v/>
      </c>
      <c r="I264" s="184">
        <f>IFERROR(D264/H264,"")</f>
        <v/>
      </c>
      <c r="J264" s="179" t="n">
        <v>436520772</v>
      </c>
      <c r="K264" s="179" t="n">
        <v>873041544</v>
      </c>
      <c r="L264" s="179" t="n">
        <v>1309562316</v>
      </c>
    </row>
    <row r="265" ht="15" customHeight="1" s="95">
      <c r="A265" s="143" t="n">
        <v>44094</v>
      </c>
      <c r="B265" s="146" t="n">
        <v>1.000038</v>
      </c>
      <c r="C265" s="179" t="n">
        <v>2286773731</v>
      </c>
      <c r="D265" s="179" t="n">
        <v>2286687875</v>
      </c>
      <c r="E265" s="146" t="n">
        <v>1.000175</v>
      </c>
      <c r="F265" s="179" t="n">
        <v>15212009140</v>
      </c>
      <c r="G265" s="179" t="n">
        <v>15209353631</v>
      </c>
      <c r="H265" s="179">
        <f>IFERROR(D265+G265,D265)</f>
        <v/>
      </c>
      <c r="I265" s="184">
        <f>IFERROR(D265/H265,"")</f>
        <v/>
      </c>
      <c r="J265" s="179" t="n">
        <v>457337575</v>
      </c>
      <c r="K265" s="179" t="n">
        <v>914675150</v>
      </c>
      <c r="L265" s="179" t="n">
        <v>1372012725</v>
      </c>
    </row>
    <row r="266" ht="15" customHeight="1" s="95">
      <c r="A266" s="143" t="n">
        <v>44095</v>
      </c>
      <c r="B266" s="146" t="n">
        <v>1.000706</v>
      </c>
      <c r="C266" s="179" t="n">
        <v>2348242845</v>
      </c>
      <c r="D266" s="179" t="n">
        <v>2346585013</v>
      </c>
      <c r="E266" s="146" t="n">
        <v>1.002401</v>
      </c>
      <c r="F266" s="179" t="n">
        <v>15210458847</v>
      </c>
      <c r="G266" s="179" t="n">
        <v>15174019322</v>
      </c>
      <c r="H266" s="179">
        <f>IFERROR(D266+G266,D266)</f>
        <v/>
      </c>
      <c r="I266" s="184">
        <f>IFERROR(D266/H266,"")</f>
        <v/>
      </c>
      <c r="J266" s="179" t="n">
        <v>469317003</v>
      </c>
      <c r="K266" s="179" t="n">
        <v>938634005</v>
      </c>
      <c r="L266" s="179" t="n">
        <v>1407951008</v>
      </c>
    </row>
    <row r="267" ht="15" customHeight="1" s="95">
      <c r="A267" s="143" t="n">
        <v>44096</v>
      </c>
      <c r="B267" s="146" t="n">
        <v>0.998348</v>
      </c>
      <c r="C267" s="179" t="n">
        <v>2394979222</v>
      </c>
      <c r="D267" s="179" t="n">
        <v>2398942749</v>
      </c>
      <c r="E267" s="146" t="n">
        <v>1.000046</v>
      </c>
      <c r="F267" s="179" t="n">
        <v>15210934526</v>
      </c>
      <c r="G267" s="179" t="n">
        <v>15210232346</v>
      </c>
      <c r="H267" s="179">
        <f>IFERROR(D267+G267,D267)</f>
        <v/>
      </c>
      <c r="I267" s="184">
        <f>IFERROR(D267/H267,"")</f>
        <v/>
      </c>
      <c r="J267" s="179" t="n">
        <v>479788550</v>
      </c>
      <c r="K267" s="179" t="n">
        <v>959577100</v>
      </c>
      <c r="L267" s="179" t="n">
        <v>1439365649</v>
      </c>
    </row>
    <row r="268" ht="15" customHeight="1" s="95">
      <c r="A268" s="143" t="n">
        <v>44097</v>
      </c>
      <c r="B268" s="146" t="n">
        <v>1.002282</v>
      </c>
      <c r="C268" s="179" t="n">
        <v>2401695866</v>
      </c>
      <c r="D268" s="179" t="n">
        <v>2396227210</v>
      </c>
      <c r="E268" s="146" t="n">
        <v>1.000547</v>
      </c>
      <c r="F268" s="179" t="n">
        <v>15207247917</v>
      </c>
      <c r="G268" s="179" t="n">
        <v>15198933951</v>
      </c>
      <c r="H268" s="179">
        <f>IFERROR(D268+G268,D268)</f>
        <v/>
      </c>
      <c r="I268" s="184">
        <f>IFERROR(D268/H268,"")</f>
        <v/>
      </c>
      <c r="J268" s="179" t="n">
        <v>479245442</v>
      </c>
      <c r="K268" s="179" t="n">
        <v>958490884</v>
      </c>
      <c r="L268" s="179" t="n">
        <v>1437736326</v>
      </c>
    </row>
    <row r="269" ht="15" customHeight="1" s="95">
      <c r="A269" s="143" t="n">
        <v>44098</v>
      </c>
      <c r="B269" s="146" t="n">
        <v>1.000171</v>
      </c>
      <c r="C269" s="179" t="n">
        <v>2447227065</v>
      </c>
      <c r="D269" s="179" t="n">
        <v>2446809668</v>
      </c>
      <c r="E269" s="146" t="n">
        <v>0.999488</v>
      </c>
      <c r="F269" s="179" t="n">
        <v>15239262469</v>
      </c>
      <c r="G269" s="179" t="n">
        <v>15247064037</v>
      </c>
      <c r="H269" s="179">
        <f>IFERROR(D269+G269,D269)</f>
        <v/>
      </c>
      <c r="I269" s="184">
        <f>IFERROR(D269/H269,"")</f>
        <v/>
      </c>
      <c r="J269" s="179" t="n">
        <v>489361934</v>
      </c>
      <c r="K269" s="179" t="n">
        <v>978723867</v>
      </c>
      <c r="L269" s="179" t="n">
        <v>1468085801</v>
      </c>
    </row>
    <row r="270" ht="15" customHeight="1" s="95">
      <c r="A270" s="143" t="n">
        <v>44099</v>
      </c>
      <c r="B270" s="146" t="n">
        <v>1.0001</v>
      </c>
      <c r="C270" s="179" t="n">
        <v>2508029494</v>
      </c>
      <c r="D270" s="179" t="n">
        <v>2507778919</v>
      </c>
      <c r="E270" s="146" t="n">
        <v>0.999648</v>
      </c>
      <c r="F270" s="179" t="n">
        <v>15232006517</v>
      </c>
      <c r="G270" s="179" t="n">
        <v>15237364833</v>
      </c>
      <c r="H270" s="179">
        <f>IFERROR(D270+G270,D270)</f>
        <v/>
      </c>
      <c r="I270" s="184">
        <f>IFERROR(D270/H270,"")</f>
        <v/>
      </c>
      <c r="J270" s="179" t="n">
        <v>501555784</v>
      </c>
      <c r="K270" s="179" t="n">
        <v>1003111568</v>
      </c>
      <c r="L270" s="179" t="n">
        <v>1504667351</v>
      </c>
    </row>
    <row r="271" ht="15" customHeight="1" s="95">
      <c r="A271" s="143" t="n">
        <v>44100</v>
      </c>
      <c r="B271" s="146" t="n">
        <v>0.999656</v>
      </c>
      <c r="C271" s="179" t="n">
        <v>2510442216</v>
      </c>
      <c r="D271" s="179" t="n">
        <v>2511304932</v>
      </c>
      <c r="E271" s="146" t="n">
        <v>0.999762</v>
      </c>
      <c r="F271" s="179" t="n">
        <v>15198008748</v>
      </c>
      <c r="G271" s="179" t="n">
        <v>15201629929</v>
      </c>
      <c r="H271" s="179">
        <f>IFERROR(D271+G271,D271)</f>
        <v/>
      </c>
      <c r="I271" s="184">
        <f>IFERROR(D271/H271,"")</f>
        <v/>
      </c>
      <c r="J271" s="179" t="n">
        <v>502260986</v>
      </c>
      <c r="K271" s="179" t="n">
        <v>1004521973</v>
      </c>
      <c r="L271" s="179" t="n">
        <v>1506782959</v>
      </c>
    </row>
    <row r="272" ht="15" customHeight="1" s="95">
      <c r="A272" s="143" t="n">
        <v>44101</v>
      </c>
      <c r="B272" s="146" t="n">
        <v>0.999903</v>
      </c>
      <c r="C272" s="179" t="n">
        <v>2551472974</v>
      </c>
      <c r="D272" s="179" t="n">
        <v>2551720645</v>
      </c>
      <c r="E272" s="146" t="n">
        <v>1.000151</v>
      </c>
      <c r="F272" s="179" t="n">
        <v>15280949124</v>
      </c>
      <c r="G272" s="179" t="n">
        <v>15278640806</v>
      </c>
      <c r="H272" s="179">
        <f>IFERROR(D272+G272,D272)</f>
        <v/>
      </c>
      <c r="I272" s="184">
        <f>IFERROR(D272/H272,"")</f>
        <v/>
      </c>
      <c r="J272" s="179" t="n">
        <v>510344129</v>
      </c>
      <c r="K272" s="179" t="n">
        <v>1020688258</v>
      </c>
      <c r="L272" s="179" t="n">
        <v>1531032387</v>
      </c>
    </row>
    <row r="273" ht="15" customHeight="1" s="95">
      <c r="A273" s="143" t="n">
        <v>44102</v>
      </c>
      <c r="B273" s="146" t="n">
        <v>1.000952</v>
      </c>
      <c r="C273" s="179" t="n">
        <v>2602973322</v>
      </c>
      <c r="D273" s="179" t="n">
        <v>2600496501</v>
      </c>
      <c r="E273" s="146" t="n">
        <v>0.99939</v>
      </c>
      <c r="F273" s="179" t="n">
        <v>15354889137</v>
      </c>
      <c r="G273" s="179" t="n">
        <v>15364257797</v>
      </c>
      <c r="H273" s="179">
        <f>IFERROR(D273+G273,D273)</f>
        <v/>
      </c>
      <c r="I273" s="184">
        <f>IFERROR(D273/H273,"")</f>
        <v/>
      </c>
      <c r="J273" s="179" t="n">
        <v>520099300</v>
      </c>
      <c r="K273" s="179" t="n">
        <v>1040198600</v>
      </c>
      <c r="L273" s="179" t="n">
        <v>1560297901</v>
      </c>
    </row>
    <row r="274" ht="15" customHeight="1" s="95">
      <c r="A274" s="143" t="n">
        <v>44103</v>
      </c>
      <c r="B274" s="146" t="n">
        <v>0.997192</v>
      </c>
      <c r="C274" s="179" t="n">
        <v>2529880667</v>
      </c>
      <c r="D274" s="179" t="n">
        <v>2537004083</v>
      </c>
      <c r="E274" s="146" t="n">
        <v>1.000089</v>
      </c>
      <c r="F274" s="179" t="n">
        <v>15395506651</v>
      </c>
      <c r="G274" s="179" t="n">
        <v>15394140805</v>
      </c>
      <c r="H274" s="179">
        <f>IFERROR(D274+G274,D274)</f>
        <v/>
      </c>
      <c r="I274" s="184">
        <f>IFERROR(D274/H274,"")</f>
        <v/>
      </c>
      <c r="J274" s="179" t="n">
        <v>507400817</v>
      </c>
      <c r="K274" s="179" t="n">
        <v>1014801633</v>
      </c>
      <c r="L274" s="179" t="n">
        <v>1522202450</v>
      </c>
    </row>
    <row r="275" ht="15" customHeight="1" s="95">
      <c r="A275" s="143" t="n">
        <v>44104</v>
      </c>
      <c r="B275" s="146" t="n">
        <v>0.999732</v>
      </c>
      <c r="C275" s="179" t="n">
        <v>2537998073</v>
      </c>
      <c r="D275" s="179" t="n">
        <v>2538678190</v>
      </c>
      <c r="E275" s="146" t="n">
        <v>1.001152</v>
      </c>
      <c r="F275" s="179" t="n">
        <v>15466015671</v>
      </c>
      <c r="G275" s="179" t="n">
        <v>15448219760</v>
      </c>
      <c r="H275" s="179">
        <f>IFERROR(D275+G275,D275)</f>
        <v/>
      </c>
      <c r="I275" s="184">
        <f>IFERROR(D275/H275,"")</f>
        <v/>
      </c>
      <c r="J275" s="179" t="n">
        <v>507735638</v>
      </c>
      <c r="K275" s="179" t="n">
        <v>1015471276</v>
      </c>
      <c r="L275" s="179" t="n">
        <v>1523206914</v>
      </c>
    </row>
    <row r="276" ht="15" customHeight="1" s="95">
      <c r="A276" s="143" t="n">
        <v>44105</v>
      </c>
      <c r="B276" s="146" t="n">
        <v>0.999623</v>
      </c>
      <c r="C276" s="179" t="n">
        <v>2533716802</v>
      </c>
      <c r="D276" s="179" t="n">
        <v>2534673152</v>
      </c>
      <c r="E276" s="146" t="n">
        <v>1.000519</v>
      </c>
      <c r="F276" s="179" t="n">
        <v>15517416774</v>
      </c>
      <c r="G276" s="179" t="n">
        <v>15509366079</v>
      </c>
      <c r="H276" s="179">
        <f>IFERROR(D276+G276,D276)</f>
        <v/>
      </c>
      <c r="I276" s="184">
        <f>IFERROR(D276/H276,"")</f>
        <v/>
      </c>
      <c r="J276" s="179" t="n">
        <v>506934630</v>
      </c>
      <c r="K276" s="179" t="n">
        <v>1013869261</v>
      </c>
      <c r="L276" s="179" t="n">
        <v>1520803891</v>
      </c>
    </row>
    <row r="277" ht="15" customHeight="1" s="95">
      <c r="A277" s="143" t="n">
        <v>44106</v>
      </c>
      <c r="B277" s="146" t="n">
        <v>1.000676</v>
      </c>
      <c r="C277" s="179" t="n">
        <v>2538189510</v>
      </c>
      <c r="D277" s="179" t="n">
        <v>2536474433</v>
      </c>
      <c r="E277" s="146" t="n">
        <v>0.9999169999999999</v>
      </c>
      <c r="F277" s="179" t="n">
        <v>15506096329</v>
      </c>
      <c r="G277" s="179" t="n">
        <v>15507378961</v>
      </c>
      <c r="H277" s="179">
        <f>IFERROR(D277+G277,D277)</f>
        <v/>
      </c>
      <c r="I277" s="184">
        <f>IFERROR(D277/H277,"")</f>
        <v/>
      </c>
      <c r="J277" s="179" t="n">
        <v>507294887</v>
      </c>
      <c r="K277" s="179" t="n">
        <v>1014589773</v>
      </c>
      <c r="L277" s="179" t="n">
        <v>1521884660</v>
      </c>
    </row>
    <row r="278" ht="15" customHeight="1" s="95">
      <c r="A278" s="143" t="n">
        <v>44107</v>
      </c>
      <c r="B278" s="146" t="n">
        <v>1.00122</v>
      </c>
      <c r="C278" s="179" t="n">
        <v>2596747526</v>
      </c>
      <c r="D278" s="179" t="n">
        <v>2593582077</v>
      </c>
      <c r="E278" s="146" t="n">
        <v>1.00115</v>
      </c>
      <c r="F278" s="179" t="n">
        <v>15559126337</v>
      </c>
      <c r="G278" s="179" t="n">
        <v>15541252377</v>
      </c>
      <c r="H278" s="179">
        <f>IFERROR(D278+G278,D278)</f>
        <v/>
      </c>
      <c r="I278" s="184">
        <f>IFERROR(D278/H278,"")</f>
        <v/>
      </c>
      <c r="J278" s="179" t="n">
        <v>518716415</v>
      </c>
      <c r="K278" s="179" t="n">
        <v>1037432831</v>
      </c>
      <c r="L278" s="179" t="n">
        <v>1556149246</v>
      </c>
    </row>
    <row r="279" ht="15" customHeight="1" s="95">
      <c r="A279" s="143" t="n">
        <v>44108</v>
      </c>
      <c r="B279" s="146" t="n">
        <v>0.999438</v>
      </c>
      <c r="C279" s="179" t="n">
        <v>2635139058</v>
      </c>
      <c r="D279" s="179" t="n">
        <v>2636620728</v>
      </c>
      <c r="E279" s="146" t="n">
        <v>1.000496</v>
      </c>
      <c r="F279" s="179" t="n">
        <v>15593659413</v>
      </c>
      <c r="G279" s="179" t="n">
        <v>15585921709</v>
      </c>
      <c r="H279" s="179">
        <f>IFERROR(D279+G279,D279)</f>
        <v/>
      </c>
      <c r="I279" s="184">
        <f>IFERROR(D279/H279,"")</f>
        <v/>
      </c>
      <c r="J279" s="179" t="n">
        <v>527324146</v>
      </c>
      <c r="K279" s="179" t="n">
        <v>1054648291</v>
      </c>
      <c r="L279" s="179" t="n">
        <v>1581972437</v>
      </c>
    </row>
    <row r="280" ht="15" customHeight="1" s="95">
      <c r="A280" s="143" t="n">
        <v>44109</v>
      </c>
      <c r="B280" s="146" t="n">
        <v>1.000765</v>
      </c>
      <c r="C280" s="179" t="n">
        <v>2647091929</v>
      </c>
      <c r="D280" s="179" t="n">
        <v>2645068537</v>
      </c>
      <c r="E280" s="146" t="n">
        <v>1.000064</v>
      </c>
      <c r="F280" s="179" t="n">
        <v>15582073682</v>
      </c>
      <c r="G280" s="179" t="n">
        <v>15581073681</v>
      </c>
      <c r="H280" s="179">
        <f>IFERROR(D280+G280,D280)</f>
        <v/>
      </c>
      <c r="I280" s="184">
        <f>IFERROR(D280/H280,"")</f>
        <v/>
      </c>
      <c r="J280" s="179" t="n">
        <v>529013707</v>
      </c>
      <c r="K280" s="179" t="n">
        <v>1058027415</v>
      </c>
      <c r="L280" s="179" t="n">
        <v>1587041122</v>
      </c>
    </row>
    <row r="281" ht="15" customHeight="1" s="95">
      <c r="A281" s="143" t="n">
        <v>44110</v>
      </c>
      <c r="B281" s="146" t="n">
        <v>1.001052</v>
      </c>
      <c r="C281" s="179" t="n">
        <v>2669784990</v>
      </c>
      <c r="D281" s="179" t="n">
        <v>2666978402</v>
      </c>
      <c r="E281" s="146" t="n">
        <v>0.999779</v>
      </c>
      <c r="F281" s="179" t="n">
        <v>15613470199</v>
      </c>
      <c r="G281" s="179" t="n">
        <v>15616922149</v>
      </c>
      <c r="H281" s="179">
        <f>IFERROR(D281+G281,D281)</f>
        <v/>
      </c>
      <c r="I281" s="184">
        <f>IFERROR(D281/H281,"")</f>
        <v/>
      </c>
      <c r="J281" s="179" t="n">
        <v>533395680</v>
      </c>
      <c r="K281" s="179" t="n">
        <v>1066791361</v>
      </c>
      <c r="L281" s="179" t="n">
        <v>1600187041</v>
      </c>
    </row>
    <row r="282" ht="15" customHeight="1" s="95">
      <c r="A282" s="143" t="n">
        <v>44111</v>
      </c>
      <c r="B282" s="146" t="n">
        <v>1.001679</v>
      </c>
      <c r="C282" s="179" t="n">
        <v>2677147190</v>
      </c>
      <c r="D282" s="179" t="n">
        <v>2672658649</v>
      </c>
      <c r="E282" s="146" t="n">
        <v>1.000878</v>
      </c>
      <c r="F282" s="179" t="n">
        <v>15620630276</v>
      </c>
      <c r="G282" s="179" t="n">
        <v>15606922149</v>
      </c>
      <c r="H282" s="179">
        <f>IFERROR(D282+G282,D282)</f>
        <v/>
      </c>
      <c r="I282" s="184">
        <f>IFERROR(D282/H282,"")</f>
        <v/>
      </c>
      <c r="J282" s="179" t="n">
        <v>534531730</v>
      </c>
      <c r="K282" s="179" t="n">
        <v>1069063460</v>
      </c>
      <c r="L282" s="179" t="n">
        <v>1603595189</v>
      </c>
    </row>
    <row r="283" ht="15" customHeight="1" s="95">
      <c r="A283" s="143" t="n">
        <v>44112</v>
      </c>
      <c r="B283" s="146" t="n">
        <v>1.000754</v>
      </c>
      <c r="C283" s="179" t="n">
        <v>2713582993</v>
      </c>
      <c r="D283" s="179" t="n">
        <v>2711538785</v>
      </c>
      <c r="E283" s="146" t="n">
        <v>1.00009</v>
      </c>
      <c r="F283" s="179" t="n">
        <v>15615309939</v>
      </c>
      <c r="G283" s="179" t="n">
        <v>15613911776</v>
      </c>
      <c r="H283" s="179">
        <f>IFERROR(D283+G283,D283)</f>
        <v/>
      </c>
      <c r="I283" s="184">
        <f>IFERROR(D283/H283,"")</f>
        <v/>
      </c>
      <c r="J283" s="179" t="n">
        <v>542307757</v>
      </c>
      <c r="K283" s="179" t="n">
        <v>1084615514</v>
      </c>
      <c r="L283" s="179" t="n">
        <v>1626923271</v>
      </c>
    </row>
    <row r="284" ht="15" customHeight="1" s="95">
      <c r="A284" s="143" t="n">
        <v>44113</v>
      </c>
      <c r="B284" s="146" t="n">
        <v>0.999879</v>
      </c>
      <c r="C284" s="179" t="n">
        <v>2813795125</v>
      </c>
      <c r="D284" s="179" t="n">
        <v>2814134586</v>
      </c>
      <c r="E284" s="146" t="n">
        <v>1.000032</v>
      </c>
      <c r="F284" s="179" t="n">
        <v>15613856024</v>
      </c>
      <c r="G284" s="179" t="n">
        <v>15613359946</v>
      </c>
      <c r="H284" s="179">
        <f>IFERROR(D284+G284,D284)</f>
        <v/>
      </c>
      <c r="I284" s="184">
        <f>IFERROR(D284/H284,"")</f>
        <v/>
      </c>
      <c r="J284" s="179" t="n">
        <v>562826917</v>
      </c>
      <c r="K284" s="179" t="n">
        <v>1125653834</v>
      </c>
      <c r="L284" s="179" t="n">
        <v>1688480752</v>
      </c>
    </row>
    <row r="285" ht="15" customHeight="1" s="95">
      <c r="A285" s="143" t="n">
        <v>44114</v>
      </c>
      <c r="B285" s="146" t="n">
        <v>0.999178</v>
      </c>
      <c r="C285" s="179" t="n">
        <v>2816482258</v>
      </c>
      <c r="D285" s="179" t="n">
        <v>2818800445</v>
      </c>
      <c r="E285" s="146" t="n">
        <v>1.000978</v>
      </c>
      <c r="F285" s="179" t="n">
        <v>15629093673</v>
      </c>
      <c r="G285" s="179" t="n">
        <v>15613824940</v>
      </c>
      <c r="H285" s="179">
        <f>IFERROR(D285+G285,D285)</f>
        <v/>
      </c>
      <c r="I285" s="184">
        <f>IFERROR(D285/H285,"")</f>
        <v/>
      </c>
      <c r="J285" s="179" t="n">
        <v>563760089</v>
      </c>
      <c r="K285" s="179" t="n">
        <v>1127520178</v>
      </c>
      <c r="L285" s="179" t="n">
        <v>1691280267</v>
      </c>
    </row>
    <row r="286" ht="15" customHeight="1" s="95">
      <c r="A286" s="143" t="n">
        <v>44115</v>
      </c>
      <c r="B286" s="146" t="n">
        <v>0.998754</v>
      </c>
      <c r="C286" s="179" t="n">
        <v>2860465292</v>
      </c>
      <c r="D286" s="179" t="n">
        <v>2864032579</v>
      </c>
      <c r="E286" s="146" t="n">
        <v>0.9993840000000001</v>
      </c>
      <c r="F286" s="179" t="n">
        <v>15705291452</v>
      </c>
      <c r="G286" s="179" t="n">
        <v>15714969945</v>
      </c>
      <c r="H286" s="179">
        <f>IFERROR(D286+G286,D286)</f>
        <v/>
      </c>
      <c r="I286" s="184">
        <f>IFERROR(D286/H286,"")</f>
        <v/>
      </c>
      <c r="J286" s="179" t="n">
        <v>572806516</v>
      </c>
      <c r="K286" s="179" t="n">
        <v>1145613032</v>
      </c>
      <c r="L286" s="179" t="n">
        <v>1718419547</v>
      </c>
    </row>
    <row r="287" ht="15" customHeight="1" s="95">
      <c r="A287" s="143" t="n">
        <v>44116</v>
      </c>
      <c r="B287" s="146" t="n">
        <v>1.000381</v>
      </c>
      <c r="C287" s="179" t="n">
        <v>2862636123</v>
      </c>
      <c r="D287" s="179" t="n">
        <v>2861545946</v>
      </c>
      <c r="E287" s="146" t="n">
        <v>0.999939</v>
      </c>
      <c r="F287" s="179" t="n">
        <v>15726508389</v>
      </c>
      <c r="G287" s="179" t="n">
        <v>15727469945</v>
      </c>
      <c r="H287" s="179">
        <f>IFERROR(D287+G287,D287)</f>
        <v/>
      </c>
      <c r="I287" s="184">
        <f>IFERROR(D287/H287,"")</f>
        <v/>
      </c>
      <c r="J287" s="179" t="n">
        <v>572309189</v>
      </c>
      <c r="K287" s="179" t="n">
        <v>1144618378</v>
      </c>
      <c r="L287" s="179" t="n">
        <v>1716927568</v>
      </c>
    </row>
    <row r="288" ht="15" customHeight="1" s="95">
      <c r="A288" s="143" t="n">
        <v>44117</v>
      </c>
      <c r="B288" s="146" t="n">
        <v>1.000254</v>
      </c>
      <c r="C288" s="179" t="n">
        <v>2848010176</v>
      </c>
      <c r="D288" s="179" t="n">
        <v>2847288215</v>
      </c>
      <c r="E288" s="146" t="n">
        <v>0.999467</v>
      </c>
      <c r="F288" s="179" t="n">
        <v>15719081416</v>
      </c>
      <c r="G288" s="179" t="n">
        <v>15727469945</v>
      </c>
      <c r="H288" s="179">
        <f>IFERROR(D288+G288,D288)</f>
        <v/>
      </c>
      <c r="I288" s="184">
        <f>IFERROR(D288/H288,"")</f>
        <v/>
      </c>
      <c r="J288" s="179" t="n">
        <v>569457643</v>
      </c>
      <c r="K288" s="179" t="n">
        <v>1138915286</v>
      </c>
      <c r="L288" s="179" t="n">
        <v>1708372929</v>
      </c>
    </row>
    <row r="289" ht="15" customHeight="1" s="95">
      <c r="A289" s="143" t="n">
        <v>44118</v>
      </c>
      <c r="B289" s="146" t="n">
        <v>0.999423</v>
      </c>
      <c r="C289" s="179" t="n">
        <v>2780366831</v>
      </c>
      <c r="D289" s="179" t="n">
        <v>2781972842</v>
      </c>
      <c r="E289" s="146" t="n">
        <v>1.00011</v>
      </c>
      <c r="F289" s="179" t="n">
        <v>15749202701</v>
      </c>
      <c r="G289" s="179" t="n">
        <v>15747469944</v>
      </c>
      <c r="H289" s="179">
        <f>IFERROR(D289+G289,D289)</f>
        <v/>
      </c>
      <c r="I289" s="184">
        <f>IFERROR(D289/H289,"")</f>
        <v/>
      </c>
      <c r="J289" s="179" t="n">
        <v>556394568</v>
      </c>
      <c r="K289" s="179" t="n">
        <v>1112789137</v>
      </c>
      <c r="L289" s="179" t="n">
        <v>1669183705</v>
      </c>
    </row>
    <row r="290" ht="15" customHeight="1" s="95">
      <c r="A290" s="143" t="n">
        <v>44119</v>
      </c>
      <c r="B290" s="146" t="n">
        <v>1.000925</v>
      </c>
      <c r="C290" s="179" t="n">
        <v>2758342399</v>
      </c>
      <c r="D290" s="179" t="n">
        <v>2755794562</v>
      </c>
      <c r="E290" s="146" t="n">
        <v>1.000475</v>
      </c>
      <c r="F290" s="179" t="n">
        <v>15757276435</v>
      </c>
      <c r="G290" s="179" t="n">
        <v>15749802811</v>
      </c>
      <c r="H290" s="179">
        <f>IFERROR(D290+G290,D290)</f>
        <v/>
      </c>
      <c r="I290" s="184">
        <f>IFERROR(D290/H290,"")</f>
        <v/>
      </c>
      <c r="J290" s="179" t="n">
        <v>551158912</v>
      </c>
      <c r="K290" s="179" t="n">
        <v>1102317825</v>
      </c>
      <c r="L290" s="179" t="n">
        <v>1653476737</v>
      </c>
    </row>
    <row r="291" ht="15" customHeight="1" s="95">
      <c r="A291" s="143" t="n">
        <v>44120</v>
      </c>
      <c r="B291" s="146" t="n">
        <v>0.999596</v>
      </c>
      <c r="C291" s="179" t="n">
        <v>2744150812</v>
      </c>
      <c r="D291" s="179" t="n">
        <v>2745259455</v>
      </c>
      <c r="E291" s="146" t="n">
        <v>0.998819</v>
      </c>
      <c r="F291" s="179" t="n">
        <v>15765787578</v>
      </c>
      <c r="G291" s="179" t="n">
        <v>15784435170</v>
      </c>
      <c r="H291" s="179">
        <f>IFERROR(D291+G291,D291)</f>
        <v/>
      </c>
      <c r="I291" s="184">
        <f>IFERROR(D291/H291,"")</f>
        <v/>
      </c>
      <c r="J291" s="179" t="n">
        <v>549051891</v>
      </c>
      <c r="K291" s="179" t="n">
        <v>1098103782</v>
      </c>
      <c r="L291" s="179" t="n">
        <v>1647155673</v>
      </c>
    </row>
    <row r="292" ht="15" customHeight="1" s="95">
      <c r="A292" s="143" t="n">
        <v>44121</v>
      </c>
      <c r="B292" s="146" t="n">
        <v>0.998684</v>
      </c>
      <c r="C292" s="179" t="n">
        <v>2708757171</v>
      </c>
      <c r="D292" s="179" t="n">
        <v>2712327543</v>
      </c>
      <c r="E292" s="146" t="n">
        <v>1.000568</v>
      </c>
      <c r="F292" s="179" t="n">
        <v>15784964725</v>
      </c>
      <c r="G292" s="179" t="n">
        <v>15776005111</v>
      </c>
      <c r="H292" s="179">
        <f>IFERROR(D292+G292,D292)</f>
        <v/>
      </c>
      <c r="I292" s="184">
        <f>IFERROR(D292/H292,"")</f>
        <v/>
      </c>
      <c r="J292" s="179" t="n">
        <v>542465509</v>
      </c>
      <c r="K292" s="179" t="n">
        <v>1084931017</v>
      </c>
      <c r="L292" s="179" t="n">
        <v>1627396526</v>
      </c>
    </row>
    <row r="293" ht="15" customHeight="1" s="95">
      <c r="A293" s="143" t="n">
        <v>44122</v>
      </c>
      <c r="B293" s="146" t="n">
        <v>1.000693</v>
      </c>
      <c r="C293" s="179" t="n">
        <v>2712475151</v>
      </c>
      <c r="D293" s="179" t="n">
        <v>2710597187</v>
      </c>
      <c r="E293" s="146" t="n">
        <v>1.000353</v>
      </c>
      <c r="F293" s="179" t="n">
        <v>15818540295</v>
      </c>
      <c r="G293" s="179" t="n">
        <v>15812964270</v>
      </c>
      <c r="H293" s="179">
        <f>IFERROR(D293+G293,D293)</f>
        <v/>
      </c>
      <c r="I293" s="184">
        <f>IFERROR(D293/H293,"")</f>
        <v/>
      </c>
      <c r="J293" s="179" t="n">
        <v>542119437</v>
      </c>
      <c r="K293" s="179" t="n">
        <v>1084238875</v>
      </c>
      <c r="L293" s="179" t="n">
        <v>1626358312</v>
      </c>
    </row>
    <row r="294" ht="15" customHeight="1" s="95">
      <c r="A294" s="143" t="n">
        <v>44123</v>
      </c>
      <c r="B294" s="146" t="n">
        <v>1.000673</v>
      </c>
      <c r="C294" s="179" t="n">
        <v>2735872028</v>
      </c>
      <c r="D294" s="179" t="n">
        <v>2734032619</v>
      </c>
      <c r="E294" s="146" t="n">
        <v>1.001067</v>
      </c>
      <c r="F294" s="179" t="n">
        <v>15839841300</v>
      </c>
      <c r="G294" s="179" t="n">
        <v>15822964270</v>
      </c>
      <c r="H294" s="179">
        <f>IFERROR(D294+G294,D294)</f>
        <v/>
      </c>
      <c r="I294" s="184">
        <f>IFERROR(D294/H294,"")</f>
        <v/>
      </c>
      <c r="J294" s="179" t="n">
        <v>546806524</v>
      </c>
      <c r="K294" s="179" t="n">
        <v>1093613048</v>
      </c>
      <c r="L294" s="179" t="n">
        <v>1640419571</v>
      </c>
    </row>
    <row r="295" ht="15" customHeight="1" s="95">
      <c r="A295" s="143" t="n">
        <v>44124</v>
      </c>
      <c r="B295" s="146" t="n">
        <v>1.000816</v>
      </c>
      <c r="C295" s="179" t="n">
        <v>2743403339</v>
      </c>
      <c r="D295" s="179" t="n">
        <v>2741165615</v>
      </c>
      <c r="E295" s="146" t="n">
        <v>0.999847</v>
      </c>
      <c r="F295" s="179" t="n">
        <v>15836240611</v>
      </c>
      <c r="G295" s="179" t="n">
        <v>15838664270</v>
      </c>
      <c r="H295" s="179">
        <f>IFERROR(D295+G295,D295)</f>
        <v/>
      </c>
      <c r="I295" s="184">
        <f>IFERROR(D295/H295,"")</f>
        <v/>
      </c>
      <c r="J295" s="179" t="n">
        <v>548233123</v>
      </c>
      <c r="K295" s="179" t="n">
        <v>1096466246</v>
      </c>
      <c r="L295" s="179" t="n">
        <v>1644699369</v>
      </c>
    </row>
    <row r="296" ht="15" customHeight="1" s="95">
      <c r="A296" s="143" t="n">
        <v>44125</v>
      </c>
      <c r="B296" s="146" t="n">
        <v>0.999044</v>
      </c>
      <c r="C296" s="179" t="n">
        <v>2737764421</v>
      </c>
      <c r="D296" s="179" t="n">
        <v>2740384685</v>
      </c>
      <c r="E296" s="146" t="n">
        <v>1.0014</v>
      </c>
      <c r="F296" s="179" t="n">
        <v>15885590091</v>
      </c>
      <c r="G296" s="179" t="n">
        <v>15863388781</v>
      </c>
      <c r="H296" s="179">
        <f>IFERROR(D296+G296,D296)</f>
        <v/>
      </c>
      <c r="I296" s="184">
        <f>IFERROR(D296/H296,"")</f>
        <v/>
      </c>
      <c r="J296" s="179" t="n">
        <v>548076937</v>
      </c>
      <c r="K296" s="179" t="n">
        <v>1096153874</v>
      </c>
      <c r="L296" s="179" t="n">
        <v>1644230811</v>
      </c>
    </row>
    <row r="297" ht="15" customHeight="1" s="95">
      <c r="A297" s="143" t="n">
        <v>44126</v>
      </c>
      <c r="B297" s="146" t="n">
        <v>0.99533</v>
      </c>
      <c r="C297" s="179" t="n">
        <v>2793509638</v>
      </c>
      <c r="D297" s="179" t="n">
        <v>2806615498</v>
      </c>
      <c r="E297" s="146" t="n">
        <v>0.981837</v>
      </c>
      <c r="F297" s="179" t="n">
        <v>15988638518</v>
      </c>
      <c r="G297" s="179" t="n">
        <v>16284404528</v>
      </c>
      <c r="H297" s="179">
        <f>IFERROR(D297+G297,D297)</f>
        <v/>
      </c>
      <c r="I297" s="184">
        <f>IFERROR(D297/H297,"")</f>
        <v/>
      </c>
      <c r="J297" s="179" t="n">
        <v>561323100</v>
      </c>
      <c r="K297" s="179" t="n">
        <v>1122646199</v>
      </c>
      <c r="L297" s="179" t="n">
        <v>1683969299</v>
      </c>
    </row>
    <row r="298" ht="15" customHeight="1" s="95">
      <c r="A298" s="143" t="n">
        <v>44127</v>
      </c>
      <c r="B298" s="146" t="n">
        <v>0.9966120000000001</v>
      </c>
      <c r="C298" s="179" t="n">
        <v>2788502061</v>
      </c>
      <c r="D298" s="179" t="n">
        <v>2797980784</v>
      </c>
      <c r="E298" s="146" t="n">
        <v>0.9981179999999999</v>
      </c>
      <c r="F298" s="179" t="n">
        <v>16037428575</v>
      </c>
      <c r="G298" s="179" t="n">
        <v>16067674995</v>
      </c>
      <c r="H298" s="179">
        <f>IFERROR(D298+G298,D298)</f>
        <v/>
      </c>
      <c r="I298" s="184">
        <f>IFERROR(D298/H298,"")</f>
        <v/>
      </c>
      <c r="J298" s="179" t="n">
        <v>559596157</v>
      </c>
      <c r="K298" s="179" t="n">
        <v>1119192314</v>
      </c>
      <c r="L298" s="179" t="n">
        <v>1678788470</v>
      </c>
    </row>
    <row r="299" ht="15" customHeight="1" s="95">
      <c r="A299" s="143" t="n">
        <v>44128</v>
      </c>
      <c r="B299" s="146" t="n">
        <v>0.999926</v>
      </c>
      <c r="C299" s="179" t="n">
        <v>2761599310</v>
      </c>
      <c r="D299" s="179" t="n">
        <v>2761802587</v>
      </c>
      <c r="E299" s="146" t="n">
        <v>1.00036</v>
      </c>
      <c r="F299" s="179" t="n">
        <v>16147555998</v>
      </c>
      <c r="G299" s="179" t="n">
        <v>16141738101</v>
      </c>
      <c r="H299" s="179">
        <f>IFERROR(D299+G299,D299)</f>
        <v/>
      </c>
      <c r="I299" s="184">
        <f>IFERROR(D299/H299,"")</f>
        <v/>
      </c>
      <c r="J299" s="179" t="n">
        <v>552360517</v>
      </c>
      <c r="K299" s="179" t="n">
        <v>1104721035</v>
      </c>
      <c r="L299" s="179" t="n">
        <v>1657081552</v>
      </c>
    </row>
    <row r="300" ht="15" customHeight="1" s="95">
      <c r="A300" s="143" t="n">
        <v>44129</v>
      </c>
      <c r="B300" s="146" t="n">
        <v>0.99974</v>
      </c>
      <c r="C300" s="179" t="n">
        <v>2791642605</v>
      </c>
      <c r="D300" s="179" t="n">
        <v>2792367395</v>
      </c>
      <c r="E300" s="146" t="n">
        <v>1.000056</v>
      </c>
      <c r="F300" s="179" t="n">
        <v>16243349991</v>
      </c>
      <c r="G300" s="179" t="n">
        <v>16242438101</v>
      </c>
      <c r="H300" s="179">
        <f>IFERROR(D300+G300,D300)</f>
        <v/>
      </c>
      <c r="I300" s="184">
        <f>IFERROR(D300/H300,"")</f>
        <v/>
      </c>
      <c r="J300" s="179" t="n">
        <v>558473479</v>
      </c>
      <c r="K300" s="179" t="n">
        <v>1116946958</v>
      </c>
      <c r="L300" s="179" t="n">
        <v>1675420437</v>
      </c>
    </row>
    <row r="301" ht="15" customHeight="1" s="95">
      <c r="A301" s="143" t="n">
        <v>44130</v>
      </c>
      <c r="B301" s="146" t="n">
        <v>0.998644</v>
      </c>
      <c r="C301" s="179" t="n">
        <v>2812099248</v>
      </c>
      <c r="D301" s="179" t="n">
        <v>2815918956</v>
      </c>
      <c r="E301" s="146" t="n">
        <v>1.00008</v>
      </c>
      <c r="F301" s="179" t="n">
        <v>16280341319</v>
      </c>
      <c r="G301" s="179" t="n">
        <v>16279038101</v>
      </c>
      <c r="H301" s="179">
        <f>IFERROR(D301+G301,D301)</f>
        <v/>
      </c>
      <c r="I301" s="184">
        <f>IFERROR(D301/H301,"")</f>
        <v/>
      </c>
      <c r="J301" s="179" t="n">
        <v>563183791</v>
      </c>
      <c r="K301" s="179" t="n">
        <v>1126367582</v>
      </c>
      <c r="L301" s="179" t="n">
        <v>1689551374</v>
      </c>
    </row>
    <row r="302" ht="15" customHeight="1" s="95">
      <c r="A302" s="143" t="n">
        <v>44131</v>
      </c>
      <c r="B302" s="146" t="n">
        <v>0.998804</v>
      </c>
      <c r="C302" s="179" t="n">
        <v>2780171009</v>
      </c>
      <c r="D302" s="179" t="n">
        <v>2783501033</v>
      </c>
      <c r="E302" s="146" t="n">
        <v>1.000328</v>
      </c>
      <c r="F302" s="179" t="n">
        <v>16338115218</v>
      </c>
      <c r="G302" s="179" t="n">
        <v>16332761569</v>
      </c>
      <c r="H302" s="179">
        <f>IFERROR(D302+G302,D302)</f>
        <v/>
      </c>
      <c r="I302" s="184">
        <f>IFERROR(D302/H302,"")</f>
        <v/>
      </c>
      <c r="J302" s="179" t="n">
        <v>556700207</v>
      </c>
      <c r="K302" s="179" t="n">
        <v>1113400413</v>
      </c>
      <c r="L302" s="179" t="n">
        <v>1670100620</v>
      </c>
    </row>
    <row r="303" ht="15" customHeight="1" s="95">
      <c r="A303" s="143" t="n">
        <v>44132</v>
      </c>
      <c r="B303" s="146" t="n">
        <v>0.999603</v>
      </c>
      <c r="C303" s="179" t="n">
        <v>2815626165</v>
      </c>
      <c r="D303" s="179" t="n">
        <v>2816744725</v>
      </c>
      <c r="E303" s="146" t="n">
        <v>1.00116</v>
      </c>
      <c r="F303" s="179" t="n">
        <v>16394460871</v>
      </c>
      <c r="G303" s="179" t="n">
        <v>16375461569</v>
      </c>
      <c r="H303" s="179">
        <f>IFERROR(D303+G303,D303)</f>
        <v/>
      </c>
      <c r="I303" s="184">
        <f>IFERROR(D303/H303,"")</f>
        <v/>
      </c>
      <c r="J303" s="179" t="n">
        <v>563348945</v>
      </c>
      <c r="K303" s="179" t="n">
        <v>1126697890</v>
      </c>
      <c r="L303" s="179" t="n">
        <v>1690046835</v>
      </c>
    </row>
    <row r="304" ht="15" customHeight="1" s="95">
      <c r="A304" s="143" t="n">
        <v>44133</v>
      </c>
      <c r="B304" s="146" t="n">
        <v>1.000617</v>
      </c>
      <c r="C304" s="179" t="n">
        <v>2845042314</v>
      </c>
      <c r="D304" s="179" t="n">
        <v>2843288042</v>
      </c>
      <c r="E304" s="146" t="n">
        <v>0.999617</v>
      </c>
      <c r="F304" s="179" t="n">
        <v>16441266715</v>
      </c>
      <c r="G304" s="179" t="n">
        <v>16447561569</v>
      </c>
      <c r="H304" s="179">
        <f>IFERROR(D304+G304,D304)</f>
        <v/>
      </c>
      <c r="I304" s="184">
        <f>IFERROR(D304/H304,"")</f>
        <v/>
      </c>
      <c r="J304" s="179" t="n">
        <v>568657608</v>
      </c>
      <c r="K304" s="179" t="n">
        <v>1137315217</v>
      </c>
      <c r="L304" s="179" t="n">
        <v>1705972825</v>
      </c>
    </row>
    <row r="305" ht="15" customHeight="1" s="95">
      <c r="A305" s="143" t="n">
        <v>44134</v>
      </c>
      <c r="B305" s="146" t="n">
        <v>0.999144</v>
      </c>
      <c r="C305" s="179" t="n">
        <v>2889448405</v>
      </c>
      <c r="D305" s="179" t="n">
        <v>2891924217</v>
      </c>
      <c r="E305" s="146" t="n">
        <v>1.000946</v>
      </c>
      <c r="F305" s="179" t="n">
        <v>16516066040</v>
      </c>
      <c r="G305" s="179" t="n">
        <v>16500461568</v>
      </c>
      <c r="H305" s="179">
        <f>IFERROR(D305+G305,D305)</f>
        <v/>
      </c>
      <c r="I305" s="184">
        <f>IFERROR(D305/H305,"")</f>
        <v/>
      </c>
      <c r="J305" s="179" t="n">
        <v>578384843</v>
      </c>
      <c r="K305" s="179" t="n">
        <v>1156769687</v>
      </c>
      <c r="L305" s="179" t="n">
        <v>1735154530</v>
      </c>
    </row>
    <row r="306" ht="15" customHeight="1" s="95">
      <c r="A306" s="143" t="n">
        <v>44135</v>
      </c>
      <c r="B306" s="146" t="n">
        <v>0.996053</v>
      </c>
      <c r="C306" s="179" t="n">
        <v>2886046069</v>
      </c>
      <c r="D306" s="179" t="n">
        <v>2897481136</v>
      </c>
      <c r="E306" s="146" t="n">
        <v>0.999614</v>
      </c>
      <c r="F306" s="179" t="n">
        <v>16532183807</v>
      </c>
      <c r="G306" s="179" t="n">
        <v>16538561558</v>
      </c>
      <c r="H306" s="179">
        <f>IFERROR(D306+G306,D306)</f>
        <v/>
      </c>
      <c r="I306" s="184">
        <f>IFERROR(D306/H306,"")</f>
        <v/>
      </c>
      <c r="J306" s="179" t="n">
        <v>579496227</v>
      </c>
      <c r="K306" s="179" t="n">
        <v>1158992454</v>
      </c>
      <c r="L306" s="179" t="n">
        <v>1738488682</v>
      </c>
    </row>
    <row r="307" ht="15" customHeight="1" s="95">
      <c r="A307" s="143" t="n">
        <v>44136</v>
      </c>
      <c r="B307" s="146" t="n">
        <v>0.998076</v>
      </c>
      <c r="C307" s="179" t="n">
        <v>2937044138</v>
      </c>
      <c r="D307" s="179" t="n">
        <v>2942706269</v>
      </c>
      <c r="E307" s="146" t="n">
        <v>0.997789</v>
      </c>
      <c r="F307" s="179" t="n">
        <v>16623463029</v>
      </c>
      <c r="G307" s="179" t="n">
        <v>16660305888</v>
      </c>
      <c r="H307" s="179">
        <f>IFERROR(D307+G307,D307)</f>
        <v/>
      </c>
      <c r="I307" s="184">
        <f>IFERROR(D307/H307,"")</f>
        <v/>
      </c>
      <c r="J307" s="179" t="n">
        <v>588541254</v>
      </c>
      <c r="K307" s="179" t="n">
        <v>1177082508</v>
      </c>
      <c r="L307" s="179" t="n">
        <v>1765623761</v>
      </c>
    </row>
    <row r="308" ht="15" customHeight="1" s="95">
      <c r="A308" s="143" t="n">
        <v>44137</v>
      </c>
      <c r="B308" s="146" t="n">
        <v>0.997664</v>
      </c>
      <c r="C308" s="179" t="n">
        <v>2935020080</v>
      </c>
      <c r="D308" s="179" t="n">
        <v>2941891182</v>
      </c>
      <c r="E308" s="146" t="n">
        <v>0.997339</v>
      </c>
      <c r="F308" s="179" t="n">
        <v>16616270865</v>
      </c>
      <c r="G308" s="179" t="n">
        <v>16660603090</v>
      </c>
      <c r="H308" s="179">
        <f>IFERROR(D308+G308,D308)</f>
        <v/>
      </c>
      <c r="I308" s="184">
        <f>IFERROR(D308/H308,"")</f>
        <v/>
      </c>
      <c r="J308" s="179" t="n">
        <v>588378236</v>
      </c>
      <c r="K308" s="179" t="n">
        <v>1176756473</v>
      </c>
      <c r="L308" s="179" t="n">
        <v>1765134709</v>
      </c>
    </row>
    <row r="309" ht="15" customHeight="1" s="95">
      <c r="A309" s="143" t="n">
        <v>44138</v>
      </c>
      <c r="B309" s="146" t="n">
        <v>0.998107</v>
      </c>
      <c r="C309" s="179" t="n">
        <v>2941412397</v>
      </c>
      <c r="D309" s="179" t="n">
        <v>2946989651</v>
      </c>
      <c r="E309" s="146" t="n">
        <v>0.9990830000000001</v>
      </c>
      <c r="F309" s="179" t="n">
        <v>16660305272</v>
      </c>
      <c r="G309" s="179" t="n">
        <v>16675603090</v>
      </c>
      <c r="H309" s="179">
        <f>IFERROR(D309+G309,D309)</f>
        <v/>
      </c>
      <c r="I309" s="184">
        <f>IFERROR(D309/H309,"")</f>
        <v/>
      </c>
      <c r="J309" s="179" t="n">
        <v>589397930</v>
      </c>
      <c r="K309" s="179" t="n">
        <v>1178795860</v>
      </c>
      <c r="L309" s="179" t="n">
        <v>1768193791</v>
      </c>
    </row>
    <row r="310" ht="15" customHeight="1" s="95">
      <c r="A310" s="143" t="n">
        <v>44139</v>
      </c>
      <c r="B310" s="146" t="n">
        <v>0.999273</v>
      </c>
      <c r="C310" s="179" t="n">
        <v>2925280467</v>
      </c>
      <c r="D310" s="179" t="n">
        <v>2927408194</v>
      </c>
      <c r="E310" s="146" t="n">
        <v>1.000439</v>
      </c>
      <c r="F310" s="179" t="n">
        <v>16672806891</v>
      </c>
      <c r="G310" s="179" t="n">
        <v>16665489400</v>
      </c>
      <c r="H310" s="179">
        <f>IFERROR(D310+G310,D310)</f>
        <v/>
      </c>
      <c r="I310" s="184">
        <f>IFERROR(D310/H310,"")</f>
        <v/>
      </c>
      <c r="J310" s="179" t="n">
        <v>585481639</v>
      </c>
      <c r="K310" s="179" t="n">
        <v>1170963278</v>
      </c>
      <c r="L310" s="179" t="n">
        <v>1756444916</v>
      </c>
    </row>
    <row r="311" ht="15" customHeight="1" s="95">
      <c r="A311" s="143" t="n">
        <v>44140</v>
      </c>
      <c r="B311" s="146" t="n">
        <v>0.999408</v>
      </c>
      <c r="C311" s="179" t="n">
        <v>2895425436</v>
      </c>
      <c r="D311" s="179" t="n">
        <v>2897140891</v>
      </c>
      <c r="E311" s="146" t="n">
        <v>1.000033</v>
      </c>
      <c r="F311" s="179" t="n">
        <v>16761357255</v>
      </c>
      <c r="G311" s="179" t="n">
        <v>16760803089</v>
      </c>
      <c r="H311" s="179">
        <f>IFERROR(D311+G311,D311)</f>
        <v/>
      </c>
      <c r="I311" s="184">
        <f>IFERROR(D311/H311,"")</f>
        <v/>
      </c>
      <c r="J311" s="179" t="n">
        <v>579428178</v>
      </c>
      <c r="K311" s="179" t="n">
        <v>1158856356</v>
      </c>
      <c r="L311" s="179" t="n">
        <v>1738284535</v>
      </c>
    </row>
    <row r="312" ht="15" customHeight="1" s="95">
      <c r="A312" s="143" t="n">
        <v>44141</v>
      </c>
      <c r="B312" s="146" t="n">
        <v>0.997304</v>
      </c>
      <c r="C312" s="179" t="n">
        <v>2874608521</v>
      </c>
      <c r="D312" s="179" t="n">
        <v>2882378788</v>
      </c>
      <c r="E312" s="146" t="n">
        <v>1.002376</v>
      </c>
      <c r="F312" s="179" t="n">
        <v>16904673926</v>
      </c>
      <c r="G312" s="179" t="n">
        <v>16864600564</v>
      </c>
      <c r="H312" s="179">
        <f>IFERROR(D312+G312,D312)</f>
        <v/>
      </c>
      <c r="I312" s="184">
        <f>IFERROR(D312/H312,"")</f>
        <v/>
      </c>
      <c r="J312" s="179" t="n">
        <v>576475758</v>
      </c>
      <c r="K312" s="179" t="n">
        <v>1152951515</v>
      </c>
      <c r="L312" s="179" t="n">
        <v>1729427273</v>
      </c>
    </row>
    <row r="313" ht="15" customHeight="1" s="95">
      <c r="A313" s="143" t="n">
        <v>44142</v>
      </c>
      <c r="B313" s="146" t="n">
        <v>0.99793</v>
      </c>
      <c r="C313" s="179" t="n">
        <v>2861131229</v>
      </c>
      <c r="D313" s="179" t="n">
        <v>2867065502</v>
      </c>
      <c r="E313" s="146" t="n">
        <v>1.000311</v>
      </c>
      <c r="F313" s="179" t="n">
        <v>16997171288</v>
      </c>
      <c r="G313" s="179" t="n">
        <v>16991893172</v>
      </c>
      <c r="H313" s="179">
        <f>IFERROR(D313+G313,D313)</f>
        <v/>
      </c>
      <c r="I313" s="184">
        <f>IFERROR(D313/H313,"")</f>
        <v/>
      </c>
      <c r="J313" s="179" t="n">
        <v>573413100</v>
      </c>
      <c r="K313" s="179" t="n">
        <v>1146826201</v>
      </c>
      <c r="L313" s="179" t="n">
        <v>1720239301</v>
      </c>
    </row>
    <row r="314" ht="15" customHeight="1" s="95">
      <c r="A314" s="143" t="n">
        <v>44143</v>
      </c>
      <c r="B314" s="146" t="n">
        <v>0.998251</v>
      </c>
      <c r="C314" s="179" t="n">
        <v>2894648969</v>
      </c>
      <c r="D314" s="179" t="n">
        <v>2899719315</v>
      </c>
      <c r="E314" s="146" t="n">
        <v>1.00216</v>
      </c>
      <c r="F314" s="179" t="n">
        <v>17169790620</v>
      </c>
      <c r="G314" s="179" t="n">
        <v>17132790959</v>
      </c>
      <c r="H314" s="179">
        <f>IFERROR(D314+G314,D314)</f>
        <v/>
      </c>
      <c r="I314" s="184">
        <f>IFERROR(D314/H314,"")</f>
        <v/>
      </c>
      <c r="J314" s="179" t="n">
        <v>579943863</v>
      </c>
      <c r="K314" s="179" t="n">
        <v>1159887726</v>
      </c>
      <c r="L314" s="179" t="n">
        <v>1739831589</v>
      </c>
    </row>
    <row r="315" ht="15" customHeight="1" s="95">
      <c r="A315" s="143" t="n">
        <v>44144</v>
      </c>
      <c r="B315" s="146" t="n">
        <v>0.999489</v>
      </c>
      <c r="C315" s="179" t="n">
        <v>2885939648</v>
      </c>
      <c r="D315" s="179" t="n">
        <v>2887414968</v>
      </c>
      <c r="E315" s="146" t="n">
        <v>1.000178</v>
      </c>
      <c r="F315" s="179" t="n">
        <v>17204850806</v>
      </c>
      <c r="G315" s="179" t="n">
        <v>17201790959</v>
      </c>
      <c r="H315" s="179">
        <f>IFERROR(D315+G315,D315)</f>
        <v/>
      </c>
      <c r="I315" s="184">
        <f>IFERROR(D315/H315,"")</f>
        <v/>
      </c>
      <c r="J315" s="179" t="n">
        <v>577482994</v>
      </c>
      <c r="K315" s="179" t="n">
        <v>1154965987</v>
      </c>
      <c r="L315" s="179" t="n">
        <v>1732448981</v>
      </c>
    </row>
    <row r="316" ht="15" customHeight="1" s="95">
      <c r="A316" s="143" t="n">
        <v>44145</v>
      </c>
      <c r="B316" s="146" t="n">
        <v>0.999901</v>
      </c>
      <c r="C316" s="179" t="n">
        <v>2852111119</v>
      </c>
      <c r="D316" s="179" t="n">
        <v>2852394446</v>
      </c>
      <c r="E316" s="146" t="n">
        <v>1.000942</v>
      </c>
      <c r="F316" s="179" t="n">
        <v>17283048043</v>
      </c>
      <c r="G316" s="179" t="n">
        <v>17266790959</v>
      </c>
      <c r="H316" s="179">
        <f>IFERROR(D316+G316,D316)</f>
        <v/>
      </c>
      <c r="I316" s="184">
        <f>IFERROR(D316/H316,"")</f>
        <v/>
      </c>
      <c r="J316" s="179" t="n">
        <v>570478889</v>
      </c>
      <c r="K316" s="179" t="n">
        <v>1140957778</v>
      </c>
      <c r="L316" s="179" t="n">
        <v>1711436668</v>
      </c>
    </row>
    <row r="317" ht="15" customHeight="1" s="95">
      <c r="A317" s="143" t="n">
        <v>44146</v>
      </c>
      <c r="B317" s="146" t="n">
        <v>0.998144</v>
      </c>
      <c r="C317" s="179" t="n">
        <v>2837068623</v>
      </c>
      <c r="D317" s="179" t="n">
        <v>2842344836</v>
      </c>
      <c r="E317" s="146" t="n">
        <v>0.997112</v>
      </c>
      <c r="F317" s="179" t="n">
        <v>17296592567</v>
      </c>
      <c r="G317" s="179" t="n">
        <v>17346690959</v>
      </c>
      <c r="H317" s="179">
        <f>IFERROR(D317+G317,D317)</f>
        <v/>
      </c>
      <c r="I317" s="184">
        <f>IFERROR(D317/H317,"")</f>
        <v/>
      </c>
      <c r="J317" s="179" t="n">
        <v>568468967</v>
      </c>
      <c r="K317" s="179" t="n">
        <v>1136937934</v>
      </c>
      <c r="L317" s="179" t="n">
        <v>1705406902</v>
      </c>
    </row>
    <row r="318" ht="15" customHeight="1" s="95">
      <c r="A318" s="143" t="n">
        <v>44147</v>
      </c>
      <c r="B318" s="146" t="n">
        <v>0.998214</v>
      </c>
      <c r="C318" s="179" t="n">
        <v>2837664545</v>
      </c>
      <c r="D318" s="179" t="n">
        <v>2842742285</v>
      </c>
      <c r="E318" s="146" t="n">
        <v>0.998715</v>
      </c>
      <c r="F318" s="179" t="n">
        <v>17440423454</v>
      </c>
      <c r="G318" s="179" t="n">
        <v>17462860190</v>
      </c>
      <c r="H318" s="179">
        <f>IFERROR(D318+G318,D318)</f>
        <v/>
      </c>
      <c r="I318" s="184">
        <f>IFERROR(D318/H318,"")</f>
        <v/>
      </c>
      <c r="J318" s="179" t="n">
        <v>568548457</v>
      </c>
      <c r="K318" s="179" t="n">
        <v>1137096914</v>
      </c>
      <c r="L318" s="179" t="n">
        <v>1705645371</v>
      </c>
    </row>
    <row r="319" ht="15" customHeight="1" s="95">
      <c r="A319" s="143" t="n">
        <v>44148</v>
      </c>
      <c r="B319" s="146" t="n">
        <v>0.998285</v>
      </c>
      <c r="C319" s="179" t="n">
        <v>2814909576</v>
      </c>
      <c r="D319" s="179" t="n">
        <v>2819746485</v>
      </c>
      <c r="E319" s="146" t="n">
        <v>1.000185</v>
      </c>
      <c r="F319" s="179" t="n">
        <v>17556236317</v>
      </c>
      <c r="G319" s="179" t="n">
        <v>17552992602</v>
      </c>
      <c r="H319" s="179">
        <f>IFERROR(D319+G319,D319)</f>
        <v/>
      </c>
      <c r="I319" s="184">
        <f>IFERROR(D319/H319,"")</f>
        <v/>
      </c>
      <c r="J319" s="179" t="n">
        <v>563949297</v>
      </c>
      <c r="K319" s="179" t="n">
        <v>1127898594</v>
      </c>
      <c r="L319" s="179" t="n">
        <v>1691847891</v>
      </c>
    </row>
    <row r="320" ht="15" customHeight="1" s="95">
      <c r="A320" s="143" t="n">
        <v>44149</v>
      </c>
      <c r="B320" s="146" t="n">
        <v>0.9995579999999999</v>
      </c>
      <c r="C320" s="179" t="n">
        <v>2814609667</v>
      </c>
      <c r="D320" s="179" t="n">
        <v>2815854619</v>
      </c>
      <c r="E320" s="146" t="n">
        <v>1.001255</v>
      </c>
      <c r="F320" s="179" t="n">
        <v>17712127062</v>
      </c>
      <c r="G320" s="179" t="n">
        <v>17689921389</v>
      </c>
      <c r="H320" s="179">
        <f>IFERROR(D320+G320,D320)</f>
        <v/>
      </c>
      <c r="I320" s="184">
        <f>IFERROR(D320/H320,"")</f>
        <v/>
      </c>
      <c r="J320" s="179" t="n">
        <v>563170924</v>
      </c>
      <c r="K320" s="179" t="n">
        <v>1126341848</v>
      </c>
      <c r="L320" s="179" t="n">
        <v>1689512771</v>
      </c>
    </row>
    <row r="321" ht="15" customHeight="1" s="95">
      <c r="A321" s="143" t="n">
        <v>44150</v>
      </c>
      <c r="B321" s="146" t="n">
        <v>0.999057</v>
      </c>
      <c r="C321" s="179" t="n">
        <v>2831723901</v>
      </c>
      <c r="D321" s="179" t="n">
        <v>2834395423</v>
      </c>
      <c r="E321" s="146" t="n">
        <v>1.00178</v>
      </c>
      <c r="F321" s="179" t="n">
        <v>17860345298</v>
      </c>
      <c r="G321" s="179" t="n">
        <v>17828609654</v>
      </c>
      <c r="H321" s="179">
        <f>IFERROR(D321+G321,D321)</f>
        <v/>
      </c>
      <c r="I321" s="184">
        <f>IFERROR(D321/H321,"")</f>
        <v/>
      </c>
      <c r="J321" s="179" t="n">
        <v>566879085</v>
      </c>
      <c r="K321" s="179" t="n">
        <v>1133758169</v>
      </c>
      <c r="L321" s="179" t="n">
        <v>1700637254</v>
      </c>
    </row>
    <row r="322" ht="15" customHeight="1" s="95">
      <c r="A322" s="143" t="n">
        <v>44151</v>
      </c>
      <c r="B322" s="146" t="n">
        <v>1.00068</v>
      </c>
      <c r="C322" s="179" t="n">
        <v>2828793298</v>
      </c>
      <c r="D322" s="179" t="n">
        <v>2826871331</v>
      </c>
      <c r="E322" s="146" t="n">
        <v>1.003021</v>
      </c>
      <c r="F322" s="179" t="n">
        <v>17926838683</v>
      </c>
      <c r="G322" s="179" t="n">
        <v>17872844448</v>
      </c>
      <c r="H322" s="179">
        <f>IFERROR(D322+G322,D322)</f>
        <v/>
      </c>
      <c r="I322" s="184">
        <f>IFERROR(D322/H322,"")</f>
        <v/>
      </c>
      <c r="J322" s="179" t="n">
        <v>565374266</v>
      </c>
      <c r="K322" s="179" t="n">
        <v>1130748532</v>
      </c>
      <c r="L322" s="179" t="n">
        <v>1696122799</v>
      </c>
    </row>
    <row r="323" ht="15" customHeight="1" s="95">
      <c r="A323" s="143" t="n">
        <v>44152</v>
      </c>
      <c r="B323" s="146" t="n">
        <v>0.99802</v>
      </c>
      <c r="C323" s="179" t="n">
        <v>2833905446</v>
      </c>
      <c r="D323" s="179" t="n">
        <v>2839528738</v>
      </c>
      <c r="E323" s="146" t="n">
        <v>1.000271</v>
      </c>
      <c r="F323" s="179" t="n">
        <v>17856049825</v>
      </c>
      <c r="G323" s="179" t="n">
        <v>17851219924</v>
      </c>
      <c r="H323" s="179">
        <f>IFERROR(D323+G323,D323)</f>
        <v/>
      </c>
      <c r="I323" s="184">
        <f>IFERROR(D323/H323,"")</f>
        <v/>
      </c>
      <c r="J323" s="179" t="n">
        <v>567905748</v>
      </c>
      <c r="K323" s="179" t="n">
        <v>1135811495</v>
      </c>
      <c r="L323" s="179" t="n">
        <v>1703717243</v>
      </c>
    </row>
    <row r="324" ht="15" customHeight="1" s="95">
      <c r="A324" s="143" t="n">
        <v>44153</v>
      </c>
      <c r="B324" s="146" t="n">
        <v>0.998557</v>
      </c>
      <c r="C324" s="179" t="n">
        <v>2785897567</v>
      </c>
      <c r="D324" s="179" t="n">
        <v>2789923971</v>
      </c>
      <c r="E324" s="146" t="n">
        <v>1.00182</v>
      </c>
      <c r="F324" s="179" t="n">
        <v>17988127396</v>
      </c>
      <c r="G324" s="179" t="n">
        <v>17955443249</v>
      </c>
      <c r="H324" s="179">
        <f>IFERROR(D324+G324,D324)</f>
        <v/>
      </c>
      <c r="I324" s="184">
        <f>IFERROR(D324/H324,"")</f>
        <v/>
      </c>
      <c r="J324" s="179" t="n">
        <v>557984794</v>
      </c>
      <c r="K324" s="179" t="n">
        <v>1115969588</v>
      </c>
      <c r="L324" s="179" t="n">
        <v>1673954383</v>
      </c>
    </row>
    <row r="325" ht="15" customHeight="1" s="95">
      <c r="A325" s="143" t="n">
        <v>44154</v>
      </c>
      <c r="B325" s="146" t="n">
        <v>0.999474</v>
      </c>
      <c r="C325" s="179" t="n">
        <v>2803800472</v>
      </c>
      <c r="D325" s="179" t="n">
        <v>2805277339</v>
      </c>
      <c r="E325" s="146" t="n">
        <v>1.000249</v>
      </c>
      <c r="F325" s="179" t="n">
        <v>18029086889</v>
      </c>
      <c r="G325" s="179" t="n">
        <v>18024594847</v>
      </c>
      <c r="H325" s="179">
        <f>IFERROR(D325+G325,D325)</f>
        <v/>
      </c>
      <c r="I325" s="184">
        <f>IFERROR(D325/H325,"")</f>
        <v/>
      </c>
      <c r="J325" s="179" t="n">
        <v>561055468</v>
      </c>
      <c r="K325" s="179" t="n">
        <v>1122110936</v>
      </c>
      <c r="L325" s="179" t="n">
        <v>1683166403</v>
      </c>
    </row>
    <row r="326" ht="15" customHeight="1" s="95">
      <c r="A326" s="143" t="n">
        <v>44155</v>
      </c>
      <c r="B326" s="146" t="n">
        <v>0.999588</v>
      </c>
      <c r="C326" s="179" t="n">
        <v>2800505795</v>
      </c>
      <c r="D326" s="179" t="n">
        <v>2801659211</v>
      </c>
      <c r="E326" s="146" t="n">
        <v>1.000394</v>
      </c>
      <c r="F326" s="179" t="n">
        <v>18128126545</v>
      </c>
      <c r="G326" s="179" t="n">
        <v>18120994248</v>
      </c>
      <c r="H326" s="179">
        <f>IFERROR(D326+G326,D326)</f>
        <v/>
      </c>
      <c r="I326" s="184">
        <f>IFERROR(D326/H326,"")</f>
        <v/>
      </c>
      <c r="J326" s="179" t="n">
        <v>560331842</v>
      </c>
      <c r="K326" s="179" t="n">
        <v>1120663684</v>
      </c>
      <c r="L326" s="179" t="n">
        <v>1680995527</v>
      </c>
    </row>
    <row r="327" ht="15" customHeight="1" s="95">
      <c r="A327" s="143" t="n">
        <v>44156</v>
      </c>
      <c r="B327" s="146" t="n">
        <v>0.99865</v>
      </c>
      <c r="C327" s="179" t="n">
        <v>2814073314</v>
      </c>
      <c r="D327" s="179" t="n">
        <v>2817877482</v>
      </c>
      <c r="E327" s="146" t="n">
        <v>0.999852</v>
      </c>
      <c r="F327" s="179" t="n">
        <v>18189806446</v>
      </c>
      <c r="G327" s="179" t="n">
        <v>18192494248</v>
      </c>
      <c r="H327" s="179">
        <f>IFERROR(D327+G327,D327)</f>
        <v/>
      </c>
      <c r="I327" s="184">
        <f>IFERROR(D327/H327,"")</f>
        <v/>
      </c>
      <c r="J327" s="179" t="n">
        <v>563575496</v>
      </c>
      <c r="K327" s="179" t="n">
        <v>1127150993</v>
      </c>
      <c r="L327" s="179" t="n">
        <v>1690726489</v>
      </c>
    </row>
    <row r="328" ht="15" customHeight="1" s="95">
      <c r="A328" s="143" t="n">
        <v>44157</v>
      </c>
      <c r="B328" s="146" t="n">
        <v>0.997357</v>
      </c>
      <c r="C328" s="179" t="n">
        <v>2847988467</v>
      </c>
      <c r="D328" s="179" t="n">
        <v>2855536874</v>
      </c>
      <c r="E328" s="146" t="n">
        <v>0.997816</v>
      </c>
      <c r="F328" s="179" t="n">
        <v>18341344301</v>
      </c>
      <c r="G328" s="179" t="n">
        <v>18381494248</v>
      </c>
      <c r="H328" s="179">
        <f>IFERROR(D328+G328,D328)</f>
        <v/>
      </c>
      <c r="I328" s="184">
        <f>IFERROR(D328/H328,"")</f>
        <v/>
      </c>
      <c r="J328" s="179" t="n">
        <v>571107375</v>
      </c>
      <c r="K328" s="179" t="n">
        <v>1142214750</v>
      </c>
      <c r="L328" s="179" t="n">
        <v>1713322124</v>
      </c>
    </row>
    <row r="329" ht="15" customHeight="1" s="95">
      <c r="A329" s="143" t="n">
        <v>44158</v>
      </c>
      <c r="B329" s="146" t="n">
        <v>0.996723</v>
      </c>
      <c r="C329" s="179" t="n">
        <v>2877288663</v>
      </c>
      <c r="D329" s="179" t="n">
        <v>2886747635</v>
      </c>
      <c r="E329" s="146" t="n">
        <v>0.997206</v>
      </c>
      <c r="F329" s="179" t="n">
        <v>18423982370</v>
      </c>
      <c r="G329" s="179" t="n">
        <v>18475594248</v>
      </c>
      <c r="H329" s="179">
        <f>IFERROR(D329+G329,D329)</f>
        <v/>
      </c>
      <c r="I329" s="184">
        <f>IFERROR(D329/H329,"")</f>
        <v/>
      </c>
      <c r="J329" s="179" t="n">
        <v>577349527</v>
      </c>
      <c r="K329" s="179" t="n">
        <v>1154699054</v>
      </c>
      <c r="L329" s="179" t="n">
        <v>1732048581</v>
      </c>
    </row>
    <row r="330" ht="15" customHeight="1" s="95">
      <c r="A330" s="143" t="n">
        <v>44159</v>
      </c>
      <c r="B330" s="146" t="n">
        <v>0.997942</v>
      </c>
      <c r="C330" s="179" t="n">
        <v>2869297041</v>
      </c>
      <c r="D330" s="179" t="n">
        <v>2875213225</v>
      </c>
      <c r="E330" s="146" t="n">
        <v>0.997796</v>
      </c>
      <c r="F330" s="179" t="n">
        <v>18468867451</v>
      </c>
      <c r="G330" s="179" t="n">
        <v>18509660582</v>
      </c>
      <c r="H330" s="179">
        <f>IFERROR(D330+G330,D330)</f>
        <v/>
      </c>
      <c r="I330" s="184">
        <f>IFERROR(D330/H330,"")</f>
        <v/>
      </c>
      <c r="J330" s="179" t="n">
        <v>575042645</v>
      </c>
      <c r="K330" s="179" t="n">
        <v>1150085290</v>
      </c>
      <c r="L330" s="179" t="n">
        <v>1725127935</v>
      </c>
    </row>
    <row r="331" ht="15" customHeight="1" s="95">
      <c r="A331" s="143" t="n">
        <v>44160</v>
      </c>
      <c r="B331" s="146" t="n">
        <v>0.997452</v>
      </c>
      <c r="C331" s="179" t="n">
        <v>2857242351</v>
      </c>
      <c r="D331" s="179" t="n">
        <v>2864541390</v>
      </c>
      <c r="E331" s="146" t="n">
        <v>0.998063</v>
      </c>
      <c r="F331" s="179" t="n">
        <v>18624333606</v>
      </c>
      <c r="G331" s="179" t="n">
        <v>18660484259</v>
      </c>
      <c r="H331" s="179">
        <f>IFERROR(D331+G331,D331)</f>
        <v/>
      </c>
      <c r="I331" s="184">
        <f>IFERROR(D331/H331,"")</f>
        <v/>
      </c>
      <c r="J331" s="179" t="n">
        <v>572908278</v>
      </c>
      <c r="K331" s="179" t="n">
        <v>1145816556</v>
      </c>
      <c r="L331" s="179" t="n">
        <v>1718724834</v>
      </c>
    </row>
    <row r="332" ht="15" customHeight="1" s="95">
      <c r="A332" s="143" t="n">
        <v>44161</v>
      </c>
      <c r="B332" s="146" t="n">
        <v>0.999184</v>
      </c>
      <c r="C332" s="179" t="n">
        <v>2885506624</v>
      </c>
      <c r="D332" s="179" t="n">
        <v>2887864230</v>
      </c>
      <c r="E332" s="146" t="n">
        <v>0.997327</v>
      </c>
      <c r="F332" s="179" t="n">
        <v>18610597716</v>
      </c>
      <c r="G332" s="179" t="n">
        <v>18660484259</v>
      </c>
      <c r="H332" s="179">
        <f>IFERROR(D332+G332,D332)</f>
        <v/>
      </c>
      <c r="I332" s="184">
        <f>IFERROR(D332/H332,"")</f>
        <v/>
      </c>
      <c r="J332" s="179" t="n">
        <v>577572846</v>
      </c>
      <c r="K332" s="179" t="n">
        <v>1155145692</v>
      </c>
      <c r="L332" s="179" t="n">
        <v>1732718538</v>
      </c>
    </row>
    <row r="333" ht="15" customHeight="1" s="95">
      <c r="A333" s="143" t="n">
        <v>44162</v>
      </c>
      <c r="B333" s="146" t="n">
        <v>1.001239</v>
      </c>
      <c r="C333" s="179" t="n">
        <v>2900492931</v>
      </c>
      <c r="D333" s="179" t="n">
        <v>2896904240</v>
      </c>
      <c r="E333" s="146" t="n">
        <v>1.000329</v>
      </c>
      <c r="F333" s="179" t="n">
        <v>18979461069</v>
      </c>
      <c r="G333" s="179" t="n">
        <v>18973212863</v>
      </c>
      <c r="H333" s="179">
        <f>IFERROR(D333+G333,D333)</f>
        <v/>
      </c>
      <c r="I333" s="184">
        <f>IFERROR(D333/H333,"")</f>
        <v/>
      </c>
      <c r="J333" s="179" t="n">
        <v>579380848</v>
      </c>
      <c r="K333" s="179" t="n">
        <v>1158761696</v>
      </c>
      <c r="L333" s="179" t="n">
        <v>1738142544</v>
      </c>
    </row>
    <row r="334" ht="15" customHeight="1" s="95">
      <c r="A334" s="143" t="n">
        <v>44163</v>
      </c>
      <c r="B334" s="146" t="n">
        <v>1.001584</v>
      </c>
      <c r="C334" s="179" t="n">
        <v>2914579537</v>
      </c>
      <c r="D334" s="179" t="n">
        <v>2909970893</v>
      </c>
      <c r="E334" s="146" t="n">
        <v>1.002736</v>
      </c>
      <c r="F334" s="179" t="n">
        <v>19015542986</v>
      </c>
      <c r="G334" s="179" t="n">
        <v>18963656184</v>
      </c>
      <c r="H334" s="179">
        <f>IFERROR(D334+G334,D334)</f>
        <v/>
      </c>
      <c r="I334" s="184">
        <f>IFERROR(D334/H334,"")</f>
        <v/>
      </c>
      <c r="J334" s="179" t="n">
        <v>581994179</v>
      </c>
      <c r="K334" s="179" t="n">
        <v>1163988357</v>
      </c>
      <c r="L334" s="179" t="n">
        <v>1745982536</v>
      </c>
    </row>
    <row r="335" ht="15" customHeight="1" s="95">
      <c r="A335" s="143" t="n">
        <v>44164</v>
      </c>
      <c r="B335" s="146" t="n">
        <v>0.998722</v>
      </c>
      <c r="C335" s="179" t="n">
        <v>2970456072</v>
      </c>
      <c r="D335" s="179" t="n">
        <v>2974257704</v>
      </c>
      <c r="E335" s="146" t="n">
        <v>0.999182</v>
      </c>
      <c r="F335" s="179" t="n">
        <v>19028717336</v>
      </c>
      <c r="G335" s="179" t="n">
        <v>19044288052</v>
      </c>
      <c r="H335" s="179">
        <f>IFERROR(D335+G335,D335)</f>
        <v/>
      </c>
      <c r="I335" s="184">
        <f>IFERROR(D335/H335,"")</f>
        <v/>
      </c>
      <c r="J335" s="179" t="n">
        <v>594851541</v>
      </c>
      <c r="K335" s="179" t="n">
        <v>1189703082</v>
      </c>
      <c r="L335" s="179" t="n">
        <v>1784554622</v>
      </c>
    </row>
    <row r="336" ht="15" customHeight="1" s="95">
      <c r="A336" s="143" t="n">
        <v>44165</v>
      </c>
      <c r="B336" s="146" t="n">
        <v>0.9997</v>
      </c>
      <c r="C336" s="179" t="n">
        <v>2969654630</v>
      </c>
      <c r="D336" s="179" t="n">
        <v>2970546695</v>
      </c>
      <c r="E336" s="146" t="n">
        <v>1.000623</v>
      </c>
      <c r="F336" s="179" t="n">
        <v>19127804081</v>
      </c>
      <c r="G336" s="179" t="n">
        <v>19115888052</v>
      </c>
      <c r="H336" s="179">
        <f>IFERROR(D336+G336,D336)</f>
        <v/>
      </c>
      <c r="I336" s="184">
        <f>IFERROR(D336/H336,"")</f>
        <v/>
      </c>
      <c r="J336" s="179" t="n">
        <v>594109339</v>
      </c>
      <c r="K336" s="179" t="n">
        <v>1188218678</v>
      </c>
      <c r="L336" s="179" t="n">
        <v>1782328017</v>
      </c>
    </row>
    <row r="337" ht="15" customHeight="1" s="95">
      <c r="A337" s="143" t="n">
        <v>44166</v>
      </c>
      <c r="B337" s="146" t="n">
        <v>0.9965580000000001</v>
      </c>
      <c r="C337" s="179" t="n">
        <v>2974088272</v>
      </c>
      <c r="D337" s="179" t="n">
        <v>2984360339</v>
      </c>
      <c r="E337" s="146" t="n">
        <v>0.998255</v>
      </c>
      <c r="F337" s="179" t="n">
        <v>19100000432</v>
      </c>
      <c r="G337" s="179" t="n">
        <v>19133388052</v>
      </c>
      <c r="H337" s="179">
        <f>IFERROR(D337+G337,D337)</f>
        <v/>
      </c>
      <c r="I337" s="184">
        <f>IFERROR(D337/H337,"")</f>
        <v/>
      </c>
      <c r="J337" s="179" t="n">
        <v>596872068</v>
      </c>
      <c r="K337" s="179" t="n">
        <v>1193744136</v>
      </c>
      <c r="L337" s="179" t="n">
        <v>1790616203</v>
      </c>
    </row>
    <row r="338" ht="15" customHeight="1" s="95">
      <c r="A338" s="143" t="n">
        <v>44167</v>
      </c>
      <c r="B338" s="146" t="n">
        <v>1.001383</v>
      </c>
      <c r="C338" s="179" t="n">
        <v>2986024736</v>
      </c>
      <c r="D338" s="179" t="n">
        <v>2981900547</v>
      </c>
      <c r="E338" s="146" t="n">
        <v>0.994794</v>
      </c>
      <c r="F338" s="179" t="n">
        <v>19258843705</v>
      </c>
      <c r="G338" s="179" t="n">
        <v>19359638050</v>
      </c>
      <c r="H338" s="179">
        <f>IFERROR(D338+G338,D338)</f>
        <v/>
      </c>
      <c r="I338" s="184">
        <f>IFERROR(D338/H338,"")</f>
        <v/>
      </c>
      <c r="J338" s="179" t="n">
        <v>596380109</v>
      </c>
      <c r="K338" s="179" t="n">
        <v>1192760219</v>
      </c>
      <c r="L338" s="179" t="n">
        <v>1789140328</v>
      </c>
    </row>
    <row r="339" ht="15" customHeight="1" s="95">
      <c r="A339" s="143" t="n">
        <v>44168</v>
      </c>
      <c r="B339" s="146" t="n">
        <v>0.999873</v>
      </c>
      <c r="C339" s="179" t="n">
        <v>2973689219</v>
      </c>
      <c r="D339" s="179" t="n">
        <v>2974067201</v>
      </c>
      <c r="E339" s="146" t="n">
        <v>0.999091</v>
      </c>
      <c r="F339" s="179" t="n">
        <v>19392984903</v>
      </c>
      <c r="G339" s="179" t="n">
        <v>19410638050</v>
      </c>
      <c r="H339" s="179">
        <f>IFERROR(D339+G339,D339)</f>
        <v/>
      </c>
      <c r="I339" s="184">
        <f>IFERROR(D339/H339,"")</f>
        <v/>
      </c>
      <c r="J339" s="179" t="n">
        <v>594813440</v>
      </c>
      <c r="K339" s="179" t="n">
        <v>1189626880</v>
      </c>
      <c r="L339" s="179" t="n">
        <v>1784440321</v>
      </c>
    </row>
    <row r="340" ht="15" customHeight="1" s="95">
      <c r="A340" s="143" t="n">
        <v>44169</v>
      </c>
      <c r="B340" s="146" t="n">
        <v>0.99924</v>
      </c>
      <c r="C340" s="179" t="n">
        <v>2976771003</v>
      </c>
      <c r="D340" s="179" t="n">
        <v>2979035931</v>
      </c>
      <c r="E340" s="146" t="n">
        <v>1.001262</v>
      </c>
      <c r="F340" s="179" t="n">
        <v>19453232188</v>
      </c>
      <c r="G340" s="179" t="n">
        <v>19428720616</v>
      </c>
      <c r="H340" s="179">
        <f>IFERROR(D340+G340,D340)</f>
        <v/>
      </c>
      <c r="I340" s="184">
        <f>IFERROR(D340/H340,"")</f>
        <v/>
      </c>
      <c r="J340" s="179" t="n">
        <v>595807186</v>
      </c>
      <c r="K340" s="179" t="n">
        <v>1191614372</v>
      </c>
      <c r="L340" s="179" t="n">
        <v>1787421559</v>
      </c>
    </row>
    <row r="341" ht="15" customHeight="1" s="95">
      <c r="A341" s="143" t="n">
        <v>44170</v>
      </c>
      <c r="B341" s="146" t="n">
        <v>0.999658</v>
      </c>
      <c r="C341" s="179" t="n">
        <v>3024346244</v>
      </c>
      <c r="D341" s="179" t="n">
        <v>3025380204</v>
      </c>
      <c r="E341" s="146" t="n">
        <v>1.003987</v>
      </c>
      <c r="F341" s="179" t="n">
        <v>19616345384</v>
      </c>
      <c r="G341" s="179" t="n">
        <v>19538449538</v>
      </c>
      <c r="H341" s="179">
        <f>IFERROR(D341+G341,D341)</f>
        <v/>
      </c>
      <c r="I341" s="184">
        <f>IFERROR(D341/H341,"")</f>
        <v/>
      </c>
      <c r="J341" s="179" t="n">
        <v>605076041</v>
      </c>
      <c r="K341" s="179" t="n">
        <v>1210152082</v>
      </c>
      <c r="L341" s="179" t="n">
        <v>1815228122</v>
      </c>
    </row>
    <row r="342" ht="15" customHeight="1" s="95">
      <c r="A342" s="143" t="n">
        <v>44171</v>
      </c>
      <c r="B342" s="146" t="n">
        <v>1.000942</v>
      </c>
      <c r="C342" s="179" t="n">
        <v>3054098687</v>
      </c>
      <c r="D342" s="179" t="n">
        <v>3051225607</v>
      </c>
      <c r="E342" s="146" t="n">
        <v>1.001683</v>
      </c>
      <c r="F342" s="179" t="n">
        <v>19673710812</v>
      </c>
      <c r="G342" s="179" t="n">
        <v>19640649338</v>
      </c>
      <c r="H342" s="179">
        <f>IFERROR(D342+G342,D342)</f>
        <v/>
      </c>
      <c r="I342" s="184">
        <f>IFERROR(D342/H342,"")</f>
        <v/>
      </c>
      <c r="J342" s="179" t="n">
        <v>610245121</v>
      </c>
      <c r="K342" s="179" t="n">
        <v>1220490243</v>
      </c>
      <c r="L342" s="179" t="n">
        <v>1830735364</v>
      </c>
    </row>
    <row r="343" ht="15" customHeight="1" s="95">
      <c r="A343" s="143" t="n">
        <v>44172</v>
      </c>
      <c r="B343" s="146" t="n">
        <v>0.999579</v>
      </c>
      <c r="C343" s="179" t="n">
        <v>3082126093</v>
      </c>
      <c r="D343" s="179" t="n">
        <v>3083423041</v>
      </c>
      <c r="E343" s="146" t="n">
        <v>1.001337</v>
      </c>
      <c r="F343" s="179" t="n">
        <v>19692101876</v>
      </c>
      <c r="G343" s="179" t="n">
        <v>19665811736</v>
      </c>
      <c r="H343" s="179">
        <f>IFERROR(D343+G343,D343)</f>
        <v/>
      </c>
      <c r="I343" s="184">
        <f>IFERROR(D343/H343,"")</f>
        <v/>
      </c>
      <c r="J343" s="179" t="n">
        <v>616684608</v>
      </c>
      <c r="K343" s="179" t="n">
        <v>1233369216</v>
      </c>
      <c r="L343" s="179" t="n">
        <v>1850053825</v>
      </c>
    </row>
    <row r="344" ht="15" customHeight="1" s="95">
      <c r="A344" s="143" t="n">
        <v>44173</v>
      </c>
      <c r="B344" s="146" t="n">
        <v>1.000128</v>
      </c>
      <c r="C344" s="179" t="n">
        <v>3072555830</v>
      </c>
      <c r="D344" s="179" t="n">
        <v>3072162929</v>
      </c>
      <c r="E344" s="146" t="n">
        <v>1.000365</v>
      </c>
      <c r="F344" s="179" t="n">
        <v>19695202344</v>
      </c>
      <c r="G344" s="179" t="n">
        <v>19688011736</v>
      </c>
      <c r="H344" s="179">
        <f>IFERROR(D344+G344,D344)</f>
        <v/>
      </c>
      <c r="I344" s="184">
        <f>IFERROR(D344/H344,"")</f>
        <v/>
      </c>
      <c r="J344" s="179" t="n">
        <v>614432586</v>
      </c>
      <c r="K344" s="179" t="n">
        <v>1228865172</v>
      </c>
      <c r="L344" s="179" t="n">
        <v>1843297757</v>
      </c>
    </row>
    <row r="345" ht="15" customHeight="1" s="95">
      <c r="A345" s="143" t="n">
        <v>44174</v>
      </c>
      <c r="B345" s="146" t="n">
        <v>1.000013</v>
      </c>
      <c r="C345" s="179" t="n">
        <v>3090738841</v>
      </c>
      <c r="D345" s="179" t="n">
        <v>3090697280</v>
      </c>
      <c r="E345" s="146" t="n">
        <v>0.99817</v>
      </c>
      <c r="F345" s="179" t="n">
        <v>19756413070</v>
      </c>
      <c r="G345" s="179" t="n">
        <v>19792627842</v>
      </c>
      <c r="H345" s="179">
        <f>IFERROR(D345+G345,D345)</f>
        <v/>
      </c>
      <c r="I345" s="184">
        <f>IFERROR(D345/H345,"")</f>
        <v/>
      </c>
      <c r="J345" s="179" t="n">
        <v>618139456</v>
      </c>
      <c r="K345" s="179" t="n">
        <v>1236278912</v>
      </c>
      <c r="L345" s="179" t="n">
        <v>1854418368</v>
      </c>
    </row>
    <row r="346" ht="15" customHeight="1" s="95">
      <c r="A346" s="143" t="n">
        <v>44175</v>
      </c>
      <c r="B346" s="146" t="n">
        <v>1.00031</v>
      </c>
      <c r="C346" s="179" t="n">
        <v>3088976237</v>
      </c>
      <c r="D346" s="179" t="n">
        <v>3088017715</v>
      </c>
      <c r="E346" s="146" t="n">
        <v>1.000598</v>
      </c>
      <c r="F346" s="179" t="n">
        <v>19731593805</v>
      </c>
      <c r="G346" s="179" t="n">
        <v>19719796546</v>
      </c>
      <c r="H346" s="179">
        <f>IFERROR(D346+G346,D346)</f>
        <v/>
      </c>
      <c r="I346" s="184">
        <f>IFERROR(D346/H346,"")</f>
        <v/>
      </c>
      <c r="J346" s="179" t="n">
        <v>617603543</v>
      </c>
      <c r="K346" s="179" t="n">
        <v>1235207086</v>
      </c>
      <c r="L346" s="179" t="n">
        <v>1852810629</v>
      </c>
    </row>
    <row r="347" ht="15" customHeight="1" s="95">
      <c r="A347" s="143" t="n">
        <v>44176</v>
      </c>
      <c r="B347" s="146" t="n">
        <v>1.000351</v>
      </c>
      <c r="C347" s="179" t="n">
        <v>3094211682</v>
      </c>
      <c r="D347" s="179" t="n">
        <v>3093125263</v>
      </c>
      <c r="E347" s="146" t="n">
        <v>1.000863</v>
      </c>
      <c r="F347" s="179" t="n">
        <v>19775400467</v>
      </c>
      <c r="G347" s="179" t="n">
        <v>19758345382</v>
      </c>
      <c r="H347" s="179">
        <f>IFERROR(D347+G347,D347)</f>
        <v/>
      </c>
      <c r="I347" s="184">
        <f>IFERROR(D347/H347,"")</f>
        <v/>
      </c>
      <c r="J347" s="179" t="n">
        <v>618625053</v>
      </c>
      <c r="K347" s="179" t="n">
        <v>1237250105</v>
      </c>
      <c r="L347" s="179" t="n">
        <v>1855875158</v>
      </c>
    </row>
    <row r="348" ht="15" customHeight="1" s="95">
      <c r="A348" s="143" t="n">
        <v>44177</v>
      </c>
      <c r="B348" s="146" t="n">
        <v>1.000052</v>
      </c>
      <c r="C348" s="179" t="n">
        <v>3148910616</v>
      </c>
      <c r="D348" s="179" t="n">
        <v>3148745568</v>
      </c>
      <c r="E348" s="146" t="n">
        <v>0.999958</v>
      </c>
      <c r="F348" s="179" t="n">
        <v>19774158323</v>
      </c>
      <c r="G348" s="179" t="n">
        <v>19774996546</v>
      </c>
      <c r="H348" s="179">
        <f>IFERROR(D348+G348,D348)</f>
        <v/>
      </c>
      <c r="I348" s="184">
        <f>IFERROR(D348/H348,"")</f>
        <v/>
      </c>
      <c r="J348" s="179" t="n">
        <v>629749114</v>
      </c>
      <c r="K348" s="179" t="n">
        <v>1259498227</v>
      </c>
      <c r="L348" s="179" t="n">
        <v>1889247341</v>
      </c>
    </row>
    <row r="349" ht="15" customHeight="1" s="95">
      <c r="A349" s="143" t="n">
        <v>44178</v>
      </c>
      <c r="B349" s="146" t="n">
        <v>0.999619</v>
      </c>
      <c r="C349" s="179" t="n">
        <v>3221104234</v>
      </c>
      <c r="D349" s="179" t="n">
        <v>3222331062</v>
      </c>
      <c r="E349" s="146" t="n">
        <v>0.998794</v>
      </c>
      <c r="F349" s="179" t="n">
        <v>19799083140</v>
      </c>
      <c r="G349" s="179" t="n">
        <v>19822996555</v>
      </c>
      <c r="H349" s="179">
        <f>IFERROR(D349+G349,D349)</f>
        <v/>
      </c>
      <c r="I349" s="184">
        <f>IFERROR(D349/H349,"")</f>
        <v/>
      </c>
      <c r="J349" s="179" t="n">
        <v>644466212</v>
      </c>
      <c r="K349" s="179" t="n">
        <v>1288932425</v>
      </c>
      <c r="L349" s="179" t="n">
        <v>1933398637</v>
      </c>
    </row>
    <row r="350" ht="15" customHeight="1" s="95">
      <c r="A350" s="143" t="n">
        <v>44179</v>
      </c>
      <c r="B350" s="146" t="n">
        <v>1.000655</v>
      </c>
      <c r="C350" s="179" t="n">
        <v>3271544009</v>
      </c>
      <c r="D350" s="179" t="n">
        <v>3269403884</v>
      </c>
      <c r="E350" s="146" t="n">
        <v>0.999158</v>
      </c>
      <c r="F350" s="179" t="n">
        <v>19824289197</v>
      </c>
      <c r="G350" s="179" t="n">
        <v>19840996555</v>
      </c>
      <c r="H350" s="179">
        <f>IFERROR(D350+G350,D350)</f>
        <v/>
      </c>
      <c r="I350" s="184">
        <f>IFERROR(D350/H350,"")</f>
        <v/>
      </c>
      <c r="J350" s="179" t="n">
        <v>653880777</v>
      </c>
      <c r="K350" s="179" t="n">
        <v>1307761554</v>
      </c>
      <c r="L350" s="179" t="n">
        <v>1961642330</v>
      </c>
    </row>
    <row r="351" ht="15" customHeight="1" s="95">
      <c r="A351" s="143" t="n">
        <v>44180</v>
      </c>
      <c r="B351" s="146" t="n">
        <v>0.998977</v>
      </c>
      <c r="C351" s="179" t="n">
        <v>3281248612</v>
      </c>
      <c r="D351" s="179" t="n">
        <v>3284608314</v>
      </c>
      <c r="E351" s="146" t="n">
        <v>0.999592</v>
      </c>
      <c r="F351" s="179" t="n">
        <v>19832906051</v>
      </c>
      <c r="G351" s="179" t="n">
        <v>19840996555</v>
      </c>
      <c r="H351" s="179">
        <f>IFERROR(D351+G351,D351)</f>
        <v/>
      </c>
      <c r="I351" s="184">
        <f>IFERROR(D351/H351,"")</f>
        <v/>
      </c>
      <c r="J351" s="179" t="n">
        <v>656921663</v>
      </c>
      <c r="K351" s="179" t="n">
        <v>1313843326</v>
      </c>
      <c r="L351" s="179" t="n">
        <v>1970764988</v>
      </c>
    </row>
    <row r="352" ht="15" customHeight="1" s="95">
      <c r="A352" s="143" t="n">
        <v>44181</v>
      </c>
      <c r="B352" s="146" t="n">
        <v>1.000058</v>
      </c>
      <c r="C352" s="179" t="n">
        <v>3287513028</v>
      </c>
      <c r="D352" s="179" t="n">
        <v>3287322006</v>
      </c>
      <c r="E352" s="146" t="n">
        <v>0.999773</v>
      </c>
      <c r="F352" s="179" t="n">
        <v>19756381667</v>
      </c>
      <c r="G352" s="179" t="n">
        <v>19760863257</v>
      </c>
      <c r="H352" s="179">
        <f>IFERROR(D352+G352,D352)</f>
        <v/>
      </c>
      <c r="I352" s="184">
        <f>IFERROR(D352/H352,"")</f>
        <v/>
      </c>
      <c r="J352" s="179" t="n">
        <v>657464401</v>
      </c>
      <c r="K352" s="179" t="n">
        <v>1314928802</v>
      </c>
      <c r="L352" s="179" t="n">
        <v>1972393204</v>
      </c>
    </row>
    <row r="353" ht="15" customHeight="1" s="95">
      <c r="A353" s="143" t="n">
        <v>44182</v>
      </c>
      <c r="B353" s="146" t="n">
        <v>0.997635</v>
      </c>
      <c r="C353" s="179" t="n">
        <v>3315561176</v>
      </c>
      <c r="D353" s="179" t="n">
        <v>3323420538</v>
      </c>
      <c r="E353" s="146" t="n">
        <v>0.998547</v>
      </c>
      <c r="F353" s="179" t="n">
        <v>19757024760</v>
      </c>
      <c r="G353" s="179" t="n">
        <v>19785782127</v>
      </c>
      <c r="H353" s="179">
        <f>IFERROR(D353+G353,D353)</f>
        <v/>
      </c>
      <c r="I353" s="184">
        <f>IFERROR(D353/H353,"")</f>
        <v/>
      </c>
      <c r="J353" s="179" t="n">
        <v>664684108</v>
      </c>
      <c r="K353" s="179" t="n">
        <v>1329368215</v>
      </c>
      <c r="L353" s="179" t="n">
        <v>1994052323</v>
      </c>
    </row>
    <row r="354" ht="15" customHeight="1" s="95">
      <c r="A354" s="143" t="n">
        <v>44183</v>
      </c>
      <c r="B354" s="146" t="n">
        <v>1.000732</v>
      </c>
      <c r="C354" s="179" t="n">
        <v>3294373041</v>
      </c>
      <c r="D354" s="179" t="n">
        <v>3291962457</v>
      </c>
      <c r="E354" s="146" t="n">
        <v>0.997295</v>
      </c>
      <c r="F354" s="179" t="n">
        <v>19949736008</v>
      </c>
      <c r="G354" s="179" t="n">
        <v>20003840209</v>
      </c>
      <c r="H354" s="179">
        <f>IFERROR(D354+G354,D354)</f>
        <v/>
      </c>
      <c r="I354" s="184">
        <f>IFERROR(D354/H354,"")</f>
        <v/>
      </c>
      <c r="J354" s="179" t="n">
        <v>658392491</v>
      </c>
      <c r="K354" s="179" t="n">
        <v>1316784983</v>
      </c>
      <c r="L354" s="179" t="n">
        <v>1975177474</v>
      </c>
    </row>
    <row r="355" ht="15" customHeight="1" s="95">
      <c r="A355" s="143" t="n">
        <v>44184</v>
      </c>
      <c r="B355" s="146" t="n">
        <v>1.000802</v>
      </c>
      <c r="C355" s="179" t="n">
        <v>3298168361</v>
      </c>
      <c r="D355" s="179" t="n">
        <v>3295526929</v>
      </c>
      <c r="E355" s="146" t="n">
        <v>0.998875</v>
      </c>
      <c r="F355" s="179" t="n">
        <v>20022296286</v>
      </c>
      <c r="G355" s="179" t="n">
        <v>20044840209</v>
      </c>
      <c r="H355" s="179">
        <f>IFERROR(D355+G355,D355)</f>
        <v/>
      </c>
      <c r="I355" s="184">
        <f>IFERROR(D355/H355,"")</f>
        <v/>
      </c>
      <c r="J355" s="179" t="n">
        <v>659105386</v>
      </c>
      <c r="K355" s="179" t="n">
        <v>1318210772</v>
      </c>
      <c r="L355" s="179" t="n">
        <v>1977316157</v>
      </c>
    </row>
    <row r="356" ht="15" customHeight="1" s="95">
      <c r="A356" s="143" t="n">
        <v>44185</v>
      </c>
      <c r="B356" s="146" t="n">
        <v>0.999713</v>
      </c>
      <c r="C356" s="179" t="n">
        <v>3383803900</v>
      </c>
      <c r="D356" s="179" t="n">
        <v>3384774125</v>
      </c>
      <c r="E356" s="146" t="n">
        <v>0.998296</v>
      </c>
      <c r="F356" s="179" t="n">
        <v>20082054875</v>
      </c>
      <c r="G356" s="179" t="n">
        <v>20116340209</v>
      </c>
      <c r="H356" s="179">
        <f>IFERROR(D356+G356,D356)</f>
        <v/>
      </c>
      <c r="I356" s="184">
        <f>IFERROR(D356/H356,"")</f>
        <v/>
      </c>
      <c r="J356" s="179" t="n">
        <v>676954825</v>
      </c>
      <c r="K356" s="179" t="n">
        <v>1353909650</v>
      </c>
      <c r="L356" s="179" t="n">
        <v>2030864475</v>
      </c>
    </row>
    <row r="357" ht="15" customHeight="1" s="95">
      <c r="A357" s="143" t="n">
        <v>44186</v>
      </c>
      <c r="B357" s="146" t="n">
        <v>0.99937</v>
      </c>
      <c r="C357" s="179" t="n">
        <v>3367310807</v>
      </c>
      <c r="D357" s="179" t="n">
        <v>3369434098</v>
      </c>
      <c r="E357" s="146" t="n">
        <v>1.00281</v>
      </c>
      <c r="F357" s="179" t="n">
        <v>20363396933</v>
      </c>
      <c r="G357" s="179" t="n">
        <v>20306340209</v>
      </c>
      <c r="H357" s="179">
        <f>IFERROR(D357+G357,D357)</f>
        <v/>
      </c>
      <c r="I357" s="184">
        <f>IFERROR(D357/H357,"")</f>
        <v/>
      </c>
      <c r="J357" s="179" t="n">
        <v>673886820</v>
      </c>
      <c r="K357" s="179" t="n">
        <v>1347773639</v>
      </c>
      <c r="L357" s="179" t="n">
        <v>2021660459</v>
      </c>
    </row>
    <row r="358" ht="15" customHeight="1" s="95">
      <c r="A358" s="143" t="n">
        <v>44187</v>
      </c>
      <c r="B358" s="146" t="n">
        <v>0.996955</v>
      </c>
      <c r="C358" s="179" t="n">
        <v>3354936550</v>
      </c>
      <c r="D358" s="179" t="n">
        <v>3365183048</v>
      </c>
      <c r="E358" s="146" t="n">
        <v>1.00203</v>
      </c>
      <c r="F358" s="179" t="n">
        <v>20352568043</v>
      </c>
      <c r="G358" s="179" t="n">
        <v>20311340209</v>
      </c>
      <c r="H358" s="179">
        <f>IFERROR(D358+G358,D358)</f>
        <v/>
      </c>
      <c r="I358" s="184">
        <f>IFERROR(D358/H358,"")</f>
        <v/>
      </c>
      <c r="J358" s="179" t="n">
        <v>673036610</v>
      </c>
      <c r="K358" s="179" t="n">
        <v>1346073219</v>
      </c>
      <c r="L358" s="179" t="n">
        <v>2019109829</v>
      </c>
    </row>
    <row r="359" ht="15" customHeight="1" s="95">
      <c r="A359" s="143" t="n">
        <v>44188</v>
      </c>
      <c r="B359" s="146" t="n">
        <v>1.002172</v>
      </c>
      <c r="C359" s="179" t="n">
        <v>3382198127</v>
      </c>
      <c r="D359" s="179" t="n">
        <v>3374868641</v>
      </c>
      <c r="E359" s="146" t="n">
        <v>1.001962</v>
      </c>
      <c r="F359" s="179" t="n">
        <v>20473741651</v>
      </c>
      <c r="G359" s="179" t="n">
        <v>20433658195</v>
      </c>
      <c r="H359" s="179">
        <f>IFERROR(D359+G359,D359)</f>
        <v/>
      </c>
      <c r="I359" s="184">
        <f>IFERROR(D359/H359,"")</f>
        <v/>
      </c>
      <c r="J359" s="179" t="n">
        <v>674973728</v>
      </c>
      <c r="K359" s="179" t="n">
        <v>1349947456</v>
      </c>
      <c r="L359" s="179" t="n">
        <v>2024921185</v>
      </c>
    </row>
    <row r="360" ht="15" customHeight="1" s="95">
      <c r="A360" s="143" t="n">
        <v>44189</v>
      </c>
      <c r="B360" s="146" t="n">
        <v>1.002596</v>
      </c>
      <c r="C360" s="179" t="n">
        <v>3456806893</v>
      </c>
      <c r="D360" s="179" t="n">
        <v>3447855458</v>
      </c>
      <c r="E360" s="146" t="n">
        <v>1.004013</v>
      </c>
      <c r="F360" s="179" t="n">
        <v>20559034245</v>
      </c>
      <c r="G360" s="179" t="n">
        <v>20476867881</v>
      </c>
      <c r="H360" s="179">
        <f>IFERROR(D360+G360,D360)</f>
        <v/>
      </c>
      <c r="I360" s="184">
        <f>IFERROR(D360/H360,"")</f>
        <v/>
      </c>
      <c r="J360" s="179" t="n">
        <v>689571092</v>
      </c>
      <c r="K360" s="179" t="n">
        <v>1379142183</v>
      </c>
      <c r="L360" s="179" t="n">
        <v>2068713275</v>
      </c>
    </row>
    <row r="361" ht="15" customHeight="1" s="95">
      <c r="A361" s="143" t="n">
        <v>44190</v>
      </c>
      <c r="B361" s="146" t="n">
        <v>1.002147</v>
      </c>
      <c r="C361" s="179" t="n">
        <v>3560032067</v>
      </c>
      <c r="D361" s="179" t="n">
        <v>3552405033</v>
      </c>
      <c r="E361" s="146" t="n">
        <v>1.002383</v>
      </c>
      <c r="F361" s="179" t="n">
        <v>20588104977</v>
      </c>
      <c r="G361" s="179" t="n">
        <v>20539167881</v>
      </c>
      <c r="H361" s="179">
        <f>IFERROR(D361+G361,D361)</f>
        <v/>
      </c>
      <c r="I361" s="184">
        <f>IFERROR(D361/H361,"")</f>
        <v/>
      </c>
      <c r="J361" s="179" t="n">
        <v>710481007</v>
      </c>
      <c r="K361" s="179" t="n">
        <v>1420962013</v>
      </c>
      <c r="L361" s="179" t="n">
        <v>2131443020</v>
      </c>
    </row>
    <row r="362" ht="15" customHeight="1" s="95">
      <c r="A362" s="143" t="n">
        <v>44191</v>
      </c>
      <c r="B362" s="146" t="n">
        <v>1.000226</v>
      </c>
      <c r="C362" s="179" t="n">
        <v>3556134257</v>
      </c>
      <c r="D362" s="179" t="n">
        <v>3555330054</v>
      </c>
      <c r="E362" s="146" t="n">
        <v>1.002936</v>
      </c>
      <c r="F362" s="179" t="n">
        <v>20750908441</v>
      </c>
      <c r="G362" s="179" t="n">
        <v>20690167881</v>
      </c>
      <c r="H362" s="179">
        <f>IFERROR(D362+G362,D362)</f>
        <v/>
      </c>
      <c r="I362" s="184">
        <f>IFERROR(D362/H362,"")</f>
        <v/>
      </c>
      <c r="J362" s="179" t="n">
        <v>711066011</v>
      </c>
      <c r="K362" s="179" t="n">
        <v>1422132022</v>
      </c>
      <c r="L362" s="179" t="n">
        <v>2133198032</v>
      </c>
    </row>
    <row r="363" ht="15" customHeight="1" s="95">
      <c r="A363" s="143" t="n">
        <v>44192</v>
      </c>
      <c r="B363" s="146" t="n">
        <v>1.00135</v>
      </c>
      <c r="C363" s="179" t="n">
        <v>3567381017</v>
      </c>
      <c r="D363" s="179" t="n">
        <v>3562570719</v>
      </c>
      <c r="E363" s="146" t="n">
        <v>1.002081</v>
      </c>
      <c r="F363" s="179" t="n">
        <v>20763290844</v>
      </c>
      <c r="G363" s="179" t="n">
        <v>20720167881</v>
      </c>
      <c r="H363" s="179">
        <f>IFERROR(D363+G363,D363)</f>
        <v/>
      </c>
      <c r="I363" s="184">
        <f>IFERROR(D363/H363,"")</f>
        <v/>
      </c>
      <c r="J363" s="179" t="n">
        <v>712514144</v>
      </c>
      <c r="K363" s="179" t="n">
        <v>1425028288</v>
      </c>
      <c r="L363" s="179" t="n">
        <v>2137542431</v>
      </c>
    </row>
    <row r="364" ht="15" customHeight="1" s="95">
      <c r="A364" s="143" t="n">
        <v>44193</v>
      </c>
      <c r="B364" s="146" t="n">
        <v>0.998521</v>
      </c>
      <c r="C364" s="179" t="n">
        <v>3622545891</v>
      </c>
      <c r="D364" s="179" t="n">
        <v>3627910523</v>
      </c>
      <c r="E364" s="146" t="n">
        <v>1.001305</v>
      </c>
      <c r="F364" s="179" t="n">
        <v>20803077157</v>
      </c>
      <c r="G364" s="179" t="n">
        <v>20775961966</v>
      </c>
      <c r="H364" s="179">
        <f>IFERROR(D364+G364,D364)</f>
        <v/>
      </c>
      <c r="I364" s="184">
        <f>IFERROR(D364/H364,"")</f>
        <v/>
      </c>
      <c r="J364" s="179" t="n">
        <v>725582105</v>
      </c>
      <c r="K364" s="179" t="n">
        <v>1451164209</v>
      </c>
      <c r="L364" s="179" t="n">
        <v>2176746314</v>
      </c>
    </row>
    <row r="365" ht="15" customHeight="1" s="95">
      <c r="A365" s="143" t="n">
        <v>44194</v>
      </c>
      <c r="B365" s="146" t="n">
        <v>1.003016</v>
      </c>
      <c r="C365" s="179" t="n">
        <v>3681723725</v>
      </c>
      <c r="D365" s="179" t="n">
        <v>3670654715</v>
      </c>
      <c r="E365" s="146" t="n">
        <v>1.002059</v>
      </c>
      <c r="F365" s="179" t="n">
        <v>20856035046</v>
      </c>
      <c r="G365" s="179" t="n">
        <v>20813186111</v>
      </c>
      <c r="H365" s="179">
        <f>IFERROR(D365+G365,D365)</f>
        <v/>
      </c>
      <c r="I365" s="184">
        <f>IFERROR(D365/H365,"")</f>
        <v/>
      </c>
      <c r="J365" s="179" t="n">
        <v>734130943</v>
      </c>
      <c r="K365" s="179" t="n">
        <v>1468261886</v>
      </c>
      <c r="L365" s="179" t="n">
        <v>2202392829</v>
      </c>
    </row>
    <row r="366" ht="15" customHeight="1" s="95">
      <c r="A366" s="143" t="n">
        <v>44195</v>
      </c>
      <c r="B366" s="146" t="n">
        <v>1.003293</v>
      </c>
      <c r="C366" s="179" t="n">
        <v>3731970717</v>
      </c>
      <c r="D366" s="179" t="n">
        <v>3719720034</v>
      </c>
      <c r="E366" s="146" t="n">
        <v>1.001224</v>
      </c>
      <c r="F366" s="179" t="n">
        <v>20873380059</v>
      </c>
      <c r="G366" s="179" t="n">
        <v>20847867881</v>
      </c>
      <c r="H366" s="179">
        <f>IFERROR(D366+G366,D366)</f>
        <v/>
      </c>
      <c r="I366" s="184">
        <f>IFERROR(D366/H366,"")</f>
        <v/>
      </c>
      <c r="J366" s="179" t="n">
        <v>743944007</v>
      </c>
      <c r="K366" s="179" t="n">
        <v>1487888014</v>
      </c>
      <c r="L366" s="179" t="n">
        <v>2231832020</v>
      </c>
    </row>
    <row r="367" ht="15" customHeight="1" s="95">
      <c r="A367" s="143" t="n">
        <v>44196</v>
      </c>
      <c r="B367" s="146" t="n">
        <v>1.000653</v>
      </c>
      <c r="C367" s="179" t="n">
        <v>3705248341</v>
      </c>
      <c r="D367" s="179" t="n">
        <v>3702830089</v>
      </c>
      <c r="E367" s="146" t="n">
        <v>1.001564</v>
      </c>
      <c r="F367" s="179" t="n">
        <v>20920738588</v>
      </c>
      <c r="G367" s="179" t="n">
        <v>20888059476</v>
      </c>
      <c r="H367" s="179">
        <f>IFERROR(D367+G367,D367)</f>
        <v/>
      </c>
      <c r="I367" s="184">
        <f>IFERROR(D367/H367,"")</f>
        <v/>
      </c>
      <c r="J367" s="179" t="n">
        <v>740566018</v>
      </c>
      <c r="K367" s="179" t="n">
        <v>1481132036</v>
      </c>
      <c r="L367" s="179" t="n">
        <v>2221698053</v>
      </c>
    </row>
    <row r="368" ht="15" customHeight="1" s="95">
      <c r="A368" s="143" t="n">
        <v>44197</v>
      </c>
      <c r="B368" s="146" t="n">
        <v>1.001491</v>
      </c>
      <c r="C368" s="179" t="n">
        <v>3925840105</v>
      </c>
      <c r="D368" s="179" t="n">
        <v>3919996925</v>
      </c>
      <c r="E368" s="146" t="n">
        <v>1.000052</v>
      </c>
      <c r="F368" s="179" t="n">
        <v>20934027063</v>
      </c>
      <c r="G368" s="179" t="n">
        <v>20932937197</v>
      </c>
      <c r="H368" s="179">
        <f>IFERROR(D368+G368,D368)</f>
        <v/>
      </c>
      <c r="I368" s="184">
        <f>IFERROR(D368/H368,"")</f>
        <v/>
      </c>
      <c r="J368" s="179" t="n">
        <v>783999385</v>
      </c>
      <c r="K368" s="179" t="n">
        <v>1567998770</v>
      </c>
      <c r="L368" s="179" t="n">
        <v>2351998155</v>
      </c>
    </row>
    <row r="369" ht="15" customHeight="1" s="95">
      <c r="A369" s="143" t="n">
        <v>44198</v>
      </c>
      <c r="B369" s="146" t="n">
        <v>0.999483</v>
      </c>
      <c r="C369" s="179" t="n">
        <v>4123724902</v>
      </c>
      <c r="D369" s="179" t="n">
        <v>4125858883</v>
      </c>
      <c r="E369" s="146" t="n">
        <v>1.001993</v>
      </c>
      <c r="F369" s="179" t="n">
        <v>21123644615</v>
      </c>
      <c r="G369" s="179" t="n">
        <v>21081637197</v>
      </c>
      <c r="H369" s="179">
        <f>IFERROR(D369+G369,D369)</f>
        <v/>
      </c>
      <c r="I369" s="184">
        <f>IFERROR(D369/H369,"")</f>
        <v/>
      </c>
      <c r="J369" s="179" t="n">
        <v>825171777</v>
      </c>
      <c r="K369" s="179" t="n">
        <v>1650343553</v>
      </c>
      <c r="L369" s="179" t="n">
        <v>2475515330</v>
      </c>
    </row>
    <row r="370" ht="15" customHeight="1" s="95">
      <c r="A370" s="143" t="n">
        <v>44199</v>
      </c>
      <c r="B370" s="146" t="n">
        <v>1.002601</v>
      </c>
      <c r="C370" s="179" t="n">
        <v>4128120369</v>
      </c>
      <c r="D370" s="179" t="n">
        <v>4117409918</v>
      </c>
      <c r="E370" s="146" t="n">
        <v>1.003121</v>
      </c>
      <c r="F370" s="179" t="n">
        <v>21202977966</v>
      </c>
      <c r="G370" s="179" t="n">
        <v>21137019700</v>
      </c>
      <c r="H370" s="179">
        <f>IFERROR(D370+G370,D370)</f>
        <v/>
      </c>
      <c r="I370" s="184">
        <f>IFERROR(D370/H370,"")</f>
        <v/>
      </c>
      <c r="J370" s="179" t="n">
        <v>823481984</v>
      </c>
      <c r="K370" s="179" t="n">
        <v>1646963967</v>
      </c>
      <c r="L370" s="179" t="n">
        <v>2470445951</v>
      </c>
    </row>
    <row r="371" ht="15" customHeight="1" s="95">
      <c r="A371" s="143" t="n">
        <v>44200</v>
      </c>
      <c r="B371" s="146" t="n">
        <v>0.996564</v>
      </c>
      <c r="C371" s="179" t="n">
        <v>4227905606</v>
      </c>
      <c r="D371" s="179" t="n">
        <v>4242483168</v>
      </c>
      <c r="E371" s="146" t="n">
        <v>1.000721</v>
      </c>
      <c r="F371" s="179" t="n">
        <v>21350523809</v>
      </c>
      <c r="G371" s="179" t="n">
        <v>21335137197</v>
      </c>
      <c r="H371" s="179">
        <f>IFERROR(D371+G371,D371)</f>
        <v/>
      </c>
      <c r="I371" s="184">
        <f>IFERROR(D371/H371,"")</f>
        <v/>
      </c>
      <c r="J371" s="179" t="n">
        <v>848496634</v>
      </c>
      <c r="K371" s="179" t="n">
        <v>1696993267</v>
      </c>
      <c r="L371" s="179" t="n">
        <v>2545489901</v>
      </c>
    </row>
    <row r="372" ht="15" customHeight="1" s="95">
      <c r="A372" s="143" t="n">
        <v>44201</v>
      </c>
      <c r="B372" s="146" t="n">
        <v>0.980894</v>
      </c>
      <c r="C372" s="179" t="n">
        <v>4254328706</v>
      </c>
      <c r="D372" s="179" t="n">
        <v>4337193745</v>
      </c>
      <c r="E372" s="146" t="n">
        <v>0.999706</v>
      </c>
      <c r="F372" s="179" t="n">
        <v>21808226475</v>
      </c>
      <c r="G372" s="179" t="n">
        <v>21814637197</v>
      </c>
      <c r="H372" s="179">
        <f>IFERROR(D372+G372,D372)</f>
        <v/>
      </c>
      <c r="I372" s="184">
        <f>IFERROR(D372/H372,"")</f>
        <v/>
      </c>
      <c r="J372" s="179" t="n">
        <v>867438749</v>
      </c>
      <c r="K372" s="179" t="n">
        <v>1734877498</v>
      </c>
      <c r="L372" s="179" t="n">
        <v>2602316247</v>
      </c>
    </row>
    <row r="373" ht="15" customHeight="1" s="95">
      <c r="A373" s="143" t="n">
        <v>44202</v>
      </c>
      <c r="B373" s="146" t="n">
        <v>0.9999670000000001</v>
      </c>
      <c r="C373" s="179" t="n">
        <v>4372477494</v>
      </c>
      <c r="D373" s="179" t="n">
        <v>4372620426</v>
      </c>
      <c r="E373" s="146" t="n">
        <v>1.002747</v>
      </c>
      <c r="F373" s="179" t="n">
        <v>21938753509</v>
      </c>
      <c r="G373" s="179" t="n">
        <v>21878648952</v>
      </c>
      <c r="H373" s="179">
        <f>IFERROR(D373+G373,D373)</f>
        <v/>
      </c>
      <c r="I373" s="184">
        <f>IFERROR(D373/H373,"")</f>
        <v/>
      </c>
      <c r="J373" s="179" t="n">
        <v>874524085</v>
      </c>
      <c r="K373" s="179" t="n">
        <v>1749048170</v>
      </c>
      <c r="L373" s="179" t="n">
        <v>2623572256</v>
      </c>
    </row>
    <row r="374" ht="15" customHeight="1" s="95">
      <c r="A374" s="143" t="n">
        <v>44203</v>
      </c>
      <c r="B374" s="146" t="n">
        <v>1.000258</v>
      </c>
      <c r="C374" s="179" t="n">
        <v>4383223919</v>
      </c>
      <c r="D374" s="179" t="n">
        <v>4382094569</v>
      </c>
      <c r="E374" s="146" t="n">
        <v>1.007832</v>
      </c>
      <c r="F374" s="179" t="n">
        <v>22300090404</v>
      </c>
      <c r="G374" s="179" t="n">
        <v>22126803708</v>
      </c>
      <c r="H374" s="179">
        <f>IFERROR(D374+G374,D374)</f>
        <v/>
      </c>
      <c r="I374" s="184">
        <f>IFERROR(D374/H374,"")</f>
        <v/>
      </c>
      <c r="J374" s="179" t="n">
        <v>876418914</v>
      </c>
      <c r="K374" s="179" t="n">
        <v>1752837828</v>
      </c>
      <c r="L374" s="179" t="n">
        <v>2629256741</v>
      </c>
    </row>
    <row r="375" ht="15" customHeight="1" s="95">
      <c r="A375" s="143" t="n">
        <v>44204</v>
      </c>
      <c r="B375" s="146" t="n">
        <v>1.003831</v>
      </c>
      <c r="C375" s="179" t="n">
        <v>4487166194</v>
      </c>
      <c r="D375" s="179" t="n">
        <v>4470043474</v>
      </c>
      <c r="E375" s="146" t="n">
        <v>1.001123</v>
      </c>
      <c r="F375" s="179" t="n">
        <v>22825440973</v>
      </c>
      <c r="G375" s="179" t="n">
        <v>22799837294</v>
      </c>
      <c r="H375" s="179">
        <f>IFERROR(D375+G375,D375)</f>
        <v/>
      </c>
      <c r="I375" s="184">
        <f>IFERROR(D375/H375,"")</f>
        <v/>
      </c>
      <c r="J375" s="179" t="n">
        <v>894008695</v>
      </c>
      <c r="K375" s="179" t="n">
        <v>1788017390</v>
      </c>
      <c r="L375" s="179" t="n">
        <v>2682026084</v>
      </c>
    </row>
    <row r="376" ht="15" customHeight="1" s="95">
      <c r="A376" s="143" t="n">
        <v>44205</v>
      </c>
      <c r="B376" s="146" t="n">
        <v>1.001395</v>
      </c>
      <c r="C376" s="179" t="n">
        <v>4569415836</v>
      </c>
      <c r="D376" s="179" t="n">
        <v>4563051996</v>
      </c>
      <c r="E376" s="146" t="n">
        <v>1.002575</v>
      </c>
      <c r="F376" s="179" t="n">
        <v>23523147664</v>
      </c>
      <c r="G376" s="179" t="n">
        <v>23462723556</v>
      </c>
      <c r="H376" s="179">
        <f>IFERROR(D376+G376,D376)</f>
        <v/>
      </c>
      <c r="I376" s="184">
        <f>IFERROR(D376/H376,"")</f>
        <v/>
      </c>
      <c r="J376" s="179" t="n">
        <v>912610399</v>
      </c>
      <c r="K376" s="179" t="n">
        <v>1825220798</v>
      </c>
      <c r="L376" s="179" t="n">
        <v>2737831198</v>
      </c>
    </row>
    <row r="377" ht="15" customHeight="1" s="95">
      <c r="A377" s="143" t="n">
        <v>44206</v>
      </c>
      <c r="B377" s="146" t="n">
        <v>0.998651</v>
      </c>
      <c r="C377" s="179" t="n">
        <v>4756435704</v>
      </c>
      <c r="D377" s="179" t="n">
        <v>4762858445</v>
      </c>
      <c r="E377" s="146" t="n">
        <v>1.005228</v>
      </c>
      <c r="F377" s="179" t="n">
        <v>23789558136</v>
      </c>
      <c r="G377" s="179" t="n">
        <v>23665829140</v>
      </c>
      <c r="H377" s="179">
        <f>IFERROR(D377+G377,D377)</f>
        <v/>
      </c>
      <c r="I377" s="184">
        <f>IFERROR(D377/H377,"")</f>
        <v/>
      </c>
      <c r="J377" s="179" t="n">
        <v>952571689</v>
      </c>
      <c r="K377" s="179" t="n">
        <v>1905143378</v>
      </c>
      <c r="L377" s="179" t="n">
        <v>2857715067</v>
      </c>
    </row>
    <row r="378" ht="15" customHeight="1" s="95">
      <c r="A378" s="143" t="n">
        <v>44207</v>
      </c>
      <c r="B378" s="146" t="n">
        <v>1.001775</v>
      </c>
      <c r="C378" s="179" t="n">
        <v>4823053784</v>
      </c>
      <c r="D378" s="179" t="n">
        <v>4814508731</v>
      </c>
      <c r="E378" s="146" t="n">
        <v>1.002045</v>
      </c>
      <c r="F378" s="179" t="n">
        <v>24279872324</v>
      </c>
      <c r="G378" s="179" t="n">
        <v>24230313672</v>
      </c>
      <c r="H378" s="179">
        <f>IFERROR(D378+G378,D378)</f>
        <v/>
      </c>
      <c r="I378" s="184">
        <f>IFERROR(D378/H378,"")</f>
        <v/>
      </c>
      <c r="J378" s="179" t="n">
        <v>962901746</v>
      </c>
      <c r="K378" s="179" t="n">
        <v>1925803492</v>
      </c>
      <c r="L378" s="179" t="n">
        <v>2888705239</v>
      </c>
    </row>
    <row r="379" ht="15" customHeight="1" s="95">
      <c r="A379" s="143" t="n">
        <v>44208</v>
      </c>
      <c r="B379" s="146" t="n">
        <v>1.003736</v>
      </c>
      <c r="C379" s="179" t="n">
        <v>4827132057</v>
      </c>
      <c r="D379" s="179" t="n">
        <v>4809167060</v>
      </c>
      <c r="E379" s="146" t="n">
        <v>1.008518</v>
      </c>
      <c r="F379" s="179" t="n">
        <v>24476886629</v>
      </c>
      <c r="G379" s="179" t="n">
        <v>24270142565</v>
      </c>
      <c r="H379" s="179">
        <f>IFERROR(D379+G379,D379)</f>
        <v/>
      </c>
      <c r="I379" s="184">
        <f>IFERROR(D379/H379,"")</f>
        <v/>
      </c>
      <c r="J379" s="179" t="n">
        <v>961833412</v>
      </c>
      <c r="K379" s="179" t="n">
        <v>1923666824</v>
      </c>
      <c r="L379" s="179" t="n">
        <v>2885500236</v>
      </c>
    </row>
    <row r="380" ht="15" customHeight="1" s="95">
      <c r="A380" s="143" t="n">
        <v>44209</v>
      </c>
      <c r="B380" s="146" t="n">
        <v>1.003063</v>
      </c>
      <c r="C380" s="179" t="n">
        <v>4783652038</v>
      </c>
      <c r="D380" s="179" t="n">
        <v>4769046234</v>
      </c>
      <c r="E380" s="146" t="n">
        <v>1.002325</v>
      </c>
      <c r="F380" s="179" t="n">
        <v>24294673600</v>
      </c>
      <c r="G380" s="179" t="n">
        <v>24238312797</v>
      </c>
      <c r="H380" s="179">
        <f>IFERROR(D380+G380,D380)</f>
        <v/>
      </c>
      <c r="I380" s="184">
        <f>IFERROR(D380/H380,"")</f>
        <v/>
      </c>
      <c r="J380" s="179" t="n">
        <v>953809247</v>
      </c>
      <c r="K380" s="179" t="n">
        <v>1907618494</v>
      </c>
      <c r="L380" s="179" t="n">
        <v>2861427740</v>
      </c>
    </row>
    <row r="381" ht="15" customHeight="1" s="95">
      <c r="A381" s="143" t="n">
        <v>44210</v>
      </c>
      <c r="B381" s="146" t="n">
        <v>1.002332</v>
      </c>
      <c r="C381" s="179" t="n">
        <v>4762603311</v>
      </c>
      <c r="D381" s="179" t="n">
        <v>4751522380</v>
      </c>
      <c r="E381" s="146" t="n">
        <v>1.003619</v>
      </c>
      <c r="F381" s="179" t="n">
        <v>24337321169</v>
      </c>
      <c r="G381" s="179" t="n">
        <v>24249572884</v>
      </c>
      <c r="H381" s="179">
        <f>IFERROR(D381+G381,D381)</f>
        <v/>
      </c>
      <c r="I381" s="184">
        <f>IFERROR(D381/H381,"")</f>
        <v/>
      </c>
      <c r="J381" s="179" t="n">
        <v>950304476</v>
      </c>
      <c r="K381" s="179" t="n">
        <v>1900608952</v>
      </c>
      <c r="L381" s="179" t="n">
        <v>2850913428</v>
      </c>
    </row>
    <row r="382" ht="15" customHeight="1" s="95">
      <c r="A382" s="143" t="n">
        <v>44211</v>
      </c>
      <c r="B382" s="146" t="n">
        <v>1.003724</v>
      </c>
      <c r="C382" s="179" t="n">
        <v>4828960535</v>
      </c>
      <c r="D382" s="179" t="n">
        <v>4811046322</v>
      </c>
      <c r="E382" s="146" t="n">
        <v>0.997876</v>
      </c>
      <c r="F382" s="179" t="n">
        <v>24213693580</v>
      </c>
      <c r="G382" s="179" t="n">
        <v>24265224270</v>
      </c>
      <c r="H382" s="179">
        <f>IFERROR(D382+G382,D382)</f>
        <v/>
      </c>
      <c r="I382" s="184">
        <f>IFERROR(D382/H382,"")</f>
        <v/>
      </c>
      <c r="J382" s="179" t="n">
        <v>962209264</v>
      </c>
      <c r="K382" s="179" t="n">
        <v>1924418529</v>
      </c>
      <c r="L382" s="179" t="n">
        <v>2886627793</v>
      </c>
    </row>
    <row r="383" ht="15" customHeight="1" s="95">
      <c r="A383" s="143" t="n">
        <v>44212</v>
      </c>
      <c r="B383" s="146" t="n">
        <v>1.0017</v>
      </c>
      <c r="C383" s="179" t="n">
        <v>4876847232</v>
      </c>
      <c r="D383" s="179" t="n">
        <v>4868568717</v>
      </c>
      <c r="E383" s="146" t="n">
        <v>1.000522</v>
      </c>
      <c r="F383" s="179" t="n">
        <v>24266793529</v>
      </c>
      <c r="G383" s="179" t="n">
        <v>24254133818</v>
      </c>
      <c r="H383" s="179">
        <f>IFERROR(D383+G383,D383)</f>
        <v/>
      </c>
      <c r="I383" s="184">
        <f>IFERROR(D383/H383,"")</f>
        <v/>
      </c>
      <c r="J383" s="179" t="n">
        <v>973713743</v>
      </c>
      <c r="K383" s="179" t="n">
        <v>1947427487</v>
      </c>
      <c r="L383" s="179" t="n">
        <v>2921141230</v>
      </c>
    </row>
    <row r="384" ht="15" customHeight="1" s="95">
      <c r="A384" s="143" t="n">
        <v>44213</v>
      </c>
      <c r="B384" s="146" t="n">
        <v>1.000446</v>
      </c>
      <c r="C384" s="179" t="n">
        <v>5042504749</v>
      </c>
      <c r="D384" s="179" t="n">
        <v>5040258837</v>
      </c>
      <c r="E384" s="146" t="n">
        <v>1.002141</v>
      </c>
      <c r="F384" s="179" t="n">
        <v>24315907744</v>
      </c>
      <c r="G384" s="179" t="n">
        <v>24263957210</v>
      </c>
      <c r="H384" s="179">
        <f>IFERROR(D384+G384,D384)</f>
        <v/>
      </c>
      <c r="I384" s="184">
        <f>IFERROR(D384/H384,"")</f>
        <v/>
      </c>
      <c r="J384" s="179" t="n">
        <v>1008051767</v>
      </c>
      <c r="K384" s="179" t="n">
        <v>2016103535</v>
      </c>
      <c r="L384" s="179" t="n">
        <v>3024155302</v>
      </c>
    </row>
    <row r="385" ht="15" customHeight="1" s="95">
      <c r="A385" s="143" t="n">
        <v>44214</v>
      </c>
      <c r="B385" s="146" t="n">
        <v>0.997716</v>
      </c>
      <c r="C385" s="179" t="n">
        <v>5073254051</v>
      </c>
      <c r="D385" s="179" t="n">
        <v>5084865818</v>
      </c>
      <c r="E385" s="146" t="n">
        <v>0.998182</v>
      </c>
      <c r="F385" s="179" t="n">
        <v>24325253500</v>
      </c>
      <c r="G385" s="179" t="n">
        <v>24369548794</v>
      </c>
      <c r="H385" s="179">
        <f>IFERROR(D385+G385,D385)</f>
        <v/>
      </c>
      <c r="I385" s="184">
        <f>IFERROR(D385/H385,"")</f>
        <v/>
      </c>
      <c r="J385" s="179" t="n">
        <v>1016973164</v>
      </c>
      <c r="K385" s="179" t="n">
        <v>2033946327</v>
      </c>
      <c r="L385" s="179" t="n">
        <v>3050919491</v>
      </c>
    </row>
    <row r="386" ht="15" customHeight="1" s="95">
      <c r="A386" s="143" t="n">
        <v>44215</v>
      </c>
      <c r="B386" s="146" t="n">
        <v>0.999571</v>
      </c>
      <c r="C386" s="179" t="n">
        <v>5130649762</v>
      </c>
      <c r="D386" s="179" t="n">
        <v>5132851364</v>
      </c>
      <c r="E386" s="146" t="n">
        <v>1.00015</v>
      </c>
      <c r="F386" s="179" t="n">
        <v>24361784336</v>
      </c>
      <c r="G386" s="179" t="n">
        <v>24358133817</v>
      </c>
      <c r="H386" s="179">
        <f>IFERROR(D386+G386,D386)</f>
        <v/>
      </c>
      <c r="I386" s="184">
        <f>IFERROR(D386/H386,"")</f>
        <v/>
      </c>
      <c r="J386" s="179" t="n">
        <v>1026570273</v>
      </c>
      <c r="K386" s="179" t="n">
        <v>2053140546</v>
      </c>
      <c r="L386" s="179" t="n">
        <v>3079710818</v>
      </c>
    </row>
    <row r="387" ht="15" customHeight="1" s="95">
      <c r="A387" s="143" t="n">
        <v>44216</v>
      </c>
      <c r="B387" s="146" t="n">
        <v>0.994432</v>
      </c>
      <c r="C387" s="179" t="n">
        <v>5144419415</v>
      </c>
      <c r="D387" s="179" t="n">
        <v>5173226207</v>
      </c>
      <c r="E387" s="146" t="n">
        <v>0.997458</v>
      </c>
      <c r="F387" s="179" t="n">
        <v>24298711592</v>
      </c>
      <c r="G387" s="179" t="n">
        <v>24360633817</v>
      </c>
      <c r="H387" s="179">
        <f>IFERROR(D387+G387,D387)</f>
        <v/>
      </c>
      <c r="I387" s="184">
        <f>IFERROR(D387/H387,"")</f>
        <v/>
      </c>
      <c r="J387" s="179" t="n">
        <v>1034645241</v>
      </c>
      <c r="K387" s="179" t="n">
        <v>2069290483</v>
      </c>
      <c r="L387" s="179" t="n">
        <v>3103935724</v>
      </c>
    </row>
    <row r="388" ht="15" customHeight="1" s="95">
      <c r="A388" s="143" t="n">
        <v>44217</v>
      </c>
      <c r="B388" s="146" t="n">
        <v>1.001522</v>
      </c>
      <c r="C388" s="179" t="n">
        <v>5295657476</v>
      </c>
      <c r="D388" s="179" t="n">
        <v>5287607917</v>
      </c>
      <c r="E388" s="146" t="n">
        <v>0.997756</v>
      </c>
      <c r="F388" s="179" t="n">
        <v>24773996062</v>
      </c>
      <c r="G388" s="179" t="n">
        <v>24829706264</v>
      </c>
      <c r="H388" s="179">
        <f>IFERROR(D388+G388,D388)</f>
        <v/>
      </c>
      <c r="I388" s="184">
        <f>IFERROR(D388/H388,"")</f>
        <v/>
      </c>
      <c r="J388" s="179" t="n">
        <v>1057521583</v>
      </c>
      <c r="K388" s="179" t="n">
        <v>2115043167</v>
      </c>
      <c r="L388" s="179" t="n">
        <v>3172564750</v>
      </c>
    </row>
    <row r="389" ht="15" customHeight="1" s="95">
      <c r="A389" s="143" t="n">
        <v>44218</v>
      </c>
      <c r="B389" s="146" t="n">
        <v>1.000183</v>
      </c>
      <c r="C389" s="179" t="n">
        <v>5371877612</v>
      </c>
      <c r="D389" s="179" t="n">
        <v>5370893576</v>
      </c>
      <c r="E389" s="146" t="n">
        <v>1.006988</v>
      </c>
      <c r="F389" s="179" t="n">
        <v>25008394352</v>
      </c>
      <c r="G389" s="179" t="n">
        <v>24834847106</v>
      </c>
      <c r="H389" s="179">
        <f>IFERROR(D389+G389,D389)</f>
        <v/>
      </c>
      <c r="I389" s="184">
        <f>IFERROR(D389/H389,"")</f>
        <v/>
      </c>
      <c r="J389" s="179" t="n">
        <v>1074178715</v>
      </c>
      <c r="K389" s="179" t="n">
        <v>2148357430</v>
      </c>
      <c r="L389" s="179" t="n">
        <v>3222536146</v>
      </c>
    </row>
    <row r="390" ht="15" customHeight="1" s="95">
      <c r="A390" s="143" t="n">
        <v>44219</v>
      </c>
      <c r="B390" s="146" t="n">
        <v>1.001389</v>
      </c>
      <c r="C390" s="179" t="n">
        <v>5517506426</v>
      </c>
      <c r="D390" s="179" t="n">
        <v>5509851055</v>
      </c>
      <c r="E390" s="146" t="n">
        <v>1.000412</v>
      </c>
      <c r="F390" s="179" t="n">
        <v>24801327622</v>
      </c>
      <c r="G390" s="179" t="n">
        <v>24791118268</v>
      </c>
      <c r="H390" s="179">
        <f>IFERROR(D390+G390,D390)</f>
        <v/>
      </c>
      <c r="I390" s="184">
        <f>IFERROR(D390/H390,"")</f>
        <v/>
      </c>
      <c r="J390" s="179" t="n">
        <v>1101970211</v>
      </c>
      <c r="K390" s="179" t="n">
        <v>2203940422</v>
      </c>
      <c r="L390" s="179" t="n">
        <v>3305910633</v>
      </c>
    </row>
    <row r="391" ht="15" customHeight="1" s="95">
      <c r="A391" s="143" t="n">
        <v>44220</v>
      </c>
      <c r="B391" s="146" t="n">
        <v>0.999668</v>
      </c>
      <c r="C391" s="179" t="n">
        <v>5594771753</v>
      </c>
      <c r="D391" s="179" t="n">
        <v>5596629153</v>
      </c>
      <c r="E391" s="146" t="n">
        <v>0.998582</v>
      </c>
      <c r="F391" s="179" t="n">
        <v>24747246253</v>
      </c>
      <c r="G391" s="179" t="n">
        <v>24782395849</v>
      </c>
      <c r="H391" s="179">
        <f>IFERROR(D391+G391,D391)</f>
        <v/>
      </c>
      <c r="I391" s="184">
        <f>IFERROR(D391/H391,"")</f>
        <v/>
      </c>
      <c r="J391" s="179" t="n">
        <v>1119325831</v>
      </c>
      <c r="K391" s="179" t="n">
        <v>2238651661</v>
      </c>
      <c r="L391" s="179" t="n">
        <v>3357977492</v>
      </c>
    </row>
    <row r="392" ht="15" customHeight="1" s="95">
      <c r="A392" s="143" t="n">
        <v>44221</v>
      </c>
      <c r="B392" s="146" t="n">
        <v>1.000807</v>
      </c>
      <c r="C392" s="179" t="n">
        <v>5604626118</v>
      </c>
      <c r="D392" s="179" t="n">
        <v>5600108361</v>
      </c>
      <c r="E392" s="146" t="n">
        <v>0.999586</v>
      </c>
      <c r="F392" s="179" t="n">
        <v>24813122584</v>
      </c>
      <c r="G392" s="179" t="n">
        <v>24823395849</v>
      </c>
      <c r="H392" s="179">
        <f>IFERROR(D392+G392,D392)</f>
        <v/>
      </c>
      <c r="I392" s="184">
        <f>IFERROR(D392/H392,"")</f>
        <v/>
      </c>
      <c r="J392" s="179" t="n">
        <v>1120021672</v>
      </c>
      <c r="K392" s="179" t="n">
        <v>2240043344</v>
      </c>
      <c r="L392" s="179" t="n">
        <v>3360065017</v>
      </c>
    </row>
    <row r="393" ht="15" customHeight="1" s="95">
      <c r="A393" s="143" t="n">
        <v>44222</v>
      </c>
      <c r="B393" s="146" t="n">
        <v>0.99904</v>
      </c>
      <c r="C393" s="179" t="n">
        <v>5538707947</v>
      </c>
      <c r="D393" s="179" t="n">
        <v>5544030337</v>
      </c>
      <c r="E393" s="146" t="n">
        <v>1.000846</v>
      </c>
      <c r="F393" s="179" t="n">
        <v>24943473422</v>
      </c>
      <c r="G393" s="179" t="n">
        <v>24922395849</v>
      </c>
      <c r="H393" s="179">
        <f>IFERROR(D393+G393,D393)</f>
        <v/>
      </c>
      <c r="I393" s="184">
        <f>IFERROR(D393/H393,"")</f>
        <v/>
      </c>
      <c r="J393" s="179" t="n">
        <v>1108806067</v>
      </c>
      <c r="K393" s="179" t="n">
        <v>2217612135</v>
      </c>
      <c r="L393" s="179" t="n">
        <v>3326418202</v>
      </c>
    </row>
    <row r="394" ht="15" customHeight="1" s="95">
      <c r="A394" s="143" t="n">
        <v>44223</v>
      </c>
      <c r="B394" s="146" t="n">
        <v>0.999867</v>
      </c>
      <c r="C394" s="179" t="n">
        <v>5423438351</v>
      </c>
      <c r="D394" s="179" t="n">
        <v>5424157954</v>
      </c>
      <c r="E394" s="146" t="n">
        <v>1.003201</v>
      </c>
      <c r="F394" s="179" t="n">
        <v>25059561869</v>
      </c>
      <c r="G394" s="179" t="n">
        <v>24979595849</v>
      </c>
      <c r="H394" s="179">
        <f>IFERROR(D394+G394,D394)</f>
        <v/>
      </c>
      <c r="I394" s="184">
        <f>IFERROR(D394/H394,"")</f>
        <v/>
      </c>
      <c r="J394" s="179" t="n">
        <v>1084831591</v>
      </c>
      <c r="K394" s="179" t="n">
        <v>2169663182</v>
      </c>
      <c r="L394" s="179" t="n">
        <v>3254494772</v>
      </c>
    </row>
    <row r="395" ht="15" customHeight="1" s="95">
      <c r="A395" s="143" t="n">
        <v>44224</v>
      </c>
      <c r="B395" s="146" t="n">
        <v>1.00055</v>
      </c>
      <c r="C395" s="179" t="n">
        <v>5500492872</v>
      </c>
      <c r="D395" s="179" t="n">
        <v>5497467217</v>
      </c>
      <c r="E395" s="146" t="n">
        <v>1.002075</v>
      </c>
      <c r="F395" s="179" t="n">
        <v>25255177033</v>
      </c>
      <c r="G395" s="179" t="n">
        <v>25202887282</v>
      </c>
      <c r="H395" s="179">
        <f>IFERROR(D395+G395,D395)</f>
        <v/>
      </c>
      <c r="I395" s="184">
        <f>IFERROR(D395/H395,"")</f>
        <v/>
      </c>
      <c r="J395" s="179" t="n">
        <v>1099493443</v>
      </c>
      <c r="K395" s="179" t="n">
        <v>2198986887</v>
      </c>
      <c r="L395" s="179" t="n">
        <v>3298480330</v>
      </c>
    </row>
    <row r="396" ht="15" customHeight="1" s="95">
      <c r="A396" s="143" t="n">
        <v>44225</v>
      </c>
      <c r="B396" s="146" t="n">
        <v>0.992745</v>
      </c>
      <c r="C396" s="179" t="n">
        <v>5648928084</v>
      </c>
      <c r="D396" s="179" t="n">
        <v>5690213308</v>
      </c>
      <c r="E396" s="146" t="n">
        <v>0.998861</v>
      </c>
      <c r="F396" s="179" t="n">
        <v>25378936181</v>
      </c>
      <c r="G396" s="179" t="n">
        <v>25407887282</v>
      </c>
      <c r="H396" s="179">
        <f>IFERROR(D396+G396,D396)</f>
        <v/>
      </c>
      <c r="I396" s="184">
        <f>IFERROR(D396/H396,"")</f>
        <v/>
      </c>
      <c r="J396" s="179" t="n">
        <v>1138042662</v>
      </c>
      <c r="K396" s="179" t="n">
        <v>2276085323</v>
      </c>
      <c r="L396" s="179" t="n">
        <v>3414127985</v>
      </c>
    </row>
    <row r="397" ht="15" customHeight="1" s="95">
      <c r="A397" s="143" t="n">
        <v>44226</v>
      </c>
      <c r="B397" s="146" t="n">
        <v>0.997796</v>
      </c>
      <c r="C397" s="179" t="n">
        <v>5838749940</v>
      </c>
      <c r="D397" s="179" t="n">
        <v>5851645234</v>
      </c>
      <c r="E397" s="146" t="n">
        <v>0.99504</v>
      </c>
      <c r="F397" s="179" t="n">
        <v>25228959196</v>
      </c>
      <c r="G397" s="179" t="n">
        <v>25354710778</v>
      </c>
      <c r="H397" s="179">
        <f>IFERROR(D397+G397,D397)</f>
        <v/>
      </c>
      <c r="I397" s="184">
        <f>IFERROR(D397/H397,"")</f>
        <v/>
      </c>
      <c r="J397" s="179" t="n">
        <v>1170329047</v>
      </c>
      <c r="K397" s="179" t="n">
        <v>2340658094</v>
      </c>
      <c r="L397" s="179" t="n">
        <v>3510987140</v>
      </c>
    </row>
    <row r="398" ht="15" customHeight="1" s="95">
      <c r="A398" s="143" t="n">
        <v>44227</v>
      </c>
      <c r="B398" s="146" t="n">
        <v>0.996505</v>
      </c>
      <c r="C398" s="179" t="n">
        <v>5835791902</v>
      </c>
      <c r="D398" s="179" t="n">
        <v>5856260884</v>
      </c>
      <c r="E398" s="146" t="n">
        <v>0.996505</v>
      </c>
      <c r="F398" s="179" t="n">
        <v>26260606337</v>
      </c>
      <c r="G398" s="179" t="n">
        <v>26352703191</v>
      </c>
      <c r="H398" s="179">
        <f>IFERROR(D398+G398,D398)</f>
        <v/>
      </c>
      <c r="I398" s="184">
        <f>IFERROR(D398/H398,"")</f>
        <v/>
      </c>
      <c r="J398" s="179" t="n">
        <v>1171252177</v>
      </c>
      <c r="K398" s="179" t="n">
        <v>2342504354</v>
      </c>
      <c r="L398" s="179" t="n">
        <v>3513756530</v>
      </c>
    </row>
    <row r="399" ht="15" customHeight="1" s="95">
      <c r="A399" s="143" t="n">
        <v>44228</v>
      </c>
      <c r="B399" s="146" t="n">
        <v>0.997277</v>
      </c>
      <c r="C399" s="179" t="n">
        <v>5890426384</v>
      </c>
      <c r="D399" s="179" t="n">
        <v>5906510177</v>
      </c>
      <c r="E399" s="146" t="n">
        <v>1.000889</v>
      </c>
      <c r="F399" s="179" t="n">
        <v>26460152363</v>
      </c>
      <c r="G399" s="179" t="n">
        <v>26436642874</v>
      </c>
      <c r="H399" s="179">
        <f>IFERROR(D399+G399,D399)</f>
        <v/>
      </c>
      <c r="I399" s="184">
        <f>IFERROR(D399/H399,"")</f>
        <v/>
      </c>
      <c r="J399" s="179" t="n">
        <v>1181302035</v>
      </c>
      <c r="K399" s="179" t="n">
        <v>2362604071</v>
      </c>
      <c r="L399" s="179" t="n">
        <v>3543906106</v>
      </c>
    </row>
    <row r="400" ht="15" customHeight="1" s="95">
      <c r="A400" s="143" t="n">
        <v>44229</v>
      </c>
      <c r="B400" s="146" t="n">
        <v>0.998178</v>
      </c>
      <c r="C400" s="179" t="n">
        <v>5881863611</v>
      </c>
      <c r="D400" s="179" t="n">
        <v>5892600806</v>
      </c>
      <c r="E400" s="146" t="n">
        <v>0.997456</v>
      </c>
      <c r="F400" s="179" t="n">
        <v>26539965348</v>
      </c>
      <c r="G400" s="179" t="n">
        <v>26607642874</v>
      </c>
      <c r="H400" s="179">
        <f>IFERROR(D400+G400,D400)</f>
        <v/>
      </c>
      <c r="I400" s="184">
        <f>IFERROR(D400/H400,"")</f>
        <v/>
      </c>
      <c r="J400" s="179" t="n">
        <v>1178520161</v>
      </c>
      <c r="K400" s="179" t="n">
        <v>2357040322</v>
      </c>
      <c r="L400" s="179" t="n">
        <v>3535560484</v>
      </c>
    </row>
    <row r="401" ht="15" customHeight="1" s="95">
      <c r="A401" s="143" t="n">
        <v>44230</v>
      </c>
      <c r="B401" s="146" t="n">
        <v>0.998974</v>
      </c>
      <c r="C401" s="179" t="n">
        <v>5950883380</v>
      </c>
      <c r="D401" s="179" t="n">
        <v>5956993836</v>
      </c>
      <c r="E401" s="146" t="n">
        <v>1.000929</v>
      </c>
      <c r="F401" s="179" t="n">
        <v>26737565393</v>
      </c>
      <c r="G401" s="179" t="n">
        <v>26712742744</v>
      </c>
      <c r="H401" s="179">
        <f>IFERROR(D401+G401,D401)</f>
        <v/>
      </c>
      <c r="I401" s="184">
        <f>IFERROR(D401/H401,"")</f>
        <v/>
      </c>
      <c r="J401" s="179" t="n">
        <v>1191398767</v>
      </c>
      <c r="K401" s="179" t="n">
        <v>2382797534</v>
      </c>
      <c r="L401" s="179" t="n">
        <v>3574196302</v>
      </c>
    </row>
    <row r="402" ht="15" customHeight="1" s="95">
      <c r="A402" s="143" t="n">
        <v>44231</v>
      </c>
      <c r="B402" s="146" t="n">
        <v>0.999676</v>
      </c>
      <c r="C402" s="179" t="n">
        <v>6087940607</v>
      </c>
      <c r="D402" s="179" t="n">
        <v>6089915592</v>
      </c>
      <c r="E402" s="146" t="n">
        <v>0.999919</v>
      </c>
      <c r="F402" s="179" t="n">
        <v>27040294469</v>
      </c>
      <c r="G402" s="179" t="n">
        <v>27042477378</v>
      </c>
      <c r="H402" s="179">
        <f>IFERROR(D402+G402,D402)</f>
        <v/>
      </c>
      <c r="I402" s="184">
        <f>IFERROR(D402/H402,"")</f>
        <v/>
      </c>
      <c r="J402" s="179" t="n">
        <v>1217983118</v>
      </c>
      <c r="K402" s="179" t="n">
        <v>2435966237</v>
      </c>
      <c r="L402" s="179" t="n">
        <v>3653949355</v>
      </c>
    </row>
    <row r="403" ht="15" customHeight="1" s="95">
      <c r="A403" s="143" t="n">
        <v>44232</v>
      </c>
      <c r="B403" s="146" t="n">
        <v>0.995119</v>
      </c>
      <c r="C403" s="179" t="n">
        <v>6178741214</v>
      </c>
      <c r="D403" s="179" t="n">
        <v>6209046054</v>
      </c>
      <c r="E403" s="146" t="n">
        <v>1.001396</v>
      </c>
      <c r="F403" s="179" t="n">
        <v>27464486048</v>
      </c>
      <c r="G403" s="179" t="n">
        <v>27426196099</v>
      </c>
      <c r="H403" s="179">
        <f>IFERROR(D403+G403,D403)</f>
        <v/>
      </c>
      <c r="I403" s="184">
        <f>IFERROR(D403/H403,"")</f>
        <v/>
      </c>
      <c r="J403" s="179" t="n">
        <v>1241809211</v>
      </c>
      <c r="K403" s="179" t="n">
        <v>2483618422</v>
      </c>
      <c r="L403" s="179" t="n">
        <v>3725427632</v>
      </c>
    </row>
    <row r="404" ht="15" customHeight="1" s="95">
      <c r="A404" s="143" t="n">
        <v>44233</v>
      </c>
      <c r="B404" s="146" t="n">
        <v>1.000969</v>
      </c>
      <c r="C404" s="179" t="n">
        <v>6322831601</v>
      </c>
      <c r="D404" s="179" t="n">
        <v>6316709717</v>
      </c>
      <c r="E404" s="146" t="n">
        <v>1.00204</v>
      </c>
      <c r="F404" s="179" t="n">
        <v>27816326085</v>
      </c>
      <c r="G404" s="179" t="n">
        <v>27759690486</v>
      </c>
      <c r="H404" s="179">
        <f>IFERROR(D404+G404,D404)</f>
        <v/>
      </c>
      <c r="I404" s="184">
        <f>IFERROR(D404/H404,"")</f>
        <v/>
      </c>
      <c r="J404" s="179" t="n">
        <v>1263341943</v>
      </c>
      <c r="K404" s="179" t="n">
        <v>2526683887</v>
      </c>
      <c r="L404" s="179" t="n">
        <v>3790025830</v>
      </c>
    </row>
    <row r="405" ht="15" customHeight="1" s="95">
      <c r="A405" s="143" t="n">
        <v>44234</v>
      </c>
      <c r="B405" s="146" t="n">
        <v>1.000585</v>
      </c>
      <c r="C405" s="179" t="n">
        <v>6433917491</v>
      </c>
      <c r="D405" s="179" t="n">
        <v>6430157816</v>
      </c>
      <c r="E405" s="146" t="n">
        <v>0.999377</v>
      </c>
      <c r="F405" s="179" t="n">
        <v>28318232688</v>
      </c>
      <c r="G405" s="179" t="n">
        <v>28335873411</v>
      </c>
      <c r="H405" s="179">
        <f>IFERROR(D405+G405,D405)</f>
        <v/>
      </c>
      <c r="I405" s="184">
        <f>IFERROR(D405/H405,"")</f>
        <v/>
      </c>
      <c r="J405" s="179" t="n">
        <v>1286031563</v>
      </c>
      <c r="K405" s="179" t="n">
        <v>2572063126</v>
      </c>
      <c r="L405" s="179" t="n">
        <v>3858094690</v>
      </c>
    </row>
    <row r="406" ht="15" customHeight="1" s="95">
      <c r="A406" s="143" t="n">
        <v>44235</v>
      </c>
      <c r="B406" s="146" t="n">
        <v>0.995688</v>
      </c>
      <c r="C406" s="179" t="n">
        <v>6476719261</v>
      </c>
      <c r="D406" s="179" t="n">
        <v>6504765840</v>
      </c>
      <c r="E406" s="146" t="n">
        <v>0.998733</v>
      </c>
      <c r="F406" s="179" t="n">
        <v>28564384006</v>
      </c>
      <c r="G406" s="179" t="n">
        <v>28600607265</v>
      </c>
      <c r="H406" s="179">
        <f>IFERROR(D406+G406,D406)</f>
        <v/>
      </c>
      <c r="I406" s="184">
        <f>IFERROR(D406/H406,"")</f>
        <v/>
      </c>
      <c r="J406" s="179" t="n">
        <v>1300953168</v>
      </c>
      <c r="K406" s="179" t="n">
        <v>2601906336</v>
      </c>
      <c r="L406" s="179" t="n">
        <v>3902859504</v>
      </c>
    </row>
    <row r="407" ht="15" customHeight="1" s="95">
      <c r="A407" s="143" t="n">
        <v>44236</v>
      </c>
      <c r="B407" s="146" t="n">
        <v>1.002251</v>
      </c>
      <c r="C407" s="179" t="n">
        <v>6517634647</v>
      </c>
      <c r="D407" s="179" t="n">
        <v>6502996353</v>
      </c>
      <c r="E407" s="146" t="n">
        <v>1.002968</v>
      </c>
      <c r="F407" s="179" t="n">
        <v>28863249466</v>
      </c>
      <c r="G407" s="179" t="n">
        <v>28777833441</v>
      </c>
      <c r="H407" s="179">
        <f>IFERROR(D407+G407,D407)</f>
        <v/>
      </c>
      <c r="I407" s="184">
        <f>IFERROR(D407/H407,"")</f>
        <v/>
      </c>
      <c r="J407" s="179" t="n">
        <v>1300599271</v>
      </c>
      <c r="K407" s="179" t="n">
        <v>2601198541</v>
      </c>
      <c r="L407" s="179" t="n">
        <v>3901797812</v>
      </c>
    </row>
    <row r="408" ht="15" customHeight="1" s="95">
      <c r="A408" s="143" t="n">
        <v>44237</v>
      </c>
      <c r="B408" s="146" t="n">
        <v>1.001552</v>
      </c>
      <c r="C408" s="179" t="n">
        <v>6627096518</v>
      </c>
      <c r="D408" s="179" t="n">
        <v>6616823985</v>
      </c>
      <c r="E408" s="146" t="n">
        <v>0.995561</v>
      </c>
      <c r="F408" s="179" t="n">
        <v>29758402439</v>
      </c>
      <c r="G408" s="179" t="n">
        <v>29891079717</v>
      </c>
      <c r="H408" s="179">
        <f>IFERROR(D408+G408,D408)</f>
        <v/>
      </c>
      <c r="I408" s="184">
        <f>IFERROR(D408/H408,"")</f>
        <v/>
      </c>
      <c r="J408" s="179" t="n">
        <v>1323364797</v>
      </c>
      <c r="K408" s="179" t="n">
        <v>2646729594</v>
      </c>
      <c r="L408" s="179" t="n">
        <v>3970094391</v>
      </c>
    </row>
    <row r="409" ht="15" customHeight="1" s="95">
      <c r="A409" s="143" t="n">
        <v>44238</v>
      </c>
      <c r="B409" s="146" t="n">
        <v>0.996779</v>
      </c>
      <c r="C409" s="179" t="n">
        <v>6763193828</v>
      </c>
      <c r="D409" s="179" t="n">
        <v>6785051238</v>
      </c>
      <c r="E409" s="146" t="n">
        <v>0.998019</v>
      </c>
      <c r="F409" s="179" t="n">
        <v>30256118930</v>
      </c>
      <c r="G409" s="179" t="n">
        <v>30316180057</v>
      </c>
      <c r="H409" s="179">
        <f>IFERROR(D409+G409,D409)</f>
        <v/>
      </c>
      <c r="I409" s="184">
        <f>IFERROR(D409/H409,"")</f>
        <v/>
      </c>
      <c r="J409" s="179" t="n">
        <v>1357010248</v>
      </c>
      <c r="K409" s="179" t="n">
        <v>2714020495</v>
      </c>
      <c r="L409" s="179" t="n">
        <v>4071030743</v>
      </c>
    </row>
    <row r="410" ht="15" customHeight="1" s="95">
      <c r="A410" s="143" t="n">
        <v>44239</v>
      </c>
      <c r="B410" s="146" t="n">
        <v>0.996883</v>
      </c>
      <c r="C410" s="179" t="n">
        <v>6913660759</v>
      </c>
      <c r="D410" s="179" t="n">
        <v>6935276335</v>
      </c>
      <c r="E410" s="146" t="n">
        <v>0.997607</v>
      </c>
      <c r="F410" s="179" t="n">
        <v>30750705243</v>
      </c>
      <c r="G410" s="179" t="n">
        <v>30824482168</v>
      </c>
      <c r="H410" s="179">
        <f>IFERROR(D410+G410,D410)</f>
        <v/>
      </c>
      <c r="I410" s="184">
        <f>IFERROR(D410/H410,"")</f>
        <v/>
      </c>
      <c r="J410" s="179" t="n">
        <v>1387055267</v>
      </c>
      <c r="K410" s="179" t="n">
        <v>2774110534</v>
      </c>
      <c r="L410" s="179" t="n">
        <v>4161165801</v>
      </c>
    </row>
    <row r="411" ht="15" customHeight="1" s="95">
      <c r="A411" s="143" t="n">
        <v>44240</v>
      </c>
      <c r="B411" s="146" t="n">
        <v>0.999096</v>
      </c>
      <c r="C411" s="179" t="n">
        <v>7027287391</v>
      </c>
      <c r="D411" s="179" t="n">
        <v>7033642971</v>
      </c>
      <c r="E411" s="146" t="n">
        <v>0.997166</v>
      </c>
      <c r="F411" s="179" t="n">
        <v>31064574294</v>
      </c>
      <c r="G411" s="179" t="n">
        <v>31152859516</v>
      </c>
      <c r="H411" s="179">
        <f>IFERROR(D411+G411,D411)</f>
        <v/>
      </c>
      <c r="I411" s="184">
        <f>IFERROR(D411/H411,"")</f>
        <v/>
      </c>
      <c r="J411" s="179" t="n">
        <v>1406728594</v>
      </c>
      <c r="K411" s="179" t="n">
        <v>2813457188</v>
      </c>
      <c r="L411" s="179" t="n">
        <v>4220185783</v>
      </c>
    </row>
    <row r="412" ht="15" customHeight="1" s="95">
      <c r="A412" s="143" t="n">
        <v>44241</v>
      </c>
      <c r="B412" s="146" t="n">
        <v>0.999356</v>
      </c>
      <c r="C412" s="179" t="n">
        <v>7190053397</v>
      </c>
      <c r="D412" s="179" t="n">
        <v>7194685265</v>
      </c>
      <c r="E412" s="146" t="n">
        <v>0.9987740000000001</v>
      </c>
      <c r="F412" s="179" t="n">
        <v>31539493807</v>
      </c>
      <c r="G412" s="179" t="n">
        <v>31578196380</v>
      </c>
      <c r="H412" s="179">
        <f>IFERROR(D412+G412,D412)</f>
        <v/>
      </c>
      <c r="I412" s="184">
        <f>IFERROR(D412/H412,"")</f>
        <v/>
      </c>
      <c r="J412" s="179" t="n">
        <v>1438937053</v>
      </c>
      <c r="K412" s="179" t="n">
        <v>2877874106</v>
      </c>
      <c r="L412" s="179" t="n">
        <v>4316811159</v>
      </c>
    </row>
    <row r="413" ht="15" customHeight="1" s="95">
      <c r="A413" s="143" t="n">
        <v>44242</v>
      </c>
      <c r="B413" s="146" t="n">
        <v>0.9963689999999999</v>
      </c>
      <c r="C413" s="179" t="n">
        <v>7433772485</v>
      </c>
      <c r="D413" s="179" t="n">
        <v>7460865890</v>
      </c>
      <c r="E413" s="146" t="n">
        <v>0.996301</v>
      </c>
      <c r="F413" s="179" t="n">
        <v>31950061617</v>
      </c>
      <c r="G413" s="179" t="n">
        <v>32068676426</v>
      </c>
      <c r="H413" s="179">
        <f>IFERROR(D413+G413,D413)</f>
        <v/>
      </c>
      <c r="I413" s="184">
        <f>IFERROR(D413/H413,"")</f>
        <v/>
      </c>
      <c r="J413" s="179" t="n">
        <v>1492173178</v>
      </c>
      <c r="K413" s="179" t="n">
        <v>2984346356</v>
      </c>
      <c r="L413" s="179" t="n">
        <v>4476519534</v>
      </c>
    </row>
    <row r="414" ht="15" customHeight="1" s="95">
      <c r="A414" s="143" t="n">
        <v>44243</v>
      </c>
      <c r="B414" s="146" t="n">
        <v>0.999344</v>
      </c>
      <c r="C414" s="179" t="n">
        <v>7427673930</v>
      </c>
      <c r="D414" s="179" t="n">
        <v>7432547134</v>
      </c>
      <c r="E414" s="146" t="n">
        <v>1.000179</v>
      </c>
      <c r="F414" s="179" t="n">
        <v>32119872729</v>
      </c>
      <c r="G414" s="179" t="n">
        <v>32114113056</v>
      </c>
      <c r="H414" s="179">
        <f>IFERROR(D414+G414,D414)</f>
        <v/>
      </c>
      <c r="I414" s="184">
        <f>IFERROR(D414/H414,"")</f>
        <v/>
      </c>
      <c r="J414" s="179" t="n">
        <v>1486509427</v>
      </c>
      <c r="K414" s="179" t="n">
        <v>2973018854</v>
      </c>
      <c r="L414" s="179" t="n">
        <v>4459528280</v>
      </c>
    </row>
    <row r="415" ht="15" customHeight="1" s="95">
      <c r="A415" s="143" t="n">
        <v>44244</v>
      </c>
      <c r="B415" s="146" t="n">
        <v>1.001485</v>
      </c>
      <c r="C415" s="179" t="n">
        <v>7456620805</v>
      </c>
      <c r="D415" s="179" t="n">
        <v>7445566786</v>
      </c>
      <c r="E415" s="146" t="n">
        <v>1.001079</v>
      </c>
      <c r="F415" s="179" t="n">
        <v>32322580880</v>
      </c>
      <c r="G415" s="179" t="n">
        <v>32287751471</v>
      </c>
      <c r="H415" s="179">
        <f>IFERROR(D415+G415,D415)</f>
        <v/>
      </c>
      <c r="I415" s="184">
        <f>IFERROR(D415/H415,"")</f>
        <v/>
      </c>
      <c r="J415" s="179" t="n">
        <v>1489113357</v>
      </c>
      <c r="K415" s="179" t="n">
        <v>2978226714</v>
      </c>
      <c r="L415" s="179" t="n">
        <v>4467340072</v>
      </c>
    </row>
    <row r="416" ht="15" customHeight="1" s="95">
      <c r="A416" s="143" t="n">
        <v>44245</v>
      </c>
      <c r="B416" s="146" t="n">
        <v>0.999077</v>
      </c>
      <c r="C416" s="179" t="n">
        <v>7262343574</v>
      </c>
      <c r="D416" s="179" t="n">
        <v>7269050348</v>
      </c>
      <c r="E416" s="146" t="n">
        <v>1.000674</v>
      </c>
      <c r="F416" s="179" t="n">
        <v>32391466873</v>
      </c>
      <c r="G416" s="179" t="n">
        <v>32369656532</v>
      </c>
      <c r="H416" s="179">
        <f>IFERROR(D416+G416,D416)</f>
        <v/>
      </c>
      <c r="I416" s="184">
        <f>IFERROR(D416/H416,"")</f>
        <v/>
      </c>
      <c r="J416" s="179" t="n">
        <v>1453810070</v>
      </c>
      <c r="K416" s="179" t="n">
        <v>2907620139</v>
      </c>
      <c r="L416" s="179" t="n">
        <v>4361430209</v>
      </c>
    </row>
    <row r="417" ht="15" customHeight="1" s="95">
      <c r="A417" s="143" t="n">
        <v>44246</v>
      </c>
      <c r="B417" s="146" t="n">
        <v>1.002046</v>
      </c>
      <c r="C417" s="179" t="n">
        <v>7346658146</v>
      </c>
      <c r="D417" s="179" t="n">
        <v>7331657320</v>
      </c>
      <c r="E417" s="146" t="n">
        <v>1.000289</v>
      </c>
      <c r="F417" s="179" t="n">
        <v>33157947105</v>
      </c>
      <c r="G417" s="179" t="n">
        <v>33148359327</v>
      </c>
      <c r="H417" s="179">
        <f>IFERROR(D417+G417,D417)</f>
        <v/>
      </c>
      <c r="I417" s="184">
        <f>IFERROR(D417/H417,"")</f>
        <v/>
      </c>
      <c r="J417" s="179" t="n">
        <v>1466331464</v>
      </c>
      <c r="K417" s="179" t="n">
        <v>2932662928</v>
      </c>
      <c r="L417" s="179" t="n">
        <v>4398994392</v>
      </c>
    </row>
    <row r="418" ht="15" customHeight="1" s="95">
      <c r="A418" s="143" t="n">
        <v>44247</v>
      </c>
      <c r="B418" s="146" t="n">
        <v>1.005046</v>
      </c>
      <c r="C418" s="179" t="n">
        <v>7555406943</v>
      </c>
      <c r="D418" s="179" t="n">
        <v>7517471787</v>
      </c>
      <c r="E418" s="146" t="n">
        <v>1.006349</v>
      </c>
      <c r="F418" s="179" t="n">
        <v>33750136267</v>
      </c>
      <c r="G418" s="179" t="n">
        <v>33537194530</v>
      </c>
      <c r="H418" s="179">
        <f>IFERROR(D418+G418,D418)</f>
        <v/>
      </c>
      <c r="I418" s="184">
        <f>IFERROR(D418/H418,"")</f>
        <v/>
      </c>
      <c r="J418" s="179" t="n">
        <v>1503494357</v>
      </c>
      <c r="K418" s="179" t="n">
        <v>3006988715</v>
      </c>
      <c r="L418" s="179" t="n">
        <v>4510483072</v>
      </c>
    </row>
    <row r="419" ht="15" customHeight="1" s="95">
      <c r="A419" s="143" t="n">
        <v>44248</v>
      </c>
      <c r="B419" s="146" t="n">
        <v>1.008765</v>
      </c>
      <c r="C419" s="179" t="n">
        <v>7733340119</v>
      </c>
      <c r="D419" s="179" t="n">
        <v>7666148563</v>
      </c>
      <c r="E419" s="146" t="n">
        <v>1.005056</v>
      </c>
      <c r="F419" s="179" t="n">
        <v>34371952648</v>
      </c>
      <c r="G419" s="179" t="n">
        <v>34199026600</v>
      </c>
      <c r="H419" s="179">
        <f>IFERROR(D419+G419,D419)</f>
        <v/>
      </c>
      <c r="I419" s="184">
        <f>IFERROR(D419/H419,"")</f>
        <v/>
      </c>
      <c r="J419" s="179" t="n">
        <v>1533229713</v>
      </c>
      <c r="K419" s="179" t="n">
        <v>3066459425</v>
      </c>
      <c r="L419" s="179" t="n">
        <v>4599689138</v>
      </c>
    </row>
    <row r="420" ht="15" customHeight="1" s="95">
      <c r="A420" s="143" t="n">
        <v>44249</v>
      </c>
      <c r="B420" s="146" t="n">
        <v>1.002604</v>
      </c>
      <c r="C420" s="179" t="n">
        <v>7866158100</v>
      </c>
      <c r="D420" s="179" t="n">
        <v>7845727658</v>
      </c>
      <c r="E420" s="146" t="n">
        <v>1.003591</v>
      </c>
      <c r="F420" s="179" t="n">
        <v>34386570525</v>
      </c>
      <c r="G420" s="179" t="n">
        <v>34263536398</v>
      </c>
      <c r="H420" s="179">
        <f>IFERROR(D420+G420,D420)</f>
        <v/>
      </c>
      <c r="I420" s="184">
        <f>IFERROR(D420/H420,"")</f>
        <v/>
      </c>
      <c r="J420" s="179" t="n">
        <v>1569145532</v>
      </c>
      <c r="K420" s="179" t="n">
        <v>3138291063</v>
      </c>
      <c r="L420" s="179" t="n">
        <v>4707436595</v>
      </c>
    </row>
    <row r="421" ht="15" customHeight="1" s="95">
      <c r="A421" s="143" t="n">
        <v>44250</v>
      </c>
      <c r="B421" s="146" t="n">
        <v>1.005574</v>
      </c>
      <c r="C421" s="179" t="n">
        <v>8032612636</v>
      </c>
      <c r="D421" s="179" t="n">
        <v>7988087041</v>
      </c>
      <c r="E421" s="146" t="n">
        <v>1.005265</v>
      </c>
      <c r="F421" s="179" t="n">
        <v>34756738533</v>
      </c>
      <c r="G421" s="179" t="n">
        <v>34574686524</v>
      </c>
      <c r="H421" s="179">
        <f>IFERROR(D421+G421,D421)</f>
        <v/>
      </c>
      <c r="I421" s="184">
        <f>IFERROR(D421/H421,"")</f>
        <v/>
      </c>
      <c r="J421" s="179" t="n">
        <v>1597617408</v>
      </c>
      <c r="K421" s="179" t="n">
        <v>3195234816</v>
      </c>
      <c r="L421" s="179" t="n">
        <v>4792852225</v>
      </c>
    </row>
    <row r="422" ht="15" customHeight="1" s="95">
      <c r="A422" s="143" t="n">
        <v>44251</v>
      </c>
      <c r="B422" s="146" t="n">
        <v>1.005997</v>
      </c>
      <c r="C422" s="179" t="n">
        <v>8125731411</v>
      </c>
      <c r="D422" s="179" t="n">
        <v>8077287976</v>
      </c>
      <c r="E422" s="146" t="n">
        <v>1.003709</v>
      </c>
      <c r="F422" s="179" t="n">
        <v>34896050919</v>
      </c>
      <c r="G422" s="179" t="n">
        <v>34767097206</v>
      </c>
      <c r="H422" s="179">
        <f>IFERROR(D422+G422,D422)</f>
        <v/>
      </c>
      <c r="I422" s="184">
        <f>IFERROR(D422/H422,"")</f>
        <v/>
      </c>
      <c r="J422" s="179" t="n">
        <v>1615457595</v>
      </c>
      <c r="K422" s="179" t="n">
        <v>3230915190</v>
      </c>
      <c r="L422" s="179" t="n">
        <v>4846372786</v>
      </c>
    </row>
    <row r="423" ht="15" customHeight="1" s="95">
      <c r="A423" s="143" t="n">
        <v>44252</v>
      </c>
      <c r="B423" s="146" t="n">
        <v>1.004966</v>
      </c>
      <c r="C423" s="179" t="n">
        <v>8404744817</v>
      </c>
      <c r="D423" s="179" t="n">
        <v>8363214639</v>
      </c>
      <c r="E423" s="146" t="n">
        <v>1.010289</v>
      </c>
      <c r="F423" s="179" t="n">
        <v>35055733490</v>
      </c>
      <c r="G423" s="179" t="n">
        <v>34698733310</v>
      </c>
      <c r="H423" s="179">
        <f>IFERROR(D423+G423,D423)</f>
        <v/>
      </c>
      <c r="I423" s="184">
        <f>IFERROR(D423/H423,"")</f>
        <v/>
      </c>
      <c r="J423" s="179" t="n">
        <v>1672642928</v>
      </c>
      <c r="K423" s="179" t="n">
        <v>3345285856</v>
      </c>
      <c r="L423" s="179" t="n">
        <v>5017928783</v>
      </c>
    </row>
    <row r="424" ht="15" customHeight="1" s="95">
      <c r="A424" s="143" t="n">
        <v>44253</v>
      </c>
      <c r="B424" s="146" t="n">
        <v>0.992675</v>
      </c>
      <c r="C424" s="179" t="n">
        <v>8448299264</v>
      </c>
      <c r="D424" s="179" t="n">
        <v>8510641611</v>
      </c>
      <c r="E424" s="146" t="n">
        <v>1.003722</v>
      </c>
      <c r="F424" s="179" t="n">
        <v>34953515263</v>
      </c>
      <c r="G424" s="179" t="n">
        <v>34823912558</v>
      </c>
      <c r="H424" s="179">
        <f>IFERROR(D424+G424,D424)</f>
        <v/>
      </c>
      <c r="I424" s="184">
        <f>IFERROR(D424/H424,"")</f>
        <v/>
      </c>
      <c r="J424" s="179" t="n">
        <v>1702128322</v>
      </c>
      <c r="K424" s="179" t="n">
        <v>3404256644</v>
      </c>
      <c r="L424" s="179" t="n">
        <v>5106384967</v>
      </c>
    </row>
    <row r="425" ht="15" customHeight="1" s="95">
      <c r="A425" s="143" t="n">
        <v>44254</v>
      </c>
      <c r="B425" s="146" t="n">
        <v>1.007008</v>
      </c>
      <c r="C425" s="179" t="n">
        <v>8885825463</v>
      </c>
      <c r="D425" s="179" t="n">
        <v>8823985994</v>
      </c>
      <c r="E425" s="146" t="n">
        <v>1.008045</v>
      </c>
      <c r="F425" s="179" t="n">
        <v>35297886361</v>
      </c>
      <c r="G425" s="179" t="n">
        <v>35016179093</v>
      </c>
      <c r="H425" s="179">
        <f>IFERROR(D425+G425,D425)</f>
        <v/>
      </c>
      <c r="I425" s="184">
        <f>IFERROR(D425/H425,"")</f>
        <v/>
      </c>
      <c r="J425" s="179" t="n">
        <v>1764797199</v>
      </c>
      <c r="K425" s="179" t="n">
        <v>3529594398</v>
      </c>
      <c r="L425" s="179" t="n">
        <v>5294391596</v>
      </c>
    </row>
    <row r="426" ht="15" customHeight="1" s="95">
      <c r="A426" s="143" t="n">
        <v>44255</v>
      </c>
      <c r="B426" s="146" t="n">
        <v>1.009084</v>
      </c>
      <c r="C426" s="179" t="n">
        <v>8973026510</v>
      </c>
      <c r="D426" s="179" t="n">
        <v>8892245504</v>
      </c>
      <c r="E426" s="146" t="n">
        <v>0.993996</v>
      </c>
      <c r="F426" s="179" t="n">
        <v>35019017695</v>
      </c>
      <c r="G426" s="179" t="n">
        <v>35230543131</v>
      </c>
      <c r="H426" s="179">
        <f>IFERROR(D426+G426,D426)</f>
        <v/>
      </c>
      <c r="I426" s="184">
        <f>IFERROR(D426/H426,"")</f>
        <v/>
      </c>
      <c r="J426" s="179" t="n">
        <v>1778449101</v>
      </c>
      <c r="K426" s="179" t="n">
        <v>3556898202</v>
      </c>
      <c r="L426" s="179" t="n">
        <v>5335347302</v>
      </c>
    </row>
    <row r="427" ht="15" customHeight="1" s="95">
      <c r="A427" s="143" t="n">
        <v>44256</v>
      </c>
      <c r="B427" s="146" t="n">
        <v>0.997235</v>
      </c>
      <c r="C427" s="179" t="n">
        <v>9003494922</v>
      </c>
      <c r="D427" s="179" t="n">
        <v>9028456424</v>
      </c>
      <c r="E427" s="146" t="n">
        <v>1.011356</v>
      </c>
      <c r="F427" s="179" t="n">
        <v>35168931968</v>
      </c>
      <c r="G427" s="179" t="n">
        <v>34774054324</v>
      </c>
      <c r="H427" s="179">
        <f>IFERROR(D427+G427,D427)</f>
        <v/>
      </c>
      <c r="I427" s="184">
        <f>IFERROR(D427/H427,"")</f>
        <v/>
      </c>
      <c r="J427" s="179" t="n">
        <v>1805691285</v>
      </c>
      <c r="K427" s="179" t="n">
        <v>3611382570</v>
      </c>
      <c r="L427" s="179" t="n">
        <v>5417073854</v>
      </c>
    </row>
    <row r="428" ht="15" customHeight="1" s="95">
      <c r="A428" s="143" t="n">
        <v>44257</v>
      </c>
      <c r="B428" s="146" t="n">
        <v>1.002604</v>
      </c>
      <c r="C428" s="179" t="n">
        <v>9053683777</v>
      </c>
      <c r="D428" s="179" t="n">
        <v>9030170362</v>
      </c>
      <c r="E428" s="146" t="n">
        <v>1.008234</v>
      </c>
      <c r="F428" s="179" t="n">
        <v>35205221027</v>
      </c>
      <c r="G428" s="179" t="n">
        <v>34917701927</v>
      </c>
      <c r="H428" s="179">
        <f>IFERROR(D428+G428,D428)</f>
        <v/>
      </c>
      <c r="I428" s="184">
        <f>IFERROR(D428/H428,"")</f>
        <v/>
      </c>
      <c r="J428" s="179" t="n">
        <v>1806034072</v>
      </c>
      <c r="K428" s="179" t="n">
        <v>3612068145</v>
      </c>
      <c r="L428" s="179" t="n">
        <v>5418102217</v>
      </c>
    </row>
    <row r="429" ht="15" customHeight="1" s="95">
      <c r="A429" s="143" t="n">
        <v>44258</v>
      </c>
      <c r="B429" s="146" t="n">
        <v>1.006163</v>
      </c>
      <c r="C429" s="179" t="n">
        <v>8959115661</v>
      </c>
      <c r="D429" s="179" t="n">
        <v>8904241779</v>
      </c>
      <c r="E429" s="146" t="n">
        <v>1.008433</v>
      </c>
      <c r="F429" s="179" t="n">
        <v>35648335234</v>
      </c>
      <c r="G429" s="179" t="n">
        <v>35350212387</v>
      </c>
      <c r="H429" s="179">
        <f>IFERROR(D429+G429,D429)</f>
        <v/>
      </c>
      <c r="I429" s="184">
        <f>IFERROR(D429/H429,"")</f>
        <v/>
      </c>
      <c r="J429" s="179" t="n">
        <v>1780848356</v>
      </c>
      <c r="K429" s="179" t="n">
        <v>3561696712</v>
      </c>
      <c r="L429" s="179" t="n">
        <v>5342545067</v>
      </c>
    </row>
    <row r="430" ht="15" customHeight="1" s="95">
      <c r="A430" s="143" t="n">
        <v>44259</v>
      </c>
      <c r="B430" s="146" t="n">
        <v>0.996903</v>
      </c>
      <c r="C430" s="179" t="n">
        <v>8823613106</v>
      </c>
      <c r="D430" s="179" t="n">
        <v>8851024312</v>
      </c>
      <c r="E430" s="146" t="n">
        <v>0.9992259999999999</v>
      </c>
      <c r="F430" s="179" t="n">
        <v>35849578088</v>
      </c>
      <c r="G430" s="179" t="n">
        <v>35877357744</v>
      </c>
      <c r="H430" s="179">
        <f>IFERROR(D430+G430,D430)</f>
        <v/>
      </c>
      <c r="I430" s="184">
        <f>IFERROR(D430/H430,"")</f>
        <v/>
      </c>
      <c r="J430" s="179" t="n">
        <v>1770204862</v>
      </c>
      <c r="K430" s="179" t="n">
        <v>3540409725</v>
      </c>
      <c r="L430" s="179" t="n">
        <v>5310614587</v>
      </c>
    </row>
    <row r="431" ht="15" customHeight="1" s="95">
      <c r="A431" s="143" t="n">
        <v>44260</v>
      </c>
      <c r="B431" s="146" t="n">
        <v>1.00953</v>
      </c>
      <c r="C431" s="179" t="n">
        <v>8902532162</v>
      </c>
      <c r="D431" s="179" t="n">
        <v>8818495948</v>
      </c>
      <c r="E431" s="146" t="n">
        <v>1.003303</v>
      </c>
      <c r="F431" s="179" t="n">
        <v>36436768966</v>
      </c>
      <c r="G431" s="179" t="n">
        <v>36316811541</v>
      </c>
      <c r="H431" s="179">
        <f>IFERROR(D431+G431,D431)</f>
        <v/>
      </c>
      <c r="I431" s="184">
        <f>IFERROR(D431/H431,"")</f>
        <v/>
      </c>
      <c r="J431" s="179" t="n">
        <v>1763699190</v>
      </c>
      <c r="K431" s="179" t="n">
        <v>3527398379</v>
      </c>
      <c r="L431" s="179" t="n">
        <v>5291097569</v>
      </c>
    </row>
    <row r="432" ht="15" customHeight="1" s="95">
      <c r="A432" s="143" t="n">
        <v>44261</v>
      </c>
      <c r="B432" s="146" t="n">
        <v>1.00448</v>
      </c>
      <c r="C432" s="179" t="n">
        <v>8894751158</v>
      </c>
      <c r="D432" s="179" t="n">
        <v>8855079501</v>
      </c>
      <c r="E432" s="146" t="n">
        <v>0.998489</v>
      </c>
      <c r="F432" s="179" t="n">
        <v>36442357698</v>
      </c>
      <c r="G432" s="179" t="n">
        <v>36497498111</v>
      </c>
      <c r="H432" s="179">
        <f>IFERROR(D432+G432,D432)</f>
        <v/>
      </c>
      <c r="I432" s="184">
        <f>IFERROR(D432/H432,"")</f>
        <v/>
      </c>
      <c r="J432" s="179" t="n">
        <v>1771015900</v>
      </c>
      <c r="K432" s="179" t="n">
        <v>3542031800</v>
      </c>
      <c r="L432" s="179" t="n">
        <v>5313047701</v>
      </c>
    </row>
    <row r="433" ht="15" customHeight="1" s="95">
      <c r="A433" s="143" t="n">
        <v>44262</v>
      </c>
      <c r="B433" s="146" t="n">
        <v>1.000045</v>
      </c>
      <c r="C433" s="179" t="n">
        <v>9032233273</v>
      </c>
      <c r="D433" s="179" t="n">
        <v>9031827275</v>
      </c>
      <c r="E433" s="146" t="n">
        <v>1.001849</v>
      </c>
      <c r="F433" s="179" t="n">
        <v>36505130743</v>
      </c>
      <c r="G433" s="179" t="n">
        <v>36437757555</v>
      </c>
      <c r="H433" s="179">
        <f>IFERROR(D433+G433,D433)</f>
        <v/>
      </c>
      <c r="I433" s="184">
        <f>IFERROR(D433/H433,"")</f>
        <v/>
      </c>
      <c r="J433" s="179" t="n">
        <v>1806365455</v>
      </c>
      <c r="K433" s="179" t="n">
        <v>3612730910</v>
      </c>
      <c r="L433" s="179" t="n">
        <v>5419096365</v>
      </c>
    </row>
    <row r="434" ht="15" customHeight="1" s="95">
      <c r="A434" s="143" t="n">
        <v>44263</v>
      </c>
      <c r="B434" s="146" t="n">
        <v>1.002427</v>
      </c>
      <c r="C434" s="179" t="n">
        <v>9176406818</v>
      </c>
      <c r="D434" s="179" t="n">
        <v>9154189167</v>
      </c>
      <c r="E434" s="146" t="n">
        <v>1.003137</v>
      </c>
      <c r="F434" s="179" t="n">
        <v>36537451758</v>
      </c>
      <c r="G434" s="179" t="n">
        <v>36423198726</v>
      </c>
      <c r="H434" s="179">
        <f>IFERROR(D434+G434,D434)</f>
        <v/>
      </c>
      <c r="I434" s="184">
        <f>IFERROR(D434/H434,"")</f>
        <v/>
      </c>
      <c r="J434" s="179" t="n">
        <v>1830837833</v>
      </c>
      <c r="K434" s="179" t="n">
        <v>3661675667</v>
      </c>
      <c r="L434" s="179" t="n">
        <v>5492513500</v>
      </c>
    </row>
    <row r="435" ht="15" customHeight="1" s="95">
      <c r="A435" s="143" t="n">
        <v>44264</v>
      </c>
      <c r="B435" s="146" t="n">
        <v>1.00366</v>
      </c>
      <c r="C435" s="179" t="n">
        <v>9145091358</v>
      </c>
      <c r="D435" s="179" t="n">
        <v>9111743787</v>
      </c>
      <c r="E435" s="146" t="n">
        <v>1.000358</v>
      </c>
      <c r="F435" s="179" t="n">
        <v>36485945568</v>
      </c>
      <c r="G435" s="179" t="n">
        <v>36472882787</v>
      </c>
      <c r="H435" s="179">
        <f>IFERROR(D435+G435,D435)</f>
        <v/>
      </c>
      <c r="I435" s="184">
        <f>IFERROR(D435/H435,"")</f>
        <v/>
      </c>
      <c r="J435" s="179" t="n">
        <v>1822348757</v>
      </c>
      <c r="K435" s="179" t="n">
        <v>3644697515</v>
      </c>
      <c r="L435" s="179" t="n">
        <v>5467046272</v>
      </c>
    </row>
    <row r="436" ht="15" customHeight="1" s="95">
      <c r="A436" s="143" t="n">
        <v>44265</v>
      </c>
      <c r="B436" s="146" t="n">
        <v>1.00179</v>
      </c>
      <c r="C436" s="179" t="n">
        <v>9150186674</v>
      </c>
      <c r="D436" s="179" t="n">
        <v>9133840877</v>
      </c>
      <c r="E436" s="146" t="n">
        <v>1.002505</v>
      </c>
      <c r="F436" s="179" t="n">
        <v>36891976398</v>
      </c>
      <c r="G436" s="179" t="n">
        <v>36799782359</v>
      </c>
      <c r="H436" s="179">
        <f>IFERROR(D436+G436,D436)</f>
        <v/>
      </c>
      <c r="I436" s="184">
        <f>IFERROR(D436/H436,"")</f>
        <v/>
      </c>
      <c r="J436" s="179" t="n">
        <v>1826768175</v>
      </c>
      <c r="K436" s="179" t="n">
        <v>3653536351</v>
      </c>
      <c r="L436" s="179" t="n">
        <v>5480304526</v>
      </c>
    </row>
    <row r="437" ht="15" customHeight="1" s="95">
      <c r="A437" s="143" t="n">
        <v>44266</v>
      </c>
      <c r="B437" s="146" t="n">
        <v>0.9978939999999999</v>
      </c>
      <c r="C437" s="179" t="n">
        <v>9201978686</v>
      </c>
      <c r="D437" s="179" t="n">
        <v>9221400371</v>
      </c>
      <c r="E437" s="146" t="n">
        <v>0.9970830000000001</v>
      </c>
      <c r="F437" s="179" t="n">
        <v>37294121249</v>
      </c>
      <c r="G437" s="179" t="n">
        <v>37403220492</v>
      </c>
      <c r="H437" s="179">
        <f>IFERROR(D437+G437,D437)</f>
        <v/>
      </c>
      <c r="I437" s="184">
        <f>IFERROR(D437/H437,"")</f>
        <v/>
      </c>
      <c r="J437" s="179" t="n">
        <v>1844280074</v>
      </c>
      <c r="K437" s="179" t="n">
        <v>3688560148</v>
      </c>
      <c r="L437" s="179" t="n">
        <v>5532840223</v>
      </c>
    </row>
    <row r="438" ht="15" customHeight="1" s="95">
      <c r="A438" s="143" t="n">
        <v>44267</v>
      </c>
      <c r="B438" s="146" t="n">
        <v>0.999136</v>
      </c>
      <c r="C438" s="179" t="n">
        <v>9319995199</v>
      </c>
      <c r="D438" s="179" t="n">
        <v>9328055137</v>
      </c>
      <c r="E438" s="146" t="n">
        <v>1.002233</v>
      </c>
      <c r="F438" s="179" t="n">
        <v>37582370331</v>
      </c>
      <c r="G438" s="179" t="n">
        <v>37498617350</v>
      </c>
      <c r="H438" s="179">
        <f>IFERROR(D438+G438,D438)</f>
        <v/>
      </c>
      <c r="I438" s="184">
        <f>IFERROR(D438/H438,"")</f>
        <v/>
      </c>
      <c r="J438" s="179" t="n">
        <v>1865611027</v>
      </c>
      <c r="K438" s="179" t="n">
        <v>3731222055</v>
      </c>
      <c r="L438" s="179" t="n">
        <v>5596833082</v>
      </c>
    </row>
    <row r="439" ht="15" customHeight="1" s="95">
      <c r="A439" s="143" t="n">
        <v>44268</v>
      </c>
      <c r="B439" s="146" t="n">
        <v>1.0013</v>
      </c>
      <c r="C439" s="179" t="n">
        <v>9346257994</v>
      </c>
      <c r="D439" s="179" t="n">
        <v>9334119030</v>
      </c>
      <c r="E439" s="146" t="n">
        <v>1.002028</v>
      </c>
      <c r="F439" s="179" t="n">
        <v>38189879216</v>
      </c>
      <c r="G439" s="179" t="n">
        <v>38112574393</v>
      </c>
      <c r="H439" s="179">
        <f>IFERROR(D439+G439,D439)</f>
        <v/>
      </c>
      <c r="I439" s="184">
        <f>IFERROR(D439/H439,"")</f>
        <v/>
      </c>
      <c r="J439" s="179" t="n">
        <v>1866823806</v>
      </c>
      <c r="K439" s="179" t="n">
        <v>3733647612</v>
      </c>
      <c r="L439" s="179" t="n">
        <v>5600471418</v>
      </c>
    </row>
    <row r="440" ht="15" customHeight="1" s="95">
      <c r="A440" s="143" t="n">
        <v>44269</v>
      </c>
      <c r="B440" s="146" t="n">
        <v>1.000195</v>
      </c>
      <c r="C440" s="179" t="n">
        <v>9441975283</v>
      </c>
      <c r="D440" s="179" t="n">
        <v>9440137483</v>
      </c>
      <c r="E440" s="146" t="n">
        <v>1.001953</v>
      </c>
      <c r="F440" s="179" t="n">
        <v>38311238719</v>
      </c>
      <c r="G440" s="179" t="n">
        <v>38236574393</v>
      </c>
      <c r="H440" s="179">
        <f>IFERROR(D440+G440,D440)</f>
        <v/>
      </c>
      <c r="I440" s="184">
        <f>IFERROR(D440/H440,"")</f>
        <v/>
      </c>
      <c r="J440" s="179" t="n">
        <v>1888027497</v>
      </c>
      <c r="K440" s="179" t="n">
        <v>3776054993</v>
      </c>
      <c r="L440" s="179" t="n">
        <v>5664082490</v>
      </c>
    </row>
    <row r="441" ht="15" customHeight="1" s="95">
      <c r="A441" s="143" t="n">
        <v>44270</v>
      </c>
      <c r="B441" s="146" t="n">
        <v>0.9941179999999999</v>
      </c>
      <c r="C441" s="179" t="n">
        <v>9410543236</v>
      </c>
      <c r="D441" s="179" t="n">
        <v>9466225852</v>
      </c>
      <c r="E441" s="146" t="n">
        <v>1.003703</v>
      </c>
      <c r="F441" s="179" t="n">
        <v>38391230641</v>
      </c>
      <c r="G441" s="179" t="n">
        <v>38249574393</v>
      </c>
      <c r="H441" s="179">
        <f>IFERROR(D441+G441,D441)</f>
        <v/>
      </c>
      <c r="I441" s="184">
        <f>IFERROR(D441/H441,"")</f>
        <v/>
      </c>
      <c r="J441" s="179" t="n">
        <v>1893245170</v>
      </c>
      <c r="K441" s="179" t="n">
        <v>3786490341</v>
      </c>
      <c r="L441" s="179" t="n">
        <v>5679735511</v>
      </c>
    </row>
    <row r="442" ht="15" customHeight="1" s="95">
      <c r="A442" s="143" t="n">
        <v>44271</v>
      </c>
      <c r="B442" s="146" t="n">
        <v>0.999533</v>
      </c>
      <c r="C442" s="179" t="n">
        <v>9519577208</v>
      </c>
      <c r="D442" s="179" t="n">
        <v>9524027729</v>
      </c>
      <c r="E442" s="146" t="n">
        <v>1.003036</v>
      </c>
      <c r="F442" s="179" t="n">
        <v>38533359862</v>
      </c>
      <c r="G442" s="179" t="n">
        <v>38416740611</v>
      </c>
      <c r="H442" s="179">
        <f>IFERROR(D442+G442,D442)</f>
        <v/>
      </c>
      <c r="I442" s="184">
        <f>IFERROR(D442/H442,"")</f>
        <v/>
      </c>
      <c r="J442" s="179" t="n">
        <v>1904805546</v>
      </c>
      <c r="K442" s="179" t="n">
        <v>3809611092</v>
      </c>
      <c r="L442" s="179" t="n">
        <v>5714416637</v>
      </c>
    </row>
    <row r="443" ht="15" customHeight="1" s="95">
      <c r="A443" s="143" t="n">
        <v>44272</v>
      </c>
      <c r="B443" s="146" t="n">
        <v>1.006124</v>
      </c>
      <c r="C443" s="179" t="n">
        <v>9518430137</v>
      </c>
      <c r="D443" s="179" t="n">
        <v>9460496677</v>
      </c>
      <c r="E443" s="146" t="n">
        <v>1.001648</v>
      </c>
      <c r="F443" s="179" t="n">
        <v>38715432782</v>
      </c>
      <c r="G443" s="179" t="n">
        <v>38651725382</v>
      </c>
      <c r="H443" s="179">
        <f>IFERROR(D443+G443,D443)</f>
        <v/>
      </c>
      <c r="I443" s="184">
        <f>IFERROR(D443/H443,"")</f>
        <v/>
      </c>
      <c r="J443" s="179" t="n">
        <v>1892099335</v>
      </c>
      <c r="K443" s="179" t="n">
        <v>3784198671</v>
      </c>
      <c r="L443" s="179" t="n">
        <v>5676298006</v>
      </c>
    </row>
    <row r="444" ht="15" customHeight="1" s="95">
      <c r="A444" s="143" t="n">
        <v>44273</v>
      </c>
      <c r="B444" s="146" t="n">
        <v>1.00398</v>
      </c>
      <c r="C444" s="179" t="n">
        <v>9603930632</v>
      </c>
      <c r="D444" s="179" t="n">
        <v>9565858694</v>
      </c>
      <c r="E444" s="146" t="n">
        <v>1.004047</v>
      </c>
      <c r="F444" s="179" t="n">
        <v>38960558816</v>
      </c>
      <c r="G444" s="179" t="n">
        <v>38803524990</v>
      </c>
      <c r="H444" s="179">
        <f>IFERROR(D444+G444,D444)</f>
        <v/>
      </c>
      <c r="I444" s="184">
        <f>IFERROR(D444/H444,"")</f>
        <v/>
      </c>
      <c r="J444" s="179" t="n">
        <v>1913171739</v>
      </c>
      <c r="K444" s="179" t="n">
        <v>3826343478</v>
      </c>
      <c r="L444" s="179" t="n">
        <v>5739515216</v>
      </c>
    </row>
    <row r="445" ht="15" customHeight="1" s="95">
      <c r="A445" s="143" t="n">
        <v>44274</v>
      </c>
      <c r="B445" s="146" t="n">
        <v>1.003738</v>
      </c>
      <c r="C445" s="179" t="n">
        <v>9735135431</v>
      </c>
      <c r="D445" s="179" t="n">
        <v>9698880220</v>
      </c>
      <c r="E445" s="146" t="n">
        <v>1.003876</v>
      </c>
      <c r="F445" s="179" t="n">
        <v>39026603881</v>
      </c>
      <c r="G445" s="179" t="n">
        <v>38875929180</v>
      </c>
      <c r="H445" s="179">
        <f>IFERROR(D445+G445,D445)</f>
        <v/>
      </c>
      <c r="I445" s="184">
        <f>IFERROR(D445/H445,"")</f>
        <v/>
      </c>
      <c r="J445" s="179" t="n">
        <v>1939776044</v>
      </c>
      <c r="K445" s="179" t="n">
        <v>3879552088</v>
      </c>
      <c r="L445" s="179" t="n">
        <v>5819328132</v>
      </c>
    </row>
    <row r="446" ht="15" customHeight="1" s="95">
      <c r="A446" s="143" t="n">
        <v>44275</v>
      </c>
      <c r="B446" s="146" t="n">
        <v>1.000935</v>
      </c>
      <c r="C446" s="179" t="n">
        <v>9995845147</v>
      </c>
      <c r="D446" s="179" t="n">
        <v>9986506245</v>
      </c>
      <c r="E446" s="146" t="n">
        <v>1.004386</v>
      </c>
      <c r="F446" s="179" t="n">
        <v>39402122650</v>
      </c>
      <c r="G446" s="179" t="n">
        <v>39230054026</v>
      </c>
      <c r="H446" s="179">
        <f>IFERROR(D446+G446,D446)</f>
        <v/>
      </c>
      <c r="I446" s="184">
        <f>IFERROR(D446/H446,"")</f>
        <v/>
      </c>
      <c r="J446" s="179" t="n">
        <v>1997301249</v>
      </c>
      <c r="K446" s="179" t="n">
        <v>3994602498</v>
      </c>
      <c r="L446" s="179" t="n">
        <v>5991903747</v>
      </c>
    </row>
    <row r="447" ht="15" customHeight="1" s="95">
      <c r="A447" s="143" t="n">
        <v>44276</v>
      </c>
      <c r="B447" s="146" t="n">
        <v>1.000701</v>
      </c>
      <c r="C447" s="179" t="n">
        <v>10047460400</v>
      </c>
      <c r="D447" s="179" t="n">
        <v>10040425361</v>
      </c>
      <c r="E447" s="146" t="n">
        <v>1.004355</v>
      </c>
      <c r="F447" s="179" t="n">
        <v>39691193064</v>
      </c>
      <c r="G447" s="179" t="n">
        <v>39519068861</v>
      </c>
      <c r="H447" s="179">
        <f>IFERROR(D447+G447,D447)</f>
        <v/>
      </c>
      <c r="I447" s="184">
        <f>IFERROR(D447/H447,"")</f>
        <v/>
      </c>
      <c r="J447" s="179" t="n">
        <v>2008085072</v>
      </c>
      <c r="K447" s="179" t="n">
        <v>4016170144</v>
      </c>
      <c r="L447" s="179" t="n">
        <v>6024255217</v>
      </c>
    </row>
    <row r="448" ht="15" customHeight="1" s="95">
      <c r="A448" s="143" t="n">
        <v>44277</v>
      </c>
      <c r="B448" s="146" t="n">
        <v>1.003771</v>
      </c>
      <c r="C448" s="179" t="n">
        <v>10222586940</v>
      </c>
      <c r="D448" s="179" t="n">
        <v>10184177487</v>
      </c>
      <c r="E448" s="146" t="n">
        <v>1.003392</v>
      </c>
      <c r="F448" s="179" t="n">
        <v>39733383314</v>
      </c>
      <c r="G448" s="179" t="n">
        <v>39599068861</v>
      </c>
      <c r="H448" s="179">
        <f>IFERROR(D448+G448,D448)</f>
        <v/>
      </c>
      <c r="I448" s="184">
        <f>IFERROR(D448/H448,"")</f>
        <v/>
      </c>
      <c r="J448" s="179" t="n">
        <v>2036835497</v>
      </c>
      <c r="K448" s="179" t="n">
        <v>4073670995</v>
      </c>
      <c r="L448" s="179" t="n">
        <v>6110506492</v>
      </c>
    </row>
    <row r="449" ht="15" customHeight="1" s="95">
      <c r="A449" s="143" t="n">
        <v>44278</v>
      </c>
      <c r="B449" s="146" t="n">
        <v>1.001393</v>
      </c>
      <c r="C449" s="179" t="n">
        <v>10262107981</v>
      </c>
      <c r="D449" s="179" t="n">
        <v>10247835445</v>
      </c>
      <c r="E449" s="146" t="n">
        <v>1.003585</v>
      </c>
      <c r="F449" s="179" t="n">
        <v>39779162452</v>
      </c>
      <c r="G449" s="179" t="n">
        <v>39637068861</v>
      </c>
      <c r="H449" s="179">
        <f>IFERROR(D449+G449,D449)</f>
        <v/>
      </c>
      <c r="I449" s="184">
        <f>IFERROR(D449/H449,"")</f>
        <v/>
      </c>
      <c r="J449" s="179" t="n">
        <v>2049567089</v>
      </c>
      <c r="K449" s="179" t="n">
        <v>4099134178</v>
      </c>
      <c r="L449" s="179" t="n">
        <v>6148701267</v>
      </c>
    </row>
    <row r="450" ht="15" customHeight="1" s="95">
      <c r="A450" s="143" t="n">
        <v>44279</v>
      </c>
      <c r="B450" s="146" t="n">
        <v>0.9993339999999999</v>
      </c>
      <c r="C450" s="179" t="n">
        <v>10297325819</v>
      </c>
      <c r="D450" s="179" t="n">
        <v>10304188841</v>
      </c>
      <c r="E450" s="146" t="n">
        <v>0.998356</v>
      </c>
      <c r="F450" s="179" t="n">
        <v>39679592730</v>
      </c>
      <c r="G450" s="179" t="n">
        <v>39744917251</v>
      </c>
      <c r="H450" s="179">
        <f>IFERROR(D450+G450,D450)</f>
        <v/>
      </c>
      <c r="I450" s="184">
        <f>IFERROR(D450/H450,"")</f>
        <v/>
      </c>
      <c r="J450" s="179" t="n">
        <v>2060837768</v>
      </c>
      <c r="K450" s="179" t="n">
        <v>4121675536</v>
      </c>
      <c r="L450" s="179" t="n">
        <v>6182513305</v>
      </c>
    </row>
    <row r="451" ht="15" customHeight="1" s="95">
      <c r="A451" s="143" t="n">
        <v>44280</v>
      </c>
      <c r="B451" s="146" t="n">
        <v>1.000312</v>
      </c>
      <c r="C451" s="179" t="n">
        <v>10378845922</v>
      </c>
      <c r="D451" s="179" t="n">
        <v>10375610546</v>
      </c>
      <c r="E451" s="146" t="n">
        <v>0.99886</v>
      </c>
      <c r="F451" s="179" t="n">
        <v>39874985485</v>
      </c>
      <c r="G451" s="179" t="n">
        <v>39920510120</v>
      </c>
      <c r="H451" s="179">
        <f>IFERROR(D451+G451,D451)</f>
        <v/>
      </c>
      <c r="I451" s="184">
        <f>IFERROR(D451/H451,"")</f>
        <v/>
      </c>
      <c r="J451" s="179" t="n">
        <v>2075122109</v>
      </c>
      <c r="K451" s="179" t="n">
        <v>4150244218</v>
      </c>
      <c r="L451" s="179" t="n">
        <v>6225366328</v>
      </c>
    </row>
    <row r="452" ht="15" customHeight="1" s="95">
      <c r="A452" s="143" t="n">
        <v>44281</v>
      </c>
      <c r="B452" s="146" t="n">
        <v>0.999952</v>
      </c>
      <c r="C452" s="179" t="n">
        <v>10525664762</v>
      </c>
      <c r="D452" s="179" t="n">
        <v>10526169109</v>
      </c>
      <c r="E452" s="146" t="n">
        <v>0.998882</v>
      </c>
      <c r="F452" s="179" t="n">
        <v>40325387954</v>
      </c>
      <c r="G452" s="179" t="n">
        <v>40370510120</v>
      </c>
      <c r="H452" s="179">
        <f>IFERROR(D452+G452,D452)</f>
        <v/>
      </c>
      <c r="I452" s="184">
        <f>IFERROR(D452/H452,"")</f>
        <v/>
      </c>
      <c r="J452" s="179" t="n">
        <v>2105233822</v>
      </c>
      <c r="K452" s="179" t="n">
        <v>4210467644</v>
      </c>
      <c r="L452" s="179" t="n">
        <v>6315701465</v>
      </c>
    </row>
    <row r="453" ht="15" customHeight="1" s="95">
      <c r="A453" s="143" t="n">
        <v>44282</v>
      </c>
      <c r="B453" s="146" t="n">
        <v>1.003046</v>
      </c>
      <c r="C453" s="179" t="n">
        <v>10839740837</v>
      </c>
      <c r="D453" s="179" t="n">
        <v>10806823220</v>
      </c>
      <c r="E453" s="146" t="n">
        <v>0.999559</v>
      </c>
      <c r="F453" s="179" t="n">
        <v>40289735331</v>
      </c>
      <c r="G453" s="179" t="n">
        <v>40307510120</v>
      </c>
      <c r="H453" s="179">
        <f>IFERROR(D453+G453,D453)</f>
        <v/>
      </c>
      <c r="I453" s="184">
        <f>IFERROR(D453/H453,"")</f>
        <v/>
      </c>
      <c r="J453" s="179" t="n">
        <v>2161364644</v>
      </c>
      <c r="K453" s="179" t="n">
        <v>4322729288</v>
      </c>
      <c r="L453" s="179" t="n">
        <v>6484093932</v>
      </c>
    </row>
    <row r="454" ht="15" customHeight="1" s="95">
      <c r="A454" s="143" t="n">
        <v>44283</v>
      </c>
      <c r="B454" s="146" t="n">
        <v>1.000058</v>
      </c>
      <c r="C454" s="179" t="n">
        <v>10899687714</v>
      </c>
      <c r="D454" s="179" t="n">
        <v>10899053745</v>
      </c>
      <c r="E454" s="146" t="n">
        <v>1.000005</v>
      </c>
      <c r="F454" s="179" t="n">
        <v>40515567103</v>
      </c>
      <c r="G454" s="179" t="n">
        <v>40515373851</v>
      </c>
      <c r="H454" s="179">
        <f>IFERROR(D454+G454,D454)</f>
        <v/>
      </c>
      <c r="I454" s="184">
        <f>IFERROR(D454/H454,"")</f>
        <v/>
      </c>
      <c r="J454" s="179" t="n">
        <v>2179810749</v>
      </c>
      <c r="K454" s="179" t="n">
        <v>4359621498</v>
      </c>
      <c r="L454" s="179" t="n">
        <v>6539432247</v>
      </c>
    </row>
    <row r="455" ht="15" customHeight="1" s="95">
      <c r="A455" s="143" t="n">
        <v>44284</v>
      </c>
      <c r="B455" s="146" t="n">
        <v>1.001343</v>
      </c>
      <c r="C455" s="179" t="n">
        <v>10989945486</v>
      </c>
      <c r="D455" s="179" t="n">
        <v>10975210624</v>
      </c>
      <c r="E455" s="146" t="n">
        <v>1.003428</v>
      </c>
      <c r="F455" s="179" t="n">
        <v>40696987500</v>
      </c>
      <c r="G455" s="179" t="n">
        <v>40557942156</v>
      </c>
      <c r="H455" s="179">
        <f>IFERROR(D455+G455,D455)</f>
        <v/>
      </c>
      <c r="I455" s="184">
        <f>IFERROR(D455/H455,"")</f>
        <v/>
      </c>
      <c r="J455" s="179" t="n">
        <v>2195042125</v>
      </c>
      <c r="K455" s="179" t="n">
        <v>4390084250</v>
      </c>
      <c r="L455" s="179" t="n">
        <v>6585126374</v>
      </c>
    </row>
    <row r="456" ht="15" customHeight="1" s="95">
      <c r="A456" s="143" t="n">
        <v>44285</v>
      </c>
      <c r="B456" s="146" t="n">
        <v>1.003516</v>
      </c>
      <c r="C456" s="179" t="n">
        <v>10809771379</v>
      </c>
      <c r="D456" s="179" t="n">
        <v>10771899657</v>
      </c>
      <c r="E456" s="146" t="n">
        <v>0.999224</v>
      </c>
      <c r="F456" s="179" t="n">
        <v>40527975007</v>
      </c>
      <c r="G456" s="179" t="n">
        <v>40559464982</v>
      </c>
      <c r="H456" s="179">
        <f>IFERROR(D456+G456,D456)</f>
        <v/>
      </c>
      <c r="I456" s="184">
        <f>IFERROR(D456/H456,"")</f>
        <v/>
      </c>
      <c r="J456" s="179" t="n">
        <v>2154379931</v>
      </c>
      <c r="K456" s="179" t="n">
        <v>4308759863</v>
      </c>
      <c r="L456" s="179" t="n">
        <v>6463139794</v>
      </c>
    </row>
    <row r="457" ht="15" customHeight="1" s="95">
      <c r="A457" s="143" t="n">
        <v>44286</v>
      </c>
      <c r="B457" s="146" t="n">
        <v>1.000693</v>
      </c>
      <c r="C457" s="179" t="n">
        <v>10903519641</v>
      </c>
      <c r="D457" s="179" t="n">
        <v>10895969284</v>
      </c>
      <c r="E457" s="146" t="n">
        <v>0.999906</v>
      </c>
      <c r="F457" s="179" t="n">
        <v>40730247053</v>
      </c>
      <c r="G457" s="179" t="n">
        <v>40734096210</v>
      </c>
      <c r="H457" s="179">
        <f>IFERROR(D457+G457,D457)</f>
        <v/>
      </c>
      <c r="I457" s="184">
        <f>IFERROR(D457/H457,"")</f>
        <v/>
      </c>
      <c r="J457" s="179" t="n">
        <v>2179193857</v>
      </c>
      <c r="K457" s="179" t="n">
        <v>4358387714</v>
      </c>
      <c r="L457" s="179" t="n">
        <v>6537581570</v>
      </c>
    </row>
    <row r="458" ht="15" customHeight="1" s="95">
      <c r="A458" s="143" t="n">
        <v>44287</v>
      </c>
      <c r="B458" s="146" t="n">
        <v>0.999032</v>
      </c>
      <c r="C458" s="179" t="n">
        <v>10825119295</v>
      </c>
      <c r="D458" s="179" t="n">
        <v>10835612140</v>
      </c>
      <c r="E458" s="146" t="n">
        <v>1.000288</v>
      </c>
      <c r="F458" s="179" t="n">
        <v>40816914163</v>
      </c>
      <c r="G458" s="179" t="n">
        <v>40805169352</v>
      </c>
      <c r="H458" s="179">
        <f>IFERROR(D458+G458,D458)</f>
        <v/>
      </c>
      <c r="I458" s="184">
        <f>IFERROR(D458/H458,"")</f>
        <v/>
      </c>
      <c r="J458" s="179" t="n">
        <v>2167122428</v>
      </c>
      <c r="K458" s="179" t="n">
        <v>4334244856</v>
      </c>
      <c r="L458" s="179" t="n">
        <v>6501367284</v>
      </c>
    </row>
    <row r="459" ht="15" customHeight="1" s="95">
      <c r="A459" s="143" t="n">
        <v>44288</v>
      </c>
      <c r="B459" s="146" t="n">
        <v>0.999717</v>
      </c>
      <c r="C459" s="179" t="n">
        <v>10874663109</v>
      </c>
      <c r="D459" s="179" t="n">
        <v>10877736603</v>
      </c>
      <c r="E459" s="146" t="n">
        <v>1.000736</v>
      </c>
      <c r="F459" s="179" t="n">
        <v>40835188151</v>
      </c>
      <c r="G459" s="179" t="n">
        <v>40805169352</v>
      </c>
      <c r="H459" s="179">
        <f>IFERROR(D459+G459,D459)</f>
        <v/>
      </c>
      <c r="I459" s="184">
        <f>IFERROR(D459/H459,"")</f>
        <v/>
      </c>
      <c r="J459" s="179" t="n">
        <v>2175547321</v>
      </c>
      <c r="K459" s="179" t="n">
        <v>4351094641</v>
      </c>
      <c r="L459" s="179" t="n">
        <v>6526641962</v>
      </c>
    </row>
    <row r="460" ht="15" customHeight="1" s="95">
      <c r="A460" s="143" t="n">
        <v>44289</v>
      </c>
      <c r="B460" s="146" t="n">
        <v>0.998878</v>
      </c>
      <c r="C460" s="179" t="n">
        <v>10920631184</v>
      </c>
      <c r="D460" s="179" t="n">
        <v>10932894890</v>
      </c>
      <c r="E460" s="146" t="n">
        <v>1.000561</v>
      </c>
      <c r="F460" s="179" t="n">
        <v>41789686877</v>
      </c>
      <c r="G460" s="179" t="n">
        <v>41766253835</v>
      </c>
      <c r="H460" s="179">
        <f>IFERROR(D460+G460,D460)</f>
        <v/>
      </c>
      <c r="I460" s="184">
        <f>IFERROR(D460/H460,"")</f>
        <v/>
      </c>
      <c r="J460" s="179" t="n">
        <v>2186578978</v>
      </c>
      <c r="K460" s="179" t="n">
        <v>4373157956</v>
      </c>
      <c r="L460" s="179" t="n">
        <v>6559736934</v>
      </c>
    </row>
    <row r="461" ht="15" customHeight="1" s="95">
      <c r="A461" s="143" t="n">
        <v>44290</v>
      </c>
      <c r="B461" s="146" t="n">
        <v>0.995468</v>
      </c>
      <c r="C461" s="179" t="n">
        <v>10814220927</v>
      </c>
      <c r="D461" s="179" t="n">
        <v>10863449684</v>
      </c>
      <c r="E461" s="146" t="n">
        <v>1.000637</v>
      </c>
      <c r="F461" s="179" t="n">
        <v>42448788685</v>
      </c>
      <c r="G461" s="179" t="n">
        <v>42421753835</v>
      </c>
      <c r="H461" s="179">
        <f>IFERROR(D461+G461,D461)</f>
        <v/>
      </c>
      <c r="I461" s="184">
        <f>IFERROR(D461/H461,"")</f>
        <v/>
      </c>
      <c r="J461" s="179" t="n">
        <v>2172689937</v>
      </c>
      <c r="K461" s="179" t="n">
        <v>4345379874</v>
      </c>
      <c r="L461" s="179" t="n">
        <v>6518069810</v>
      </c>
    </row>
    <row r="462" ht="15" customHeight="1" s="95">
      <c r="A462" s="143" t="n">
        <v>44291</v>
      </c>
      <c r="B462" s="146" t="n">
        <v>1.000418</v>
      </c>
      <c r="C462" s="179" t="n">
        <v>11072379392</v>
      </c>
      <c r="D462" s="179" t="n">
        <v>11067751129</v>
      </c>
      <c r="E462" s="146" t="n">
        <v>1.000523</v>
      </c>
      <c r="F462" s="179" t="n">
        <v>42493963928</v>
      </c>
      <c r="G462" s="179" t="n">
        <v>42471753835</v>
      </c>
      <c r="H462" s="179">
        <f>IFERROR(D462+G462,D462)</f>
        <v/>
      </c>
      <c r="I462" s="184">
        <f>IFERROR(D462/H462,"")</f>
        <v/>
      </c>
      <c r="J462" s="179" t="n">
        <v>2213550226</v>
      </c>
      <c r="K462" s="179" t="n">
        <v>4427100452</v>
      </c>
      <c r="L462" s="179" t="n">
        <v>6640650677</v>
      </c>
    </row>
    <row r="463" ht="15" customHeight="1" s="95">
      <c r="A463" s="143" t="n">
        <v>44292</v>
      </c>
      <c r="B463" s="146" t="n">
        <v>0.9995309999999999</v>
      </c>
      <c r="C463" s="179" t="n">
        <v>11039896701</v>
      </c>
      <c r="D463" s="179" t="n">
        <v>11045081609</v>
      </c>
      <c r="E463" s="146" t="n">
        <v>0.999328</v>
      </c>
      <c r="F463" s="179" t="n">
        <v>42544365000</v>
      </c>
      <c r="G463" s="179" t="n">
        <v>42572965452</v>
      </c>
      <c r="H463" s="179">
        <f>IFERROR(D463+G463,D463)</f>
        <v/>
      </c>
      <c r="I463" s="184">
        <f>IFERROR(D463/H463,"")</f>
        <v/>
      </c>
      <c r="J463" s="179" t="n">
        <v>2209016322</v>
      </c>
      <c r="K463" s="179" t="n">
        <v>4418032644</v>
      </c>
      <c r="L463" s="179" t="n">
        <v>6627048965</v>
      </c>
    </row>
    <row r="464" ht="15" customHeight="1" s="95">
      <c r="A464" s="143" t="n">
        <v>44293</v>
      </c>
      <c r="B464" s="146" t="n">
        <v>0.999857</v>
      </c>
      <c r="C464" s="179" t="n">
        <v>10937004459</v>
      </c>
      <c r="D464" s="179" t="n">
        <v>10938571951</v>
      </c>
      <c r="E464" s="146" t="n">
        <v>1.000303</v>
      </c>
      <c r="F464" s="179" t="n">
        <v>43125054016</v>
      </c>
      <c r="G464" s="179" t="n">
        <v>43111986523</v>
      </c>
      <c r="H464" s="179">
        <f>IFERROR(D464+G464,D464)</f>
        <v/>
      </c>
      <c r="I464" s="184">
        <f>IFERROR(D464/H464,"")</f>
        <v/>
      </c>
      <c r="J464" s="179" t="n">
        <v>2187714390</v>
      </c>
      <c r="K464" s="179" t="n">
        <v>4375428780</v>
      </c>
      <c r="L464" s="179" t="n">
        <v>6563143171</v>
      </c>
    </row>
    <row r="465" ht="15" customHeight="1" s="95">
      <c r="A465" s="143" t="n">
        <v>44294</v>
      </c>
      <c r="B465" s="146" t="n">
        <v>0.998536</v>
      </c>
      <c r="C465" s="179" t="n">
        <v>11025108742</v>
      </c>
      <c r="D465" s="179" t="n">
        <v>11041274584</v>
      </c>
      <c r="E465" s="146" t="n">
        <v>0.99946</v>
      </c>
      <c r="F465" s="179" t="n">
        <v>43178291900</v>
      </c>
      <c r="G465" s="179" t="n">
        <v>43201625659</v>
      </c>
      <c r="H465" s="179">
        <f>IFERROR(D465+G465,D465)</f>
        <v/>
      </c>
      <c r="I465" s="184">
        <f>IFERROR(D465/H465,"")</f>
        <v/>
      </c>
      <c r="J465" s="179" t="n">
        <v>2208254917</v>
      </c>
      <c r="K465" s="179" t="n">
        <v>4416509834</v>
      </c>
      <c r="L465" s="179" t="n">
        <v>6624764750</v>
      </c>
    </row>
    <row r="466" ht="15" customHeight="1" s="95">
      <c r="A466" s="143" t="n">
        <v>44295</v>
      </c>
      <c r="B466" s="146" t="n">
        <v>1.001344</v>
      </c>
      <c r="C466" s="179" t="n">
        <v>11178287475</v>
      </c>
      <c r="D466" s="179" t="n">
        <v>11163279788</v>
      </c>
      <c r="E466" s="146" t="n">
        <v>1.001776</v>
      </c>
      <c r="F466" s="179" t="n">
        <v>43829500562</v>
      </c>
      <c r="G466" s="179" t="n">
        <v>43751799230</v>
      </c>
      <c r="H466" s="179">
        <f>IFERROR(D466+G466,D466)</f>
        <v/>
      </c>
      <c r="I466" s="184">
        <f>IFERROR(D466/H466,"")</f>
        <v/>
      </c>
      <c r="J466" s="179" t="n">
        <v>2232655958</v>
      </c>
      <c r="K466" s="179" t="n">
        <v>4465311915</v>
      </c>
      <c r="L466" s="179" t="n">
        <v>6697967873</v>
      </c>
    </row>
    <row r="467" ht="15" customHeight="1" s="95">
      <c r="A467" s="143" t="n">
        <v>44296</v>
      </c>
      <c r="B467" s="146" t="n">
        <v>1.001237</v>
      </c>
      <c r="C467" s="179" t="n">
        <v>11219365821</v>
      </c>
      <c r="D467" s="179" t="n">
        <v>11205508674</v>
      </c>
      <c r="E467" s="146" t="n">
        <v>0.999503</v>
      </c>
      <c r="F467" s="179" t="n">
        <v>43883964992</v>
      </c>
      <c r="G467" s="179" t="n">
        <v>43905799230</v>
      </c>
      <c r="H467" s="179">
        <f>IFERROR(D467+G467,D467)</f>
        <v/>
      </c>
      <c r="I467" s="184">
        <f>IFERROR(D467/H467,"")</f>
        <v/>
      </c>
      <c r="J467" s="179" t="n">
        <v>2241101735</v>
      </c>
      <c r="K467" s="179" t="n">
        <v>4482203470</v>
      </c>
      <c r="L467" s="179" t="n">
        <v>6723305204</v>
      </c>
    </row>
    <row r="468" ht="15" customHeight="1" s="95">
      <c r="A468" s="143" t="n">
        <v>44297</v>
      </c>
      <c r="B468" s="146" t="n">
        <v>1.001516</v>
      </c>
      <c r="C468" s="179" t="n">
        <v>11185465356</v>
      </c>
      <c r="D468" s="179" t="n">
        <v>11168538527</v>
      </c>
      <c r="E468" s="146" t="n">
        <v>0.999258</v>
      </c>
      <c r="F468" s="179" t="n">
        <v>44559427154</v>
      </c>
      <c r="G468" s="179" t="n">
        <v>44592510229</v>
      </c>
      <c r="H468" s="179">
        <f>IFERROR(D468+G468,D468)</f>
        <v/>
      </c>
      <c r="I468" s="184">
        <f>IFERROR(D468/H468,"")</f>
        <v/>
      </c>
      <c r="J468" s="179" t="n">
        <v>2233707705</v>
      </c>
      <c r="K468" s="179" t="n">
        <v>4467415411</v>
      </c>
      <c r="L468" s="179" t="n">
        <v>6701123116</v>
      </c>
    </row>
    <row r="469" ht="15" customHeight="1" s="95">
      <c r="A469" s="143" t="n">
        <v>44298</v>
      </c>
      <c r="B469" s="146" t="n">
        <v>1.001748</v>
      </c>
      <c r="C469" s="179" t="n">
        <v>11280826363</v>
      </c>
      <c r="D469" s="179" t="n">
        <v>11261146217</v>
      </c>
      <c r="E469" s="146" t="n">
        <v>1.000935</v>
      </c>
      <c r="F469" s="179" t="n">
        <v>44446295786</v>
      </c>
      <c r="G469" s="179" t="n">
        <v>44404791488</v>
      </c>
      <c r="H469" s="179">
        <f>IFERROR(D469+G469,D469)</f>
        <v/>
      </c>
      <c r="I469" s="184">
        <f>IFERROR(D469/H469,"")</f>
        <v/>
      </c>
      <c r="J469" s="179" t="n">
        <v>2252229243</v>
      </c>
      <c r="K469" s="179" t="n">
        <v>4504458487</v>
      </c>
      <c r="L469" s="179" t="n">
        <v>6756687730</v>
      </c>
    </row>
    <row r="470" ht="15" customHeight="1" s="95">
      <c r="A470" s="143" t="n">
        <v>44299</v>
      </c>
      <c r="B470" s="146" t="n">
        <v>1.000157</v>
      </c>
      <c r="C470" s="179" t="n">
        <v>11011222093</v>
      </c>
      <c r="D470" s="179" t="n">
        <v>11009495660</v>
      </c>
      <c r="E470" s="146" t="n">
        <v>1.000793</v>
      </c>
      <c r="F470" s="179" t="n">
        <v>44597273098</v>
      </c>
      <c r="G470" s="179" t="n">
        <v>44561923405</v>
      </c>
      <c r="H470" s="179">
        <f>IFERROR(D470+G470,D470)</f>
        <v/>
      </c>
      <c r="I470" s="184">
        <f>IFERROR(D470/H470,"")</f>
        <v/>
      </c>
      <c r="J470" s="179" t="n">
        <v>2201899132</v>
      </c>
      <c r="K470" s="179" t="n">
        <v>4403798264</v>
      </c>
      <c r="L470" s="179" t="n">
        <v>6605697396</v>
      </c>
    </row>
    <row r="471" ht="15" customHeight="1" s="95">
      <c r="A471" s="143" t="n">
        <v>44300</v>
      </c>
      <c r="B471" s="146" t="n">
        <v>1.001338</v>
      </c>
      <c r="C471" s="179" t="n">
        <v>11159853205</v>
      </c>
      <c r="D471" s="179" t="n">
        <v>11144945649</v>
      </c>
      <c r="E471" s="146" t="n">
        <v>1.001229</v>
      </c>
      <c r="F471" s="179" t="n">
        <v>45518007079</v>
      </c>
      <c r="G471" s="179" t="n">
        <v>45462154323</v>
      </c>
      <c r="H471" s="179">
        <f>IFERROR(D471+G471,D471)</f>
        <v/>
      </c>
      <c r="I471" s="184">
        <f>IFERROR(D471/H471,"")</f>
        <v/>
      </c>
      <c r="J471" s="179" t="n">
        <v>2228989130</v>
      </c>
      <c r="K471" s="179" t="n">
        <v>4457978260</v>
      </c>
      <c r="L471" s="179" t="n">
        <v>6686967389</v>
      </c>
    </row>
    <row r="472" ht="15" customHeight="1" s="95">
      <c r="A472" s="143" t="n">
        <v>44301</v>
      </c>
      <c r="B472" s="146" t="n">
        <v>0.999928</v>
      </c>
      <c r="C472" s="179" t="n">
        <v>11487127274</v>
      </c>
      <c r="D472" s="179" t="n">
        <v>11487951676</v>
      </c>
      <c r="E472" s="146" t="n">
        <v>0.999672</v>
      </c>
      <c r="F472" s="179" t="n">
        <v>45928633894</v>
      </c>
      <c r="G472" s="179" t="n">
        <v>45943708560</v>
      </c>
      <c r="H472" s="179">
        <f>IFERROR(D472+G472,D472)</f>
        <v/>
      </c>
      <c r="I472" s="184">
        <f>IFERROR(D472/H472,"")</f>
        <v/>
      </c>
      <c r="J472" s="179" t="n">
        <v>2297590335</v>
      </c>
      <c r="K472" s="179" t="n">
        <v>4595180670</v>
      </c>
      <c r="L472" s="179" t="n">
        <v>6892771006</v>
      </c>
    </row>
    <row r="473" ht="15" customHeight="1" s="95">
      <c r="A473" s="143" t="n">
        <v>44302</v>
      </c>
      <c r="B473" s="146" t="n">
        <v>0.9998939999999999</v>
      </c>
      <c r="C473" s="179" t="n">
        <v>11602388663</v>
      </c>
      <c r="D473" s="179" t="n">
        <v>11603620607</v>
      </c>
      <c r="E473" s="146" t="n">
        <v>0.999981</v>
      </c>
      <c r="F473" s="179" t="n">
        <v>46601536890</v>
      </c>
      <c r="G473" s="179" t="n">
        <v>46602413179</v>
      </c>
      <c r="H473" s="179">
        <f>IFERROR(D473+G473,D473)</f>
        <v/>
      </c>
      <c r="I473" s="184">
        <f>IFERROR(D473/H473,"")</f>
        <v/>
      </c>
      <c r="J473" s="179" t="n">
        <v>2320724121</v>
      </c>
      <c r="K473" s="179" t="n">
        <v>4641448243</v>
      </c>
      <c r="L473" s="179" t="n">
        <v>6962172364</v>
      </c>
    </row>
    <row r="474" ht="15" customHeight="1" s="95">
      <c r="A474" s="143" t="n">
        <v>44303</v>
      </c>
      <c r="B474" s="146" t="n">
        <v>0.998594</v>
      </c>
      <c r="C474" s="179" t="n">
        <v>11970285414</v>
      </c>
      <c r="D474" s="179" t="n">
        <v>11987143329</v>
      </c>
      <c r="E474" s="146" t="n">
        <v>0.998927</v>
      </c>
      <c r="F474" s="179" t="n">
        <v>46966476338</v>
      </c>
      <c r="G474" s="179" t="n">
        <v>47016946739</v>
      </c>
      <c r="H474" s="179">
        <f>IFERROR(D474+G474,D474)</f>
        <v/>
      </c>
      <c r="I474" s="184">
        <f>IFERROR(D474/H474,"")</f>
        <v/>
      </c>
      <c r="J474" s="179" t="n">
        <v>2397428666</v>
      </c>
      <c r="K474" s="179" t="n">
        <v>4794857332</v>
      </c>
      <c r="L474" s="179" t="n">
        <v>7192285997</v>
      </c>
    </row>
    <row r="475" ht="15" customHeight="1" s="95">
      <c r="A475" s="143" t="n">
        <v>44304</v>
      </c>
      <c r="B475" s="146" t="n">
        <v>1.000244</v>
      </c>
      <c r="C475" s="179" t="n">
        <v>12314666876</v>
      </c>
      <c r="D475" s="179" t="n">
        <v>12311667270</v>
      </c>
      <c r="E475" s="146" t="n">
        <v>1.001349</v>
      </c>
      <c r="F475" s="179" t="n">
        <v>47980429555</v>
      </c>
      <c r="G475" s="179" t="n">
        <v>47915791499</v>
      </c>
      <c r="H475" s="179">
        <f>IFERROR(D475+G475,D475)</f>
        <v/>
      </c>
      <c r="I475" s="184">
        <f>IFERROR(D475/H475,"")</f>
        <v/>
      </c>
      <c r="J475" s="179" t="n">
        <v>2462333454</v>
      </c>
      <c r="K475" s="179" t="n">
        <v>4924666908</v>
      </c>
      <c r="L475" s="179" t="n">
        <v>7387000362</v>
      </c>
    </row>
    <row r="476" ht="15" customHeight="1" s="95">
      <c r="A476" s="143" t="n">
        <v>44305</v>
      </c>
      <c r="B476" s="146" t="n">
        <v>0.9998</v>
      </c>
      <c r="C476" s="179" t="n">
        <v>12649880206</v>
      </c>
      <c r="D476" s="179" t="n">
        <v>12652416762</v>
      </c>
      <c r="E476" s="146" t="n">
        <v>1.000584</v>
      </c>
      <c r="F476" s="179" t="n">
        <v>48440253076</v>
      </c>
      <c r="G476" s="179" t="n">
        <v>48411986748</v>
      </c>
      <c r="H476" s="179">
        <f>IFERROR(D476+G476,D476)</f>
        <v/>
      </c>
      <c r="I476" s="184">
        <f>IFERROR(D476/H476,"")</f>
        <v/>
      </c>
      <c r="J476" s="179" t="n">
        <v>2530483352</v>
      </c>
      <c r="K476" s="179" t="n">
        <v>5060966705</v>
      </c>
      <c r="L476" s="179" t="n">
        <v>7591450057</v>
      </c>
    </row>
    <row r="477" ht="15" customHeight="1" s="95">
      <c r="A477" s="143" t="n">
        <v>44306</v>
      </c>
      <c r="B477" s="146" t="n">
        <v>0.999522</v>
      </c>
      <c r="C477" s="179" t="n">
        <v>12763424151</v>
      </c>
      <c r="D477" s="179" t="n">
        <v>12769529005</v>
      </c>
      <c r="E477" s="146" t="n">
        <v>0.999837</v>
      </c>
      <c r="F477" s="179" t="n">
        <v>48246126852</v>
      </c>
      <c r="G477" s="179" t="n">
        <v>48253996439</v>
      </c>
      <c r="H477" s="179">
        <f>IFERROR(D477+G477,D477)</f>
        <v/>
      </c>
      <c r="I477" s="184">
        <f>IFERROR(D477/H477,"")</f>
        <v/>
      </c>
      <c r="J477" s="179" t="n">
        <v>2553905801</v>
      </c>
      <c r="K477" s="179" t="n">
        <v>5107811602</v>
      </c>
      <c r="L477" s="179" t="n">
        <v>7661717403</v>
      </c>
    </row>
    <row r="478" ht="15" customHeight="1" s="95">
      <c r="A478" s="143" t="n">
        <v>44307</v>
      </c>
      <c r="B478" s="146" t="n">
        <v>0.998514</v>
      </c>
      <c r="C478" s="179" t="n">
        <v>13003119763</v>
      </c>
      <c r="D478" s="179" t="n">
        <v>13022464793</v>
      </c>
      <c r="E478" s="146" t="n">
        <v>1.000389</v>
      </c>
      <c r="F478" s="179" t="n">
        <v>48820994300</v>
      </c>
      <c r="G478" s="179" t="n">
        <v>48801997549</v>
      </c>
      <c r="H478" s="179">
        <f>IFERROR(D478+G478,D478)</f>
        <v/>
      </c>
      <c r="I478" s="184">
        <f>IFERROR(D478/H478,"")</f>
        <v/>
      </c>
      <c r="J478" s="179" t="n">
        <v>2604492959</v>
      </c>
      <c r="K478" s="179" t="n">
        <v>5208985917</v>
      </c>
      <c r="L478" s="179" t="n">
        <v>7813478876</v>
      </c>
    </row>
    <row r="479" ht="15" customHeight="1" s="95">
      <c r="A479" s="143" t="n">
        <v>44308</v>
      </c>
      <c r="B479" s="146" t="n">
        <v>0.999521</v>
      </c>
      <c r="C479" s="179" t="n">
        <v>13084305484</v>
      </c>
      <c r="D479" s="179" t="n">
        <v>13090577870</v>
      </c>
      <c r="E479" s="146" t="n">
        <v>0.9971449999999999</v>
      </c>
      <c r="F479" s="179" t="n">
        <v>49176280914</v>
      </c>
      <c r="G479" s="179" t="n">
        <v>49317088684</v>
      </c>
      <c r="H479" s="179">
        <f>IFERROR(D479+G479,D479)</f>
        <v/>
      </c>
      <c r="I479" s="184">
        <f>IFERROR(D479/H479,"")</f>
        <v/>
      </c>
      <c r="J479" s="179" t="n">
        <v>2618115574</v>
      </c>
      <c r="K479" s="179" t="n">
        <v>5236231148</v>
      </c>
      <c r="L479" s="179" t="n">
        <v>7854346722</v>
      </c>
    </row>
    <row r="480" ht="15" customHeight="1" s="95">
      <c r="A480" s="143" t="n">
        <v>44309</v>
      </c>
      <c r="B480" s="146" t="n">
        <v>1.002599</v>
      </c>
      <c r="C480" s="179" t="n">
        <v>13106028086</v>
      </c>
      <c r="D480" s="179" t="n">
        <v>13072047960</v>
      </c>
      <c r="E480" s="146" t="n">
        <v>1.001103</v>
      </c>
      <c r="F480" s="179" t="n">
        <v>49655032885</v>
      </c>
      <c r="G480" s="179" t="n">
        <v>49600333385</v>
      </c>
      <c r="H480" s="179">
        <f>IFERROR(D480+G480,D480)</f>
        <v/>
      </c>
      <c r="I480" s="184">
        <f>IFERROR(D480/H480,"")</f>
        <v/>
      </c>
      <c r="J480" s="179" t="n">
        <v>2614409592</v>
      </c>
      <c r="K480" s="179" t="n">
        <v>5228819184</v>
      </c>
      <c r="L480" s="179" t="n">
        <v>7843228776</v>
      </c>
    </row>
    <row r="481" ht="15" customHeight="1" s="95">
      <c r="A481" s="143" t="n">
        <v>44310</v>
      </c>
      <c r="B481" s="146" t="n">
        <v>1.001183</v>
      </c>
      <c r="C481" s="179" t="n">
        <v>13264415771</v>
      </c>
      <c r="D481" s="179" t="n">
        <v>13248741912</v>
      </c>
      <c r="E481" s="146" t="n">
        <v>1.00177</v>
      </c>
      <c r="F481" s="179" t="n">
        <v>49477553574</v>
      </c>
      <c r="G481" s="179" t="n">
        <v>49390155817</v>
      </c>
      <c r="H481" s="179">
        <f>IFERROR(D481+G481,D481)</f>
        <v/>
      </c>
      <c r="I481" s="184">
        <f>IFERROR(D481/H481,"")</f>
        <v/>
      </c>
      <c r="J481" s="179" t="n">
        <v>2649748382</v>
      </c>
      <c r="K481" s="179" t="n">
        <v>5299496765</v>
      </c>
      <c r="L481" s="179" t="n">
        <v>7949245147</v>
      </c>
    </row>
    <row r="482" ht="15" customHeight="1" s="95">
      <c r="A482" s="143" t="n">
        <v>44311</v>
      </c>
      <c r="B482" s="146" t="n">
        <v>0.998308</v>
      </c>
      <c r="C482" s="179" t="n">
        <v>13527497524</v>
      </c>
      <c r="D482" s="179" t="n">
        <v>13550419616</v>
      </c>
      <c r="E482" s="146" t="n">
        <v>0.998546</v>
      </c>
      <c r="F482" s="179" t="n">
        <v>49501156852</v>
      </c>
      <c r="G482" s="179" t="n">
        <v>49573255398</v>
      </c>
      <c r="H482" s="179">
        <f>IFERROR(D482+G482,D482)</f>
        <v/>
      </c>
      <c r="I482" s="184">
        <f>IFERROR(D482/H482,"")</f>
        <v/>
      </c>
      <c r="J482" s="179" t="n">
        <v>2710083923</v>
      </c>
      <c r="K482" s="179" t="n">
        <v>5420167846</v>
      </c>
      <c r="L482" s="179" t="n">
        <v>8130251770</v>
      </c>
    </row>
    <row r="483" ht="15" customHeight="1" s="95">
      <c r="A483" s="143" t="n">
        <v>44312</v>
      </c>
      <c r="B483" s="146" t="n">
        <v>0.9995889999999999</v>
      </c>
      <c r="C483" s="179" t="n">
        <v>13667640425</v>
      </c>
      <c r="D483" s="179" t="n">
        <v>13673255413</v>
      </c>
      <c r="E483" s="146" t="n">
        <v>1.003862</v>
      </c>
      <c r="F483" s="179" t="n">
        <v>50300761608</v>
      </c>
      <c r="G483" s="179" t="n">
        <v>50107255373</v>
      </c>
      <c r="H483" s="179">
        <f>IFERROR(D483+G483,D483)</f>
        <v/>
      </c>
      <c r="I483" s="184">
        <f>IFERROR(D483/H483,"")</f>
        <v/>
      </c>
      <c r="J483" s="179" t="n">
        <v>2734651083</v>
      </c>
      <c r="K483" s="179" t="n">
        <v>5469302165</v>
      </c>
      <c r="L483" s="179" t="n">
        <v>8203953248</v>
      </c>
    </row>
    <row r="484" ht="15" customHeight="1" s="95">
      <c r="A484" s="143" t="n">
        <v>44313</v>
      </c>
      <c r="B484" s="146" t="n">
        <v>1.000796</v>
      </c>
      <c r="C484" s="179" t="n">
        <v>13775379892</v>
      </c>
      <c r="D484" s="179" t="n">
        <v>13764418507</v>
      </c>
      <c r="E484" s="146" t="n">
        <v>1.000592</v>
      </c>
      <c r="F484" s="179" t="n">
        <v>50177957598</v>
      </c>
      <c r="G484" s="179" t="n">
        <v>50148255373</v>
      </c>
      <c r="H484" s="179">
        <f>IFERROR(D484+G484,D484)</f>
        <v/>
      </c>
      <c r="I484" s="184">
        <f>IFERROR(D484/H484,"")</f>
        <v/>
      </c>
      <c r="J484" s="179" t="n">
        <v>2752883701</v>
      </c>
      <c r="K484" s="179" t="n">
        <v>5505767403</v>
      </c>
      <c r="L484" s="179" t="n">
        <v>8258651104</v>
      </c>
    </row>
    <row r="485" ht="15" customHeight="1" s="95">
      <c r="A485" s="143" t="n">
        <v>44314</v>
      </c>
      <c r="B485" s="146" t="n">
        <v>0.9985810000000001</v>
      </c>
      <c r="C485" s="179" t="n">
        <v>13879528332</v>
      </c>
      <c r="D485" s="179" t="n">
        <v>13899251815</v>
      </c>
      <c r="E485" s="146" t="n">
        <v>0.99685</v>
      </c>
      <c r="F485" s="179" t="n">
        <v>50288933664</v>
      </c>
      <c r="G485" s="179" t="n">
        <v>50447858727</v>
      </c>
      <c r="H485" s="179">
        <f>IFERROR(D485+G485,D485)</f>
        <v/>
      </c>
      <c r="I485" s="184">
        <f>IFERROR(D485/H485,"")</f>
        <v/>
      </c>
      <c r="J485" s="179" t="n">
        <v>2779850363</v>
      </c>
      <c r="K485" s="179" t="n">
        <v>5559700726</v>
      </c>
      <c r="L485" s="179" t="n">
        <v>8339551089</v>
      </c>
    </row>
    <row r="486" ht="15" customHeight="1" s="95">
      <c r="A486" s="143" t="n">
        <v>44315</v>
      </c>
      <c r="B486" s="146" t="n">
        <v>1.000602</v>
      </c>
      <c r="C486" s="179" t="n">
        <v>13917317509</v>
      </c>
      <c r="D486" s="179" t="n">
        <v>13908949159</v>
      </c>
      <c r="E486" s="146" t="n">
        <v>1.0016</v>
      </c>
      <c r="F486" s="179" t="n">
        <v>51109245003</v>
      </c>
      <c r="G486" s="179" t="n">
        <v>51027578126</v>
      </c>
      <c r="H486" s="179">
        <f>IFERROR(D486+G486,D486)</f>
        <v/>
      </c>
      <c r="I486" s="184">
        <f>IFERROR(D486/H486,"")</f>
        <v/>
      </c>
      <c r="J486" s="179" t="n">
        <v>2781789832</v>
      </c>
      <c r="K486" s="179" t="n">
        <v>5563579664</v>
      </c>
      <c r="L486" s="179" t="n">
        <v>8345369495</v>
      </c>
    </row>
    <row r="487" ht="15" customHeight="1" s="95">
      <c r="A487" s="143" t="n">
        <v>44316</v>
      </c>
      <c r="B487" s="146" t="n">
        <v>1.001471</v>
      </c>
      <c r="C487" s="179" t="n">
        <v>14603752839</v>
      </c>
      <c r="D487" s="179" t="n">
        <v>14582304091</v>
      </c>
      <c r="E487" s="146" t="n">
        <v>1.000698</v>
      </c>
      <c r="F487" s="179" t="n">
        <v>51252930927</v>
      </c>
      <c r="G487" s="179" t="n">
        <v>51217187730</v>
      </c>
      <c r="H487" s="179">
        <f>IFERROR(D487+G487,D487)</f>
        <v/>
      </c>
      <c r="I487" s="184">
        <f>IFERROR(D487/H487,"")</f>
        <v/>
      </c>
      <c r="J487" s="179" t="n">
        <v>2916460818</v>
      </c>
      <c r="K487" s="179" t="n">
        <v>5832921636</v>
      </c>
      <c r="L487" s="179" t="n">
        <v>8749382455</v>
      </c>
    </row>
    <row r="488" ht="15" customHeight="1" s="95">
      <c r="A488" s="143" t="n">
        <v>44317</v>
      </c>
      <c r="B488" s="146" t="n">
        <v>1.000627</v>
      </c>
      <c r="C488" s="179" t="n">
        <v>14671379802</v>
      </c>
      <c r="D488" s="179" t="n">
        <v>14662193184</v>
      </c>
      <c r="E488" s="146" t="n">
        <v>1.001373</v>
      </c>
      <c r="F488" s="179" t="n">
        <v>51180431595</v>
      </c>
      <c r="G488" s="179" t="n">
        <v>51110256096</v>
      </c>
      <c r="H488" s="179">
        <f>IFERROR(D488+G488,D488)</f>
        <v/>
      </c>
      <c r="I488" s="184">
        <f>IFERROR(D488/H488,"")</f>
        <v/>
      </c>
      <c r="J488" s="179" t="n">
        <v>2932438637</v>
      </c>
      <c r="K488" s="179" t="n">
        <v>5864877274</v>
      </c>
      <c r="L488" s="179" t="n">
        <v>8797315910</v>
      </c>
    </row>
    <row r="489" ht="15" customHeight="1" s="95">
      <c r="A489" s="143" t="n">
        <v>44318</v>
      </c>
      <c r="B489" s="146" t="n">
        <v>0.999839</v>
      </c>
      <c r="C489" s="179" t="n">
        <v>14711500830</v>
      </c>
      <c r="D489" s="179" t="n">
        <v>14713863449</v>
      </c>
      <c r="E489" s="146" t="n">
        <v>1.000547</v>
      </c>
      <c r="F489" s="179" t="n">
        <v>51679435029</v>
      </c>
      <c r="G489" s="179" t="n">
        <v>51651169114</v>
      </c>
      <c r="H489" s="179">
        <f>IFERROR(D489+G489,D489)</f>
        <v/>
      </c>
      <c r="I489" s="184">
        <f>IFERROR(D489/H489,"")</f>
        <v/>
      </c>
      <c r="J489" s="179" t="n">
        <v>2942772690</v>
      </c>
      <c r="K489" s="179" t="n">
        <v>5885545380</v>
      </c>
      <c r="L489" s="179" t="n">
        <v>8828318069</v>
      </c>
    </row>
    <row r="490" ht="15" customHeight="1" s="95">
      <c r="A490" s="143" t="n">
        <v>44319</v>
      </c>
      <c r="B490" s="146" t="n">
        <v>0.999573</v>
      </c>
      <c r="C490" s="179" t="n">
        <v>14681097408</v>
      </c>
      <c r="D490" s="179" t="n">
        <v>14687370786</v>
      </c>
      <c r="E490" s="146" t="n">
        <v>1.000593</v>
      </c>
      <c r="F490" s="179" t="n">
        <v>51994800962</v>
      </c>
      <c r="G490" s="179" t="n">
        <v>51963990776</v>
      </c>
      <c r="H490" s="179">
        <f>IFERROR(D490+G490,D490)</f>
        <v/>
      </c>
      <c r="I490" s="184">
        <f>IFERROR(D490/H490,"")</f>
        <v/>
      </c>
      <c r="J490" s="179" t="n">
        <v>2937474157</v>
      </c>
      <c r="K490" s="179" t="n">
        <v>5874948314</v>
      </c>
      <c r="L490" s="179" t="n">
        <v>8812422472</v>
      </c>
    </row>
    <row r="491" ht="15" customHeight="1" s="95">
      <c r="A491" s="143" t="n">
        <v>44320</v>
      </c>
      <c r="B491" s="146" t="n">
        <v>0.999973</v>
      </c>
      <c r="C491" s="179" t="n">
        <v>14645727408</v>
      </c>
      <c r="D491" s="179" t="n">
        <v>14646127280</v>
      </c>
      <c r="E491" s="146" t="n">
        <v>1.00132</v>
      </c>
      <c r="F491" s="179" t="n">
        <v>52331138431</v>
      </c>
      <c r="G491" s="179" t="n">
        <v>52262160808</v>
      </c>
      <c r="H491" s="179">
        <f>IFERROR(D491+G491,D491)</f>
        <v/>
      </c>
      <c r="I491" s="184">
        <f>IFERROR(D491/H491,"")</f>
        <v/>
      </c>
      <c r="J491" s="179" t="n">
        <v>2929225456</v>
      </c>
      <c r="K491" s="179" t="n">
        <v>5858450912</v>
      </c>
      <c r="L491" s="179" t="n">
        <v>8787676368</v>
      </c>
    </row>
    <row r="492" ht="15" customHeight="1" s="95">
      <c r="A492" s="143" t="n">
        <v>44321</v>
      </c>
      <c r="B492" s="146" t="n">
        <v>0.992584</v>
      </c>
      <c r="C492" s="179" t="n">
        <v>14864602401</v>
      </c>
      <c r="D492" s="179" t="n">
        <v>14975664039</v>
      </c>
      <c r="E492" s="146" t="n">
        <v>1.003532</v>
      </c>
      <c r="F492" s="179" t="n">
        <v>52279586920</v>
      </c>
      <c r="G492" s="179" t="n">
        <v>52095600606</v>
      </c>
      <c r="H492" s="179">
        <f>IFERROR(D492+G492,D492)</f>
        <v/>
      </c>
      <c r="I492" s="184">
        <f>IFERROR(D492/H492,"")</f>
        <v/>
      </c>
      <c r="J492" s="179" t="n">
        <v>2995132808</v>
      </c>
      <c r="K492" s="179" t="n">
        <v>5990265616</v>
      </c>
      <c r="L492" s="179" t="n">
        <v>8985398423</v>
      </c>
    </row>
    <row r="493" ht="15" customHeight="1" s="95">
      <c r="A493" s="143" t="n">
        <v>44322</v>
      </c>
      <c r="B493" s="146" t="n">
        <v>1.00045</v>
      </c>
      <c r="C493" s="179" t="n">
        <v>15078309685</v>
      </c>
      <c r="D493" s="179" t="n">
        <v>15071534824</v>
      </c>
      <c r="E493" s="146" t="n">
        <v>0.998492</v>
      </c>
      <c r="F493" s="179" t="n">
        <v>53023829034</v>
      </c>
      <c r="G493" s="179" t="n">
        <v>53103886544</v>
      </c>
      <c r="H493" s="179">
        <f>IFERROR(D493+G493,D493)</f>
        <v/>
      </c>
      <c r="I493" s="184">
        <f>IFERROR(D493/H493,"")</f>
        <v/>
      </c>
      <c r="J493" s="179" t="n">
        <v>3014306965</v>
      </c>
      <c r="K493" s="179" t="n">
        <v>6028613930</v>
      </c>
      <c r="L493" s="179" t="n">
        <v>9042920894</v>
      </c>
    </row>
    <row r="494" ht="15" customHeight="1" s="95">
      <c r="A494" s="143" t="n">
        <v>44323</v>
      </c>
      <c r="B494" s="146" t="n">
        <v>0.9971</v>
      </c>
      <c r="C494" s="179" t="n">
        <v>15095243417</v>
      </c>
      <c r="D494" s="179" t="n">
        <v>15139152108</v>
      </c>
      <c r="E494" s="146" t="n">
        <v>1.000299</v>
      </c>
      <c r="F494" s="179" t="n">
        <v>53739048757</v>
      </c>
      <c r="G494" s="179" t="n">
        <v>53722969032</v>
      </c>
      <c r="H494" s="179">
        <f>IFERROR(D494+G494,D494)</f>
        <v/>
      </c>
      <c r="I494" s="184">
        <f>IFERROR(D494/H494,"")</f>
        <v/>
      </c>
      <c r="J494" s="179" t="n">
        <v>3027830422</v>
      </c>
      <c r="K494" s="179" t="n">
        <v>6055660843</v>
      </c>
      <c r="L494" s="179" t="n">
        <v>9083491265</v>
      </c>
    </row>
    <row r="495" ht="15" customHeight="1" s="95">
      <c r="A495" s="143" t="n">
        <v>44324</v>
      </c>
      <c r="B495" s="146" t="n">
        <v>1.002474</v>
      </c>
      <c r="C495" s="179" t="n">
        <v>15175582508</v>
      </c>
      <c r="D495" s="179" t="n">
        <v>15138128794</v>
      </c>
      <c r="E495" s="146" t="n">
        <v>1.001825</v>
      </c>
      <c r="F495" s="179" t="n">
        <v>54969338625</v>
      </c>
      <c r="G495" s="179" t="n">
        <v>54869185682</v>
      </c>
      <c r="H495" s="179">
        <f>IFERROR(D495+G495,D495)</f>
        <v/>
      </c>
      <c r="I495" s="184">
        <f>IFERROR(D495/H495,"")</f>
        <v/>
      </c>
      <c r="J495" s="179" t="n">
        <v>3027625759</v>
      </c>
      <c r="K495" s="179" t="n">
        <v>6055251518</v>
      </c>
      <c r="L495" s="179" t="n">
        <v>9082877276</v>
      </c>
    </row>
    <row r="496" ht="15" customHeight="1" s="95">
      <c r="A496" s="143" t="n">
        <v>44325</v>
      </c>
      <c r="B496" s="146" t="n">
        <v>1.001277</v>
      </c>
      <c r="C496" s="179" t="n">
        <v>15411075861</v>
      </c>
      <c r="D496" s="179" t="n">
        <v>15391414923</v>
      </c>
      <c r="E496" s="146" t="n">
        <v>0.998844</v>
      </c>
      <c r="F496" s="179" t="n">
        <v>55472173385</v>
      </c>
      <c r="G496" s="179" t="n">
        <v>55536372984</v>
      </c>
      <c r="H496" s="179">
        <f>IFERROR(D496+G496,D496)</f>
        <v/>
      </c>
      <c r="I496" s="184">
        <f>IFERROR(D496/H496,"")</f>
        <v/>
      </c>
      <c r="J496" s="179" t="n">
        <v>3078282985</v>
      </c>
      <c r="K496" s="179" t="n">
        <v>6156565969</v>
      </c>
      <c r="L496" s="179" t="n">
        <v>9234848954</v>
      </c>
    </row>
    <row r="497" ht="15" customHeight="1" s="95">
      <c r="A497" s="143" t="n">
        <v>44326</v>
      </c>
      <c r="B497" s="146" t="n">
        <v>0.99923</v>
      </c>
      <c r="C497" s="179" t="n">
        <v>15685227316</v>
      </c>
      <c r="D497" s="179" t="n">
        <v>15697320182</v>
      </c>
      <c r="E497" s="146" t="n">
        <v>1.001046</v>
      </c>
      <c r="F497" s="179" t="n">
        <v>55793170948</v>
      </c>
      <c r="G497" s="179" t="n">
        <v>55734857386</v>
      </c>
      <c r="H497" s="179">
        <f>IFERROR(D497+G497,D497)</f>
        <v/>
      </c>
      <c r="I497" s="184">
        <f>IFERROR(D497/H497,"")</f>
        <v/>
      </c>
      <c r="J497" s="179" t="n">
        <v>3139464036</v>
      </c>
      <c r="K497" s="179" t="n">
        <v>6278928073</v>
      </c>
      <c r="L497" s="179" t="n">
        <v>9418392109</v>
      </c>
    </row>
    <row r="498" ht="15" customHeight="1" s="95">
      <c r="A498" s="143" t="n">
        <v>44327</v>
      </c>
      <c r="B498" s="146" t="n">
        <v>0.999028</v>
      </c>
      <c r="C498" s="179" t="n">
        <v>15693277010</v>
      </c>
      <c r="D498" s="179" t="n">
        <v>15708549760</v>
      </c>
      <c r="E498" s="146" t="n">
        <v>1.007187</v>
      </c>
      <c r="F498" s="179" t="n">
        <v>56104046205</v>
      </c>
      <c r="G498" s="179" t="n">
        <v>55703693022</v>
      </c>
      <c r="H498" s="179">
        <f>IFERROR(D498+G498,D498)</f>
        <v/>
      </c>
      <c r="I498" s="184">
        <f>IFERROR(D498/H498,"")</f>
        <v/>
      </c>
      <c r="J498" s="179" t="n">
        <v>3141709952</v>
      </c>
      <c r="K498" s="179" t="n">
        <v>6283419904</v>
      </c>
      <c r="L498" s="179" t="n">
        <v>9425129856</v>
      </c>
    </row>
    <row r="499" ht="15" customHeight="1" s="95">
      <c r="A499" s="143" t="n">
        <v>44328</v>
      </c>
      <c r="B499" s="146" t="n">
        <v>1.001801</v>
      </c>
      <c r="C499" s="179" t="n">
        <v>15739931852</v>
      </c>
      <c r="D499" s="179" t="n">
        <v>15711637318</v>
      </c>
      <c r="E499" s="146" t="n">
        <v>1.000726</v>
      </c>
      <c r="F499" s="179" t="n">
        <v>56741107698</v>
      </c>
      <c r="G499" s="179" t="n">
        <v>56699926070</v>
      </c>
      <c r="H499" s="179">
        <f>IFERROR(D499+G499,D499)</f>
        <v/>
      </c>
      <c r="I499" s="184">
        <f>IFERROR(D499/H499,"")</f>
        <v/>
      </c>
      <c r="J499" s="179" t="n">
        <v>3142327464</v>
      </c>
      <c r="K499" s="179" t="n">
        <v>6284654927</v>
      </c>
      <c r="L499" s="179" t="n">
        <v>9426982391</v>
      </c>
    </row>
    <row r="500" ht="15" customHeight="1" s="95">
      <c r="A500" s="143" t="n">
        <v>44329</v>
      </c>
      <c r="B500" s="146" t="n">
        <v>0.992316</v>
      </c>
      <c r="C500" s="179" t="n">
        <v>15720985268</v>
      </c>
      <c r="D500" s="179" t="n">
        <v>15842713486</v>
      </c>
      <c r="E500" s="146" t="n">
        <v>1.003192</v>
      </c>
      <c r="F500" s="179" t="n">
        <v>57651461403</v>
      </c>
      <c r="G500" s="179" t="n">
        <v>57468026069</v>
      </c>
      <c r="H500" s="179">
        <f>IFERROR(D500+G500,D500)</f>
        <v/>
      </c>
      <c r="I500" s="184">
        <f>IFERROR(D500/H500,"")</f>
        <v/>
      </c>
      <c r="J500" s="179" t="n">
        <v>3168542697</v>
      </c>
      <c r="K500" s="179" t="n">
        <v>6337085394</v>
      </c>
      <c r="L500" s="179" t="n">
        <v>9505628092</v>
      </c>
    </row>
    <row r="501" ht="15" customHeight="1" s="95">
      <c r="A501" s="143" t="n">
        <v>44330</v>
      </c>
      <c r="B501" s="146" t="n">
        <v>1.005882</v>
      </c>
      <c r="C501" s="179" t="n">
        <v>16040203996</v>
      </c>
      <c r="D501" s="179" t="n">
        <v>15946406703</v>
      </c>
      <c r="E501" s="146" t="n">
        <v>0.9929829999999999</v>
      </c>
      <c r="F501" s="179" t="n">
        <v>57935084385</v>
      </c>
      <c r="G501" s="179" t="n">
        <v>58344513561</v>
      </c>
      <c r="H501" s="179">
        <f>IFERROR(D501+G501,D501)</f>
        <v/>
      </c>
      <c r="I501" s="184">
        <f>IFERROR(D501/H501,"")</f>
        <v/>
      </c>
      <c r="J501" s="179" t="n">
        <v>3189281341</v>
      </c>
      <c r="K501" s="179" t="n">
        <v>6378562681</v>
      </c>
      <c r="L501" s="179" t="n">
        <v>9567844022</v>
      </c>
    </row>
    <row r="502" ht="15" customHeight="1" s="95">
      <c r="A502" s="143" t="n">
        <v>44331</v>
      </c>
      <c r="B502" s="146" t="n">
        <v>1.00008</v>
      </c>
      <c r="C502" s="179" t="n">
        <v>16300886623</v>
      </c>
      <c r="D502" s="179" t="n">
        <v>16299582218</v>
      </c>
      <c r="E502" s="146" t="n">
        <v>0.998631</v>
      </c>
      <c r="F502" s="179" t="n">
        <v>58027326444</v>
      </c>
      <c r="G502" s="179" t="n">
        <v>58106851857</v>
      </c>
      <c r="H502" s="179">
        <f>IFERROR(D502+G502,D502)</f>
        <v/>
      </c>
      <c r="I502" s="184">
        <f>IFERROR(D502/H502,"")</f>
        <v/>
      </c>
      <c r="J502" s="179" t="n">
        <v>3259916444</v>
      </c>
      <c r="K502" s="179" t="n">
        <v>6519832887</v>
      </c>
      <c r="L502" s="179" t="n">
        <v>9779749331</v>
      </c>
    </row>
    <row r="503" ht="15" customHeight="1" s="95">
      <c r="A503" s="143" t="n">
        <v>44332</v>
      </c>
      <c r="B503" s="146" t="n">
        <v>1.004759</v>
      </c>
      <c r="C503" s="179" t="n">
        <v>16506100925</v>
      </c>
      <c r="D503" s="179" t="n">
        <v>16427923560</v>
      </c>
      <c r="E503" s="146" t="n">
        <v>0.995134</v>
      </c>
      <c r="F503" s="179" t="n">
        <v>58377161526</v>
      </c>
      <c r="G503" s="179" t="n">
        <v>58662625398</v>
      </c>
      <c r="H503" s="179">
        <f>IFERROR(D503+G503,D503)</f>
        <v/>
      </c>
      <c r="I503" s="184">
        <f>IFERROR(D503/H503,"")</f>
        <v/>
      </c>
      <c r="J503" s="179" t="n">
        <v>3285584712</v>
      </c>
      <c r="K503" s="179" t="n">
        <v>6571169424</v>
      </c>
      <c r="L503" s="179" t="n">
        <v>9856754136</v>
      </c>
    </row>
    <row r="504" ht="15" customHeight="1" s="95">
      <c r="A504" s="143" t="n">
        <v>44333</v>
      </c>
      <c r="B504" s="146" t="n">
        <v>1.010989</v>
      </c>
      <c r="C504" s="179" t="n">
        <v>16551787203</v>
      </c>
      <c r="D504" s="179" t="n">
        <v>16371881003</v>
      </c>
      <c r="E504" s="146" t="n">
        <v>0.997647</v>
      </c>
      <c r="F504" s="179" t="n">
        <v>58715150844</v>
      </c>
      <c r="G504" s="179" t="n">
        <v>58853659520</v>
      </c>
      <c r="H504" s="179">
        <f>IFERROR(D504+G504,D504)</f>
        <v/>
      </c>
      <c r="I504" s="184">
        <f>IFERROR(D504/H504,"")</f>
        <v/>
      </c>
      <c r="J504" s="179" t="n">
        <v>3274376201</v>
      </c>
      <c r="K504" s="179" t="n">
        <v>6548752401</v>
      </c>
      <c r="L504" s="179" t="n">
        <v>9823128602</v>
      </c>
    </row>
    <row r="505" ht="15" customHeight="1" s="95">
      <c r="A505" s="143" t="n">
        <v>44334</v>
      </c>
      <c r="B505" s="146" t="n">
        <v>1.001588</v>
      </c>
      <c r="C505" s="179" t="n">
        <v>17010869514</v>
      </c>
      <c r="D505" s="179" t="n">
        <v>16983897544</v>
      </c>
      <c r="E505" s="146" t="n">
        <v>1.005935</v>
      </c>
      <c r="F505" s="179" t="n">
        <v>58391640940</v>
      </c>
      <c r="G505" s="179" t="n">
        <v>58047145549</v>
      </c>
      <c r="H505" s="179">
        <f>IFERROR(D505+G505,D505)</f>
        <v/>
      </c>
      <c r="I505" s="184">
        <f>IFERROR(D505/H505,"")</f>
        <v/>
      </c>
      <c r="J505" s="179" t="n">
        <v>3396779509</v>
      </c>
      <c r="K505" s="179" t="n">
        <v>6793559018</v>
      </c>
      <c r="L505" s="179" t="n">
        <v>10190338526</v>
      </c>
    </row>
    <row r="506" ht="15" customHeight="1" s="95">
      <c r="A506" s="143" t="n">
        <v>44335</v>
      </c>
      <c r="B506" s="146" t="n">
        <v>1.00172</v>
      </c>
      <c r="C506" s="179" t="n">
        <v>17015755724</v>
      </c>
      <c r="D506" s="179" t="n">
        <v>16986540373</v>
      </c>
      <c r="E506" s="146" t="n">
        <v>0.997027</v>
      </c>
      <c r="F506" s="179" t="n">
        <v>58284037564</v>
      </c>
      <c r="G506" s="179" t="n">
        <v>58457854629</v>
      </c>
      <c r="H506" s="179">
        <f>IFERROR(D506+G506,D506)</f>
        <v/>
      </c>
      <c r="I506" s="184">
        <f>IFERROR(D506/H506,"")</f>
        <v/>
      </c>
      <c r="J506" s="179" t="n">
        <v>3397308075</v>
      </c>
      <c r="K506" s="179" t="n">
        <v>6794616149</v>
      </c>
      <c r="L506" s="179" t="n">
        <v>10191924224</v>
      </c>
    </row>
    <row r="507" ht="15" customHeight="1" s="95">
      <c r="A507" s="143" t="n">
        <v>44336</v>
      </c>
      <c r="B507" s="146" t="n">
        <v>0.996687</v>
      </c>
      <c r="C507" s="179" t="n">
        <v>17448183840</v>
      </c>
      <c r="D507" s="179" t="n">
        <v>17506189950</v>
      </c>
      <c r="E507" s="146" t="n">
        <v>0.994191</v>
      </c>
      <c r="F507" s="179" t="n">
        <v>58182230212</v>
      </c>
      <c r="G507" s="179" t="n">
        <v>58522211977</v>
      </c>
      <c r="H507" s="179">
        <f>IFERROR(D507+G507,D507)</f>
        <v/>
      </c>
      <c r="I507" s="184">
        <f>IFERROR(D507/H507,"")</f>
        <v/>
      </c>
      <c r="J507" s="179" t="n">
        <v>3501237990</v>
      </c>
      <c r="K507" s="179" t="n">
        <v>7002475980</v>
      </c>
      <c r="L507" s="179" t="n">
        <v>10503713970</v>
      </c>
    </row>
    <row r="508" ht="15" customHeight="1" s="95">
      <c r="A508" s="143" t="n">
        <v>44337</v>
      </c>
      <c r="B508" s="146" t="n">
        <v>0.99409</v>
      </c>
      <c r="C508" s="179" t="n">
        <v>18304414336</v>
      </c>
      <c r="D508" s="179" t="n">
        <v>18413243159</v>
      </c>
      <c r="E508" s="146" t="n">
        <v>1.004577</v>
      </c>
      <c r="F508" s="179" t="n">
        <v>58467894310</v>
      </c>
      <c r="G508" s="179" t="n">
        <v>58201511439</v>
      </c>
      <c r="H508" s="179">
        <f>IFERROR(D508+G508,D508)</f>
        <v/>
      </c>
      <c r="I508" s="184">
        <f>IFERROR(D508/H508,"")</f>
        <v/>
      </c>
      <c r="J508" s="179" t="n">
        <v>3682648632</v>
      </c>
      <c r="K508" s="179" t="n">
        <v>7365297264</v>
      </c>
      <c r="L508" s="179" t="n">
        <v>11047945895</v>
      </c>
    </row>
    <row r="509" ht="15" customHeight="1" s="95">
      <c r="A509" s="143" t="n">
        <v>44338</v>
      </c>
      <c r="B509" s="146" t="n">
        <v>0.997098</v>
      </c>
      <c r="C509" s="179" t="n">
        <v>19503925133</v>
      </c>
      <c r="D509" s="179" t="n">
        <v>19560694659</v>
      </c>
      <c r="E509" s="146" t="n">
        <v>0.998897</v>
      </c>
      <c r="F509" s="179" t="n">
        <v>58629178479</v>
      </c>
      <c r="G509" s="179" t="n">
        <v>58693889673</v>
      </c>
      <c r="H509" s="179">
        <f>IFERROR(D509+G509,D509)</f>
        <v/>
      </c>
      <c r="I509" s="184">
        <f>IFERROR(D509/H509,"")</f>
        <v/>
      </c>
      <c r="J509" s="179" t="n">
        <v>3912138932</v>
      </c>
      <c r="K509" s="179" t="n">
        <v>7824277864</v>
      </c>
      <c r="L509" s="179" t="n">
        <v>11736416795</v>
      </c>
    </row>
    <row r="510" ht="15" customHeight="1" s="95">
      <c r="A510" s="143" t="n">
        <v>44339</v>
      </c>
      <c r="B510" s="146" t="n">
        <v>0.998093</v>
      </c>
      <c r="C510" s="179" t="n">
        <v>19863377445</v>
      </c>
      <c r="D510" s="179" t="n">
        <v>19901333849</v>
      </c>
      <c r="E510" s="146" t="n">
        <v>1.00287</v>
      </c>
      <c r="F510" s="179" t="n">
        <v>59767412543</v>
      </c>
      <c r="G510" s="179" t="n">
        <v>59596392311</v>
      </c>
      <c r="H510" s="179">
        <f>IFERROR(D510+G510,D510)</f>
        <v/>
      </c>
      <c r="I510" s="184">
        <f>IFERROR(D510/H510,"")</f>
        <v/>
      </c>
      <c r="J510" s="179" t="n">
        <v>3980266770</v>
      </c>
      <c r="K510" s="179" t="n">
        <v>7960533540</v>
      </c>
      <c r="L510" s="179" t="n">
        <v>11940800309</v>
      </c>
    </row>
    <row r="511" ht="15" customHeight="1" s="95">
      <c r="A511" s="143" t="n">
        <v>44340</v>
      </c>
      <c r="B511" s="146" t="n">
        <v>0.9998</v>
      </c>
      <c r="C511" s="179" t="n">
        <v>20479394910</v>
      </c>
      <c r="D511" s="179" t="n">
        <v>20483496751</v>
      </c>
      <c r="E511" s="146" t="n">
        <v>1.001365</v>
      </c>
      <c r="F511" s="179" t="n">
        <v>59697759251</v>
      </c>
      <c r="G511" s="179" t="n">
        <v>59616392311</v>
      </c>
      <c r="H511" s="179">
        <f>IFERROR(D511+G511,D511)</f>
        <v/>
      </c>
      <c r="I511" s="184">
        <f>IFERROR(D511/H511,"")</f>
        <v/>
      </c>
      <c r="J511" s="179" t="n">
        <v>4096699350</v>
      </c>
      <c r="K511" s="179" t="n">
        <v>8193398700</v>
      </c>
      <c r="L511" s="179" t="n">
        <v>12290098051</v>
      </c>
    </row>
    <row r="512" ht="15" customHeight="1" s="95">
      <c r="A512" s="143" t="n">
        <v>44341</v>
      </c>
      <c r="B512" s="146" t="n">
        <v>1.00031</v>
      </c>
      <c r="C512" s="179" t="n">
        <v>20822322852</v>
      </c>
      <c r="D512" s="179" t="n">
        <v>20815866490</v>
      </c>
      <c r="E512" s="146" t="n">
        <v>1.003081</v>
      </c>
      <c r="F512" s="179" t="n">
        <v>59790210429</v>
      </c>
      <c r="G512" s="179" t="n">
        <v>59606572625</v>
      </c>
      <c r="H512" s="179">
        <f>IFERROR(D512+G512,D512)</f>
        <v/>
      </c>
      <c r="I512" s="184">
        <f>IFERROR(D512/H512,"")</f>
        <v/>
      </c>
      <c r="J512" s="179" t="n">
        <v>4163173298</v>
      </c>
      <c r="K512" s="179" t="n">
        <v>8326346596</v>
      </c>
      <c r="L512" s="179" t="n">
        <v>12489519894</v>
      </c>
    </row>
    <row r="513" ht="15" customHeight="1" s="95">
      <c r="A513" s="143" t="n">
        <v>44342</v>
      </c>
      <c r="B513" s="146" t="n">
        <v>0.999217</v>
      </c>
      <c r="C513" s="179" t="n">
        <v>20894350190</v>
      </c>
      <c r="D513" s="179" t="n">
        <v>20910712944</v>
      </c>
      <c r="E513" s="146" t="n">
        <v>1.00116</v>
      </c>
      <c r="F513" s="179" t="n">
        <v>60307482210</v>
      </c>
      <c r="G513" s="179" t="n">
        <v>60237608886</v>
      </c>
      <c r="H513" s="179">
        <f>IFERROR(D513+G513,D513)</f>
        <v/>
      </c>
      <c r="I513" s="184">
        <f>IFERROR(D513/H513,"")</f>
        <v/>
      </c>
      <c r="J513" s="179" t="n">
        <v>4182142589</v>
      </c>
      <c r="K513" s="179" t="n">
        <v>8364285178</v>
      </c>
      <c r="L513" s="179" t="n">
        <v>12546427766</v>
      </c>
    </row>
    <row r="514" ht="15" customHeight="1" s="95">
      <c r="A514" s="143" t="n">
        <v>44343</v>
      </c>
      <c r="B514" s="146" t="n">
        <v>0.999699</v>
      </c>
      <c r="C514" s="179" t="n">
        <v>21629088335</v>
      </c>
      <c r="D514" s="179" t="n">
        <v>21635592314</v>
      </c>
      <c r="E514" s="146" t="n">
        <v>0.99931</v>
      </c>
      <c r="F514" s="179" t="n">
        <v>60846903800</v>
      </c>
      <c r="G514" s="179" t="n">
        <v>60888893965</v>
      </c>
      <c r="H514" s="179">
        <f>IFERROR(D514+G514,D514)</f>
        <v/>
      </c>
      <c r="I514" s="184">
        <f>IFERROR(D514/H514,"")</f>
        <v/>
      </c>
      <c r="J514" s="179" t="n">
        <v>4327118463</v>
      </c>
      <c r="K514" s="179" t="n">
        <v>8654236926</v>
      </c>
      <c r="L514" s="179" t="n">
        <v>12981355388</v>
      </c>
    </row>
    <row r="515" ht="15" customHeight="1" s="95">
      <c r="A515" s="143" t="n">
        <v>44344</v>
      </c>
      <c r="B515" s="146" t="n">
        <v>1.000133</v>
      </c>
      <c r="C515" s="179" t="n">
        <v>22028910595</v>
      </c>
      <c r="D515" s="179" t="n">
        <v>22025974844</v>
      </c>
      <c r="E515" s="146" t="n">
        <v>0.9992760000000001</v>
      </c>
      <c r="F515" s="179" t="n">
        <v>61056295404</v>
      </c>
      <c r="G515" s="179" t="n">
        <v>61100548813</v>
      </c>
      <c r="H515" s="179">
        <f>IFERROR(D515+G515,D515)</f>
        <v/>
      </c>
      <c r="I515" s="184">
        <f>IFERROR(D515/H515,"")</f>
        <v/>
      </c>
      <c r="J515" s="179" t="n">
        <v>4405194969</v>
      </c>
      <c r="K515" s="179" t="n">
        <v>8810389938</v>
      </c>
      <c r="L515" s="179" t="n">
        <v>13215584906</v>
      </c>
    </row>
    <row r="516" ht="15" customHeight="1" s="95">
      <c r="A516" s="143" t="n">
        <v>44345</v>
      </c>
      <c r="B516" s="146" t="n">
        <v>1.005651</v>
      </c>
      <c r="C516" s="179" t="n">
        <v>22237952997</v>
      </c>
      <c r="D516" s="179" t="n">
        <v>22112986114</v>
      </c>
      <c r="E516" s="146" t="n">
        <v>1.000631</v>
      </c>
      <c r="F516" s="179" t="n">
        <v>61346578032</v>
      </c>
      <c r="G516" s="179" t="n">
        <v>61307908286</v>
      </c>
      <c r="H516" s="179">
        <f>IFERROR(D516+G516,D516)</f>
        <v/>
      </c>
      <c r="I516" s="184">
        <f>IFERROR(D516/H516,"")</f>
        <v/>
      </c>
      <c r="J516" s="179" t="n">
        <v>4422597223</v>
      </c>
      <c r="K516" s="179" t="n">
        <v>8845194446</v>
      </c>
      <c r="L516" s="179" t="n">
        <v>13267791668</v>
      </c>
    </row>
    <row r="517" ht="15" customHeight="1" s="95">
      <c r="A517" s="143" t="n">
        <v>44346</v>
      </c>
      <c r="B517" s="146" t="n">
        <v>0.9962839999999999</v>
      </c>
      <c r="C517" s="179" t="n">
        <v>22197384368</v>
      </c>
      <c r="D517" s="179" t="n">
        <v>22280169071</v>
      </c>
      <c r="E517" s="146" t="n">
        <v>0.999162</v>
      </c>
      <c r="F517" s="179" t="n">
        <v>61416977214</v>
      </c>
      <c r="G517" s="179" t="n">
        <v>61468512422</v>
      </c>
      <c r="H517" s="179">
        <f>IFERROR(D517+G517,D517)</f>
        <v/>
      </c>
      <c r="I517" s="184">
        <f>IFERROR(D517/H517,"")</f>
        <v/>
      </c>
      <c r="J517" s="179" t="n">
        <v>4456033814</v>
      </c>
      <c r="K517" s="179" t="n">
        <v>8912067628</v>
      </c>
      <c r="L517" s="179" t="n">
        <v>13368101443</v>
      </c>
    </row>
    <row r="518" ht="15" customHeight="1" s="95">
      <c r="A518" s="143" t="n">
        <v>44347</v>
      </c>
      <c r="B518" s="146" t="n">
        <v>1.000435</v>
      </c>
      <c r="C518" s="179" t="n">
        <v>22426127684</v>
      </c>
      <c r="D518" s="179" t="n">
        <v>22416378194</v>
      </c>
      <c r="E518" s="146" t="n">
        <v>0.998049</v>
      </c>
      <c r="F518" s="179" t="n">
        <v>61799686628</v>
      </c>
      <c r="G518" s="179" t="n">
        <v>61920512422</v>
      </c>
      <c r="H518" s="179">
        <f>IFERROR(D518+G518,D518)</f>
        <v/>
      </c>
      <c r="I518" s="184">
        <f>IFERROR(D518/H518,"")</f>
        <v/>
      </c>
      <c r="J518" s="179" t="n">
        <v>4483275639</v>
      </c>
      <c r="K518" s="179" t="n">
        <v>8966551278</v>
      </c>
      <c r="L518" s="179" t="n">
        <v>13449826916</v>
      </c>
    </row>
    <row r="519" ht="15" customHeight="1" s="95">
      <c r="A519" s="143" t="n">
        <v>44348</v>
      </c>
      <c r="B519" s="146" t="n">
        <v>1.001729</v>
      </c>
      <c r="C519" s="179" t="n">
        <v>22704685390</v>
      </c>
      <c r="D519" s="179" t="n">
        <v>22665505725</v>
      </c>
      <c r="E519" s="146" t="n">
        <v>0.99755</v>
      </c>
      <c r="F519" s="179" t="n">
        <v>61813544731</v>
      </c>
      <c r="G519" s="179" t="n">
        <v>61965336597</v>
      </c>
      <c r="H519" s="179">
        <f>IFERROR(D519+G519,D519)</f>
        <v/>
      </c>
      <c r="I519" s="184">
        <f>IFERROR(D519/H519,"")</f>
        <v/>
      </c>
      <c r="J519" s="179" t="n">
        <v>4533101145</v>
      </c>
      <c r="K519" s="179" t="n">
        <v>9066202290</v>
      </c>
      <c r="L519" s="179" t="n">
        <v>13599303435</v>
      </c>
    </row>
    <row r="520" ht="15" customHeight="1" s="95">
      <c r="A520" s="143" t="n">
        <v>44349</v>
      </c>
      <c r="B520" s="146" t="n">
        <v>1.000691</v>
      </c>
      <c r="C520" s="179" t="n">
        <v>22715036496</v>
      </c>
      <c r="D520" s="179" t="n">
        <v>22699340272</v>
      </c>
      <c r="E520" s="146" t="n">
        <v>1.002337</v>
      </c>
      <c r="F520" s="179" t="n">
        <v>62110159632</v>
      </c>
      <c r="G520" s="179" t="n">
        <v>61965336597</v>
      </c>
      <c r="H520" s="179">
        <f>IFERROR(D520+G520,D520)</f>
        <v/>
      </c>
      <c r="I520" s="184">
        <f>IFERROR(D520/H520,"")</f>
        <v/>
      </c>
      <c r="J520" s="179" t="n">
        <v>4539868054</v>
      </c>
      <c r="K520" s="179" t="n">
        <v>9079736109</v>
      </c>
      <c r="L520" s="179" t="n">
        <v>13619604163</v>
      </c>
    </row>
    <row r="521" ht="15" customHeight="1" s="95">
      <c r="A521" s="143" t="n">
        <v>44350</v>
      </c>
      <c r="B521" s="146" t="n">
        <v>0.998067</v>
      </c>
      <c r="C521" s="179" t="n">
        <v>22759949916</v>
      </c>
      <c r="D521" s="179" t="n">
        <v>22804024848</v>
      </c>
      <c r="E521" s="146" t="n">
        <v>0.9994729999999999</v>
      </c>
      <c r="F521" s="179" t="n">
        <v>61905332784</v>
      </c>
      <c r="G521" s="179" t="n">
        <v>61937990296</v>
      </c>
      <c r="H521" s="179">
        <f>IFERROR(D521+G521,D521)</f>
        <v/>
      </c>
      <c r="I521" s="184">
        <f>IFERROR(D521/H521,"")</f>
        <v/>
      </c>
      <c r="J521" s="179" t="n">
        <v>4560804970</v>
      </c>
      <c r="K521" s="179" t="n">
        <v>9121609939</v>
      </c>
      <c r="L521" s="179" t="n">
        <v>13682414909</v>
      </c>
    </row>
    <row r="522" ht="15" customHeight="1" s="95">
      <c r="A522" s="143" t="n">
        <v>44351</v>
      </c>
      <c r="B522" s="146" t="n">
        <v>1.002763</v>
      </c>
      <c r="C522" s="179" t="n">
        <v>22905883547</v>
      </c>
      <c r="D522" s="179" t="n">
        <v>22842764290</v>
      </c>
      <c r="E522" s="146" t="n">
        <v>1.000329</v>
      </c>
      <c r="F522" s="179" t="n">
        <v>61834495647</v>
      </c>
      <c r="G522" s="179" t="n">
        <v>61814160100</v>
      </c>
      <c r="H522" s="179">
        <f>IFERROR(D522+G522,D522)</f>
        <v/>
      </c>
      <c r="I522" s="184">
        <f>IFERROR(D522/H522,"")</f>
        <v/>
      </c>
      <c r="J522" s="179" t="n">
        <v>4568552858</v>
      </c>
      <c r="K522" s="179" t="n">
        <v>9137105716</v>
      </c>
      <c r="L522" s="179" t="n">
        <v>13705658574</v>
      </c>
    </row>
    <row r="523" ht="15" customHeight="1" s="95">
      <c r="A523" s="143" t="n">
        <v>44352</v>
      </c>
      <c r="B523" s="146" t="n">
        <v>1.000312</v>
      </c>
      <c r="C523" s="179" t="n">
        <v>22915441530</v>
      </c>
      <c r="D523" s="179" t="n">
        <v>22908292846</v>
      </c>
      <c r="E523" s="146" t="n">
        <v>1.000645</v>
      </c>
      <c r="F523" s="179" t="n">
        <v>62160346215</v>
      </c>
      <c r="G523" s="179" t="n">
        <v>62120258207</v>
      </c>
      <c r="H523" s="179">
        <f>IFERROR(D523+G523,D523)</f>
        <v/>
      </c>
      <c r="I523" s="184">
        <f>IFERROR(D523/H523,"")</f>
        <v/>
      </c>
      <c r="J523" s="179" t="n">
        <v>4581658569</v>
      </c>
      <c r="K523" s="179" t="n">
        <v>9163317138</v>
      </c>
      <c r="L523" s="179" t="n">
        <v>13744975708</v>
      </c>
    </row>
    <row r="524" ht="15" customHeight="1" s="95">
      <c r="A524" s="143" t="n">
        <v>44353</v>
      </c>
      <c r="B524" s="146" t="n">
        <v>1.001757</v>
      </c>
      <c r="C524" s="179" t="n">
        <v>22938639641</v>
      </c>
      <c r="D524" s="179" t="n">
        <v>22898417415</v>
      </c>
      <c r="E524" s="146" t="n">
        <v>1.001009</v>
      </c>
      <c r="F524" s="179" t="n">
        <v>62319635037</v>
      </c>
      <c r="G524" s="179" t="n">
        <v>62256836176</v>
      </c>
      <c r="H524" s="179">
        <f>IFERROR(D524+G524,D524)</f>
        <v/>
      </c>
      <c r="I524" s="184">
        <f>IFERROR(D524/H524,"")</f>
        <v/>
      </c>
      <c r="J524" s="179" t="n">
        <v>4579683483</v>
      </c>
      <c r="K524" s="179" t="n">
        <v>9159366966</v>
      </c>
      <c r="L524" s="179" t="n">
        <v>13739050449</v>
      </c>
    </row>
    <row r="525" ht="15" customHeight="1" s="95">
      <c r="A525" s="143" t="n">
        <v>44354</v>
      </c>
      <c r="B525" s="146" t="n">
        <v>1.003415</v>
      </c>
      <c r="C525" s="179" t="n">
        <v>23073263172</v>
      </c>
      <c r="D525" s="179" t="n">
        <v>22994735997</v>
      </c>
      <c r="E525" s="146" t="n">
        <v>1.002578</v>
      </c>
      <c r="F525" s="179" t="n">
        <v>62589210931</v>
      </c>
      <c r="G525" s="179" t="n">
        <v>62428256309</v>
      </c>
      <c r="H525" s="179">
        <f>IFERROR(D525+G525,D525)</f>
        <v/>
      </c>
      <c r="I525" s="184">
        <f>IFERROR(D525/H525,"")</f>
        <v/>
      </c>
      <c r="J525" s="179" t="n">
        <v>4598947199</v>
      </c>
      <c r="K525" s="179" t="n">
        <v>9197894399</v>
      </c>
      <c r="L525" s="179" t="n">
        <v>13796841598</v>
      </c>
    </row>
    <row r="526" ht="15" customHeight="1" s="95">
      <c r="A526" s="143" t="n">
        <v>44355</v>
      </c>
      <c r="B526" s="146" t="n">
        <v>0.99939</v>
      </c>
      <c r="C526" s="179" t="n">
        <v>23082064115</v>
      </c>
      <c r="D526" s="179" t="n">
        <v>23096156180</v>
      </c>
      <c r="E526" s="146" t="n">
        <v>1.000276</v>
      </c>
      <c r="F526" s="179" t="n">
        <v>62445503052</v>
      </c>
      <c r="G526" s="179" t="n">
        <v>62428256309</v>
      </c>
      <c r="H526" s="179">
        <f>IFERROR(D526+G526,D526)</f>
        <v/>
      </c>
      <c r="I526" s="184">
        <f>IFERROR(D526/H526,"")</f>
        <v/>
      </c>
      <c r="J526" s="179" t="n">
        <v>4619231236</v>
      </c>
      <c r="K526" s="179" t="n">
        <v>9238462472</v>
      </c>
      <c r="L526" s="179" t="n">
        <v>13857693708</v>
      </c>
    </row>
    <row r="527" ht="15" customHeight="1" s="95">
      <c r="A527" s="143" t="n">
        <v>44356</v>
      </c>
      <c r="B527" s="146" t="n">
        <v>1.002264</v>
      </c>
      <c r="C527" s="179" t="n">
        <v>23200615748</v>
      </c>
      <c r="D527" s="179" t="n">
        <v>23148199623</v>
      </c>
      <c r="E527" s="146" t="n">
        <v>1.002423</v>
      </c>
      <c r="F527" s="179" t="n">
        <v>62613679392</v>
      </c>
      <c r="G527" s="179" t="n">
        <v>62462356309</v>
      </c>
      <c r="H527" s="179">
        <f>IFERROR(D527+G527,D527)</f>
        <v/>
      </c>
      <c r="I527" s="184">
        <f>IFERROR(D527/H527,"")</f>
        <v/>
      </c>
      <c r="J527" s="179" t="n">
        <v>4629639925</v>
      </c>
      <c r="K527" s="179" t="n">
        <v>9259279849</v>
      </c>
      <c r="L527" s="179" t="n">
        <v>13888919774</v>
      </c>
    </row>
    <row r="528" ht="15" customHeight="1" s="95">
      <c r="A528" s="143" t="n">
        <v>44357</v>
      </c>
      <c r="B528" s="146" t="n">
        <v>1.001701</v>
      </c>
      <c r="C528" s="179" t="n">
        <v>23358653521</v>
      </c>
      <c r="D528" s="179" t="n">
        <v>23318995532</v>
      </c>
      <c r="E528" s="146" t="n">
        <v>1.001749</v>
      </c>
      <c r="F528" s="179" t="n">
        <v>62667272867</v>
      </c>
      <c r="G528" s="179" t="n">
        <v>62557853482</v>
      </c>
      <c r="H528" s="179">
        <f>IFERROR(D528+G528,D528)</f>
        <v/>
      </c>
      <c r="I528" s="184">
        <f>IFERROR(D528/H528,"")</f>
        <v/>
      </c>
      <c r="J528" s="179" t="n">
        <v>4663799106</v>
      </c>
      <c r="K528" s="179" t="n">
        <v>9327598213</v>
      </c>
      <c r="L528" s="179" t="n">
        <v>13991397319</v>
      </c>
    </row>
    <row r="529" ht="15" customHeight="1" s="95">
      <c r="A529" s="143" t="n">
        <v>44358</v>
      </c>
      <c r="B529" s="146" t="n">
        <v>1.000655</v>
      </c>
      <c r="C529" s="179" t="n">
        <v>23237329690</v>
      </c>
      <c r="D529" s="179" t="n">
        <v>23222122742</v>
      </c>
      <c r="E529" s="146" t="n">
        <v>1.003981</v>
      </c>
      <c r="F529" s="179" t="n">
        <v>63018063098</v>
      </c>
      <c r="G529" s="179" t="n">
        <v>62768183482</v>
      </c>
      <c r="H529" s="179">
        <f>IFERROR(D529+G529,D529)</f>
        <v/>
      </c>
      <c r="I529" s="184">
        <f>IFERROR(D529/H529,"")</f>
        <v/>
      </c>
      <c r="J529" s="179" t="n">
        <v>4644424548</v>
      </c>
      <c r="K529" s="179" t="n">
        <v>9288849097</v>
      </c>
      <c r="L529" s="179" t="n">
        <v>13933273645</v>
      </c>
    </row>
    <row r="530" ht="15" customHeight="1" s="95">
      <c r="A530" s="143" t="n">
        <v>44359</v>
      </c>
      <c r="B530" s="146" t="n">
        <v>1.000396</v>
      </c>
      <c r="C530" s="179" t="n">
        <v>23485819485</v>
      </c>
      <c r="D530" s="179" t="n">
        <v>23476521558</v>
      </c>
      <c r="E530" s="146" t="n">
        <v>1.000683</v>
      </c>
      <c r="F530" s="179" t="n">
        <v>62813263302</v>
      </c>
      <c r="G530" s="179" t="n">
        <v>62770383782</v>
      </c>
      <c r="H530" s="179">
        <f>IFERROR(D530+G530,D530)</f>
        <v/>
      </c>
      <c r="I530" s="184">
        <f>IFERROR(D530/H530,"")</f>
        <v/>
      </c>
      <c r="J530" s="179" t="n">
        <v>4695304312</v>
      </c>
      <c r="K530" s="179" t="n">
        <v>9390608623</v>
      </c>
      <c r="L530" s="179" t="n">
        <v>14085912935</v>
      </c>
    </row>
    <row r="531" ht="15" customHeight="1" s="95">
      <c r="A531" s="143" t="n">
        <v>44360</v>
      </c>
      <c r="B531" s="146" t="n">
        <v>1.000028</v>
      </c>
      <c r="C531" s="179" t="n">
        <v>23644275383</v>
      </c>
      <c r="D531" s="179" t="n">
        <v>23643610201</v>
      </c>
      <c r="E531" s="146" t="n">
        <v>1.004269</v>
      </c>
      <c r="F531" s="179" t="n">
        <v>63041668654</v>
      </c>
      <c r="G531" s="179" t="n">
        <v>62773702463</v>
      </c>
      <c r="H531" s="179">
        <f>IFERROR(D531+G531,D531)</f>
        <v/>
      </c>
      <c r="I531" s="184">
        <f>IFERROR(D531/H531,"")</f>
        <v/>
      </c>
      <c r="J531" s="179" t="n">
        <v>4728722040</v>
      </c>
      <c r="K531" s="179" t="n">
        <v>9457444080</v>
      </c>
      <c r="L531" s="179" t="n">
        <v>14186166121</v>
      </c>
    </row>
    <row r="532" ht="15" customHeight="1" s="95">
      <c r="A532" s="143" t="n">
        <v>44361</v>
      </c>
      <c r="B532" s="146" t="n">
        <v>1.006797</v>
      </c>
      <c r="C532" s="179" t="n">
        <v>23762953484</v>
      </c>
      <c r="D532" s="179" t="n">
        <v>23602516339</v>
      </c>
      <c r="E532" s="146" t="n">
        <v>0.999425</v>
      </c>
      <c r="F532" s="179" t="n">
        <v>62737616333</v>
      </c>
      <c r="G532" s="179" t="n">
        <v>62773702463</v>
      </c>
      <c r="H532" s="179">
        <f>IFERROR(D532+G532,D532)</f>
        <v/>
      </c>
      <c r="I532" s="184">
        <f>IFERROR(D532/H532,"")</f>
        <v/>
      </c>
      <c r="J532" s="179" t="n">
        <v>4720503268</v>
      </c>
      <c r="K532" s="179" t="n">
        <v>9441006536</v>
      </c>
      <c r="L532" s="179" t="n">
        <v>14161509803</v>
      </c>
    </row>
    <row r="533" ht="15" customHeight="1" s="95">
      <c r="A533" s="143" t="n">
        <v>44362</v>
      </c>
      <c r="B533" s="146" t="n">
        <v>1.005351</v>
      </c>
      <c r="C533" s="179" t="n">
        <v>23860101075</v>
      </c>
      <c r="D533" s="179" t="n">
        <v>23733108426</v>
      </c>
      <c r="E533" s="146" t="n">
        <v>1.001119</v>
      </c>
      <c r="F533" s="179" t="n">
        <v>62843943664</v>
      </c>
      <c r="G533" s="179" t="n">
        <v>62773702463</v>
      </c>
      <c r="H533" s="179">
        <f>IFERROR(D533+G533,D533)</f>
        <v/>
      </c>
      <c r="I533" s="184">
        <f>IFERROR(D533/H533,"")</f>
        <v/>
      </c>
      <c r="J533" s="179" t="n">
        <v>4746621685</v>
      </c>
      <c r="K533" s="179" t="n">
        <v>9493243370</v>
      </c>
      <c r="L533" s="179" t="n">
        <v>14239865056</v>
      </c>
    </row>
    <row r="534" ht="15" customHeight="1" s="95">
      <c r="A534" s="143" t="n">
        <v>44363</v>
      </c>
      <c r="B534" s="146" t="n">
        <v>1.003058</v>
      </c>
      <c r="C534" s="179" t="n">
        <v>23903919117</v>
      </c>
      <c r="D534" s="179" t="n">
        <v>23831046342</v>
      </c>
      <c r="E534" s="146" t="n">
        <v>1.002882</v>
      </c>
      <c r="F534" s="179" t="n">
        <v>62955531640</v>
      </c>
      <c r="G534" s="179" t="n">
        <v>62774622898</v>
      </c>
      <c r="H534" s="179">
        <f>IFERROR(D534+G534,D534)</f>
        <v/>
      </c>
      <c r="I534" s="184">
        <f>IFERROR(D534/H534,"")</f>
        <v/>
      </c>
      <c r="J534" s="179" t="n">
        <v>4766209268</v>
      </c>
      <c r="K534" s="179" t="n">
        <v>9532418537</v>
      </c>
      <c r="L534" s="179" t="n">
        <v>14298627805</v>
      </c>
    </row>
    <row r="535" ht="15" customHeight="1" s="95">
      <c r="A535" s="143" t="n">
        <v>44364</v>
      </c>
      <c r="B535" s="146" t="n">
        <v>1.00057</v>
      </c>
      <c r="C535" s="179" t="n">
        <v>23802115379</v>
      </c>
      <c r="D535" s="179" t="n">
        <v>23788551003</v>
      </c>
      <c r="E535" s="146" t="n">
        <v>0.998502</v>
      </c>
      <c r="F535" s="179" t="n">
        <v>62680833589</v>
      </c>
      <c r="G535" s="179" t="n">
        <v>62774847149</v>
      </c>
      <c r="H535" s="179">
        <f>IFERROR(D535+G535,D535)</f>
        <v/>
      </c>
      <c r="I535" s="184">
        <f>IFERROR(D535/H535,"")</f>
        <v/>
      </c>
      <c r="J535" s="179" t="n">
        <v>4757710201</v>
      </c>
      <c r="K535" s="179" t="n">
        <v>9515420401</v>
      </c>
      <c r="L535" s="179" t="n">
        <v>14273130602</v>
      </c>
    </row>
    <row r="536" ht="15" customHeight="1" s="95">
      <c r="A536" s="143" t="n">
        <v>44365</v>
      </c>
      <c r="B536" s="146" t="n">
        <v>1.005555</v>
      </c>
      <c r="C536" s="179" t="n">
        <v>23938162355</v>
      </c>
      <c r="D536" s="179" t="n">
        <v>23805915276</v>
      </c>
      <c r="E536" s="146" t="n">
        <v>1.002919</v>
      </c>
      <c r="F536" s="179" t="n">
        <v>62915990238</v>
      </c>
      <c r="G536" s="179" t="n">
        <v>62732847149</v>
      </c>
      <c r="H536" s="179">
        <f>IFERROR(D536+G536,D536)</f>
        <v/>
      </c>
      <c r="I536" s="184">
        <f>IFERROR(D536/H536,"")</f>
        <v/>
      </c>
      <c r="J536" s="179" t="n">
        <v>4761183055</v>
      </c>
      <c r="K536" s="179" t="n">
        <v>9522366110</v>
      </c>
      <c r="L536" s="179" t="n">
        <v>14283549166</v>
      </c>
    </row>
    <row r="537" ht="15" customHeight="1" s="95">
      <c r="A537" s="143" t="n">
        <v>44366</v>
      </c>
      <c r="B537" s="146" t="n">
        <v>1.003111</v>
      </c>
      <c r="C537" s="179" t="n">
        <v>24316073415</v>
      </c>
      <c r="D537" s="179" t="n">
        <v>24240651454</v>
      </c>
      <c r="E537" s="146" t="n">
        <v>1.000877</v>
      </c>
      <c r="F537" s="179" t="n">
        <v>62781866043</v>
      </c>
      <c r="G537" s="179" t="n">
        <v>62726847149</v>
      </c>
      <c r="H537" s="179">
        <f>IFERROR(D537+G537,D537)</f>
        <v/>
      </c>
      <c r="I537" s="184">
        <f>IFERROR(D537/H537,"")</f>
        <v/>
      </c>
      <c r="J537" s="179" t="n">
        <v>4848130291</v>
      </c>
      <c r="K537" s="179" t="n">
        <v>9696260582</v>
      </c>
      <c r="L537" s="179" t="n">
        <v>14544390872</v>
      </c>
    </row>
    <row r="538" ht="15" customHeight="1" s="95">
      <c r="A538" s="143" t="n">
        <v>44367</v>
      </c>
      <c r="B538" s="146" t="n">
        <v>1.000123</v>
      </c>
      <c r="C538" s="179" t="n">
        <v>24345717744</v>
      </c>
      <c r="D538" s="179" t="n">
        <v>24342725992</v>
      </c>
      <c r="E538" s="146" t="n">
        <v>1.004211</v>
      </c>
      <c r="F538" s="179" t="n">
        <v>63022640616</v>
      </c>
      <c r="G538" s="179" t="n">
        <v>62758335970</v>
      </c>
      <c r="H538" s="179">
        <f>IFERROR(D538+G538,D538)</f>
        <v/>
      </c>
      <c r="I538" s="184">
        <f>IFERROR(D538/H538,"")</f>
        <v/>
      </c>
      <c r="J538" s="179" t="n">
        <v>4868545198</v>
      </c>
      <c r="K538" s="179" t="n">
        <v>9737090397</v>
      </c>
      <c r="L538" s="179" t="n">
        <v>14605635595</v>
      </c>
    </row>
    <row r="539" ht="15" customHeight="1" s="95">
      <c r="A539" s="143" t="n">
        <v>44368</v>
      </c>
      <c r="B539" s="146" t="n">
        <v>1.006203</v>
      </c>
      <c r="C539" s="179" t="n">
        <v>24520273749</v>
      </c>
      <c r="D539" s="179" t="n">
        <v>24369109524</v>
      </c>
      <c r="E539" s="146" t="n">
        <v>1.001195</v>
      </c>
      <c r="F539" s="179" t="n">
        <v>62833355064</v>
      </c>
      <c r="G539" s="179" t="n">
        <v>62758335970</v>
      </c>
      <c r="H539" s="179">
        <f>IFERROR(D539+G539,D539)</f>
        <v/>
      </c>
      <c r="I539" s="184">
        <f>IFERROR(D539/H539,"")</f>
        <v/>
      </c>
      <c r="J539" s="179" t="n">
        <v>4873821905</v>
      </c>
      <c r="K539" s="179" t="n">
        <v>9747643810</v>
      </c>
      <c r="L539" s="179" t="n">
        <v>14621465714</v>
      </c>
    </row>
    <row r="540" ht="15" customHeight="1" s="95">
      <c r="A540" s="143" t="n">
        <v>44369</v>
      </c>
      <c r="B540" s="146" t="n">
        <v>0.999528</v>
      </c>
      <c r="C540" s="179" t="n">
        <v>25044676393</v>
      </c>
      <c r="D540" s="179" t="n">
        <v>25056495589</v>
      </c>
      <c r="E540" s="146" t="n">
        <v>0.997209</v>
      </c>
      <c r="F540" s="179" t="n">
        <v>62433331566</v>
      </c>
      <c r="G540" s="179" t="n">
        <v>62608048936</v>
      </c>
      <c r="H540" s="179">
        <f>IFERROR(D540+G540,D540)</f>
        <v/>
      </c>
      <c r="I540" s="184">
        <f>IFERROR(D540/H540,"")</f>
        <v/>
      </c>
      <c r="J540" s="179" t="n">
        <v>5011299118</v>
      </c>
      <c r="K540" s="179" t="n">
        <v>10022598236</v>
      </c>
      <c r="L540" s="179" t="n">
        <v>15033897353</v>
      </c>
    </row>
    <row r="541" ht="15" customHeight="1" s="95">
      <c r="A541" s="143" t="n">
        <v>44370</v>
      </c>
      <c r="B541" s="146" t="n">
        <v>1.004192</v>
      </c>
      <c r="C541" s="179" t="n">
        <v>25217013576</v>
      </c>
      <c r="D541" s="179" t="n">
        <v>25111757130</v>
      </c>
      <c r="E541" s="146" t="n">
        <v>1.004533</v>
      </c>
      <c r="F541" s="179" t="n">
        <v>62958009950</v>
      </c>
      <c r="G541" s="179" t="n">
        <v>62673895969</v>
      </c>
      <c r="H541" s="179">
        <f>IFERROR(D541+G541,D541)</f>
        <v/>
      </c>
      <c r="I541" s="184">
        <f>IFERROR(D541/H541,"")</f>
        <v/>
      </c>
      <c r="J541" s="179" t="n">
        <v>5022351426</v>
      </c>
      <c r="K541" s="179" t="n">
        <v>10044702852</v>
      </c>
      <c r="L541" s="179" t="n">
        <v>15067054278</v>
      </c>
    </row>
    <row r="542" ht="15" customHeight="1" s="95">
      <c r="A542" s="143" t="n">
        <v>44371</v>
      </c>
      <c r="B542" s="146" t="n">
        <v>1.003984</v>
      </c>
      <c r="C542" s="179" t="n">
        <v>25563546984</v>
      </c>
      <c r="D542" s="179" t="n">
        <v>25462113980</v>
      </c>
      <c r="E542" s="146" t="n">
        <v>1.002821</v>
      </c>
      <c r="F542" s="179" t="n">
        <v>63059140318</v>
      </c>
      <c r="G542" s="179" t="n">
        <v>62881737678</v>
      </c>
      <c r="H542" s="179">
        <f>IFERROR(D542+G542,D542)</f>
        <v/>
      </c>
      <c r="I542" s="184">
        <f>IFERROR(D542/H542,"")</f>
        <v/>
      </c>
      <c r="J542" s="179" t="n">
        <v>5092422796</v>
      </c>
      <c r="K542" s="179" t="n">
        <v>10184845592</v>
      </c>
      <c r="L542" s="179" t="n">
        <v>15277268388</v>
      </c>
    </row>
    <row r="543" ht="15" customHeight="1" s="95">
      <c r="A543" s="143" t="n">
        <v>44372</v>
      </c>
      <c r="B543" s="146" t="n">
        <v>1.000171</v>
      </c>
      <c r="C543" s="179" t="n">
        <v>25536327907</v>
      </c>
      <c r="D543" s="179" t="n">
        <v>25531967440</v>
      </c>
      <c r="E543" s="146" t="n">
        <v>1.002197</v>
      </c>
      <c r="F543" s="179" t="n">
        <v>62965359730</v>
      </c>
      <c r="G543" s="179" t="n">
        <v>62827351264</v>
      </c>
      <c r="H543" s="179">
        <f>IFERROR(D543+G543,D543)</f>
        <v/>
      </c>
      <c r="I543" s="184">
        <f>IFERROR(D543/H543,"")</f>
        <v/>
      </c>
      <c r="J543" s="179" t="n">
        <v>5106393488</v>
      </c>
      <c r="K543" s="179" t="n">
        <v>10212786976</v>
      </c>
      <c r="L543" s="179" t="n">
        <v>15319180464</v>
      </c>
    </row>
    <row r="544" ht="15" customHeight="1" s="95">
      <c r="A544" s="143" t="n">
        <v>44373</v>
      </c>
      <c r="B544" s="146" t="n">
        <v>1.004869</v>
      </c>
      <c r="C544" s="179" t="n">
        <v>25848144731</v>
      </c>
      <c r="D544" s="179" t="n">
        <v>25722898142</v>
      </c>
      <c r="E544" s="146" t="n">
        <v>1.000703</v>
      </c>
      <c r="F544" s="179" t="n">
        <v>62770695879</v>
      </c>
      <c r="G544" s="179" t="n">
        <v>62726569720</v>
      </c>
      <c r="H544" s="179">
        <f>IFERROR(D544+G544,D544)</f>
        <v/>
      </c>
      <c r="I544" s="184">
        <f>IFERROR(D544/H544,"")</f>
        <v/>
      </c>
      <c r="J544" s="179" t="n">
        <v>5144579628</v>
      </c>
      <c r="K544" s="179" t="n">
        <v>10289159257</v>
      </c>
      <c r="L544" s="179" t="n">
        <v>15433738885</v>
      </c>
    </row>
    <row r="545" ht="15" customHeight="1" s="95">
      <c r="A545" s="143" t="n">
        <v>44374</v>
      </c>
      <c r="B545" s="146" t="n">
        <v>1.004216</v>
      </c>
      <c r="C545" s="179" t="n">
        <v>25845805610</v>
      </c>
      <c r="D545" s="179" t="n">
        <v>25737303028</v>
      </c>
      <c r="E545" s="146" t="n">
        <v>1.003161</v>
      </c>
      <c r="F545" s="179" t="n">
        <v>63630251952</v>
      </c>
      <c r="G545" s="179" t="n">
        <v>63429770129</v>
      </c>
      <c r="H545" s="179">
        <f>IFERROR(D545+G545,D545)</f>
        <v/>
      </c>
      <c r="I545" s="184">
        <f>IFERROR(D545/H545,"")</f>
        <v/>
      </c>
      <c r="J545" s="179" t="n">
        <v>5147460606</v>
      </c>
      <c r="K545" s="179" t="n">
        <v>10294921211</v>
      </c>
      <c r="L545" s="179" t="n">
        <v>15442381817</v>
      </c>
    </row>
    <row r="546" ht="15" customHeight="1" s="95">
      <c r="A546" s="143" t="n">
        <v>44375</v>
      </c>
      <c r="B546" s="146" t="n">
        <v>1.004166</v>
      </c>
      <c r="C546" s="179" t="n">
        <v>25966143374</v>
      </c>
      <c r="D546" s="179" t="n">
        <v>25858418716</v>
      </c>
      <c r="E546" s="146" t="n">
        <v>1.001802</v>
      </c>
      <c r="F546" s="179" t="n">
        <v>63238142380</v>
      </c>
      <c r="G546" s="179" t="n">
        <v>63124387841</v>
      </c>
      <c r="H546" s="179">
        <f>IFERROR(D546+G546,D546)</f>
        <v/>
      </c>
      <c r="I546" s="184">
        <f>IFERROR(D546/H546,"")</f>
        <v/>
      </c>
      <c r="J546" s="179" t="n">
        <v>5171683743</v>
      </c>
      <c r="K546" s="179" t="n">
        <v>10343367486</v>
      </c>
      <c r="L546" s="179" t="n">
        <v>15515051230</v>
      </c>
    </row>
    <row r="547" ht="15" customHeight="1" s="95">
      <c r="A547" s="143" t="n">
        <v>44376</v>
      </c>
      <c r="B547" s="146" t="n">
        <v>1.002994</v>
      </c>
      <c r="C547" s="179" t="n">
        <v>25325494703</v>
      </c>
      <c r="D547" s="179" t="n">
        <v>25249900385</v>
      </c>
      <c r="E547" s="146" t="n">
        <v>1.003851</v>
      </c>
      <c r="F547" s="179" t="n">
        <v>62957687636</v>
      </c>
      <c r="G547" s="179" t="n">
        <v>62716143412</v>
      </c>
      <c r="H547" s="179">
        <f>IFERROR(D547+G547,D547)</f>
        <v/>
      </c>
      <c r="I547" s="184">
        <f>IFERROR(D547/H547,"")</f>
        <v/>
      </c>
      <c r="J547" s="179" t="n">
        <v>5049980077</v>
      </c>
      <c r="K547" s="179" t="n">
        <v>10099960154</v>
      </c>
      <c r="L547" s="179" t="n">
        <v>15149940231</v>
      </c>
    </row>
    <row r="548" ht="15" customHeight="1" s="95">
      <c r="A548" s="143" t="n">
        <v>44377</v>
      </c>
      <c r="B548" s="146" t="n">
        <v>0.999545</v>
      </c>
      <c r="C548" s="179" t="n">
        <v>25227093820</v>
      </c>
      <c r="D548" s="179" t="n">
        <v>25238566503</v>
      </c>
      <c r="E548" s="146" t="n">
        <v>1.000418</v>
      </c>
      <c r="F548" s="179" t="n">
        <v>62662681797</v>
      </c>
      <c r="G548" s="179" t="n">
        <v>62636527807</v>
      </c>
      <c r="H548" s="179">
        <f>IFERROR(D548+G548,D548)</f>
        <v/>
      </c>
      <c r="I548" s="184">
        <f>IFERROR(D548/H548,"")</f>
        <v/>
      </c>
      <c r="J548" s="179" t="n">
        <v>5047713301</v>
      </c>
      <c r="K548" s="179" t="n">
        <v>10095426601</v>
      </c>
      <c r="L548" s="179" t="n">
        <v>15143139902</v>
      </c>
    </row>
    <row r="549" ht="15" customHeight="1" s="95">
      <c r="A549" s="143" t="n">
        <v>44378</v>
      </c>
      <c r="B549" s="146" t="n">
        <v>1.003276</v>
      </c>
      <c r="C549" s="179" t="n">
        <v>25187559419</v>
      </c>
      <c r="D549" s="179" t="n">
        <v>25105304819</v>
      </c>
      <c r="E549" s="146" t="n">
        <v>1.00446</v>
      </c>
      <c r="F549" s="179" t="n">
        <v>62778375249</v>
      </c>
      <c r="G549" s="179" t="n">
        <v>62499653487</v>
      </c>
      <c r="H549" s="179">
        <f>IFERROR(D549+G549,D549)</f>
        <v/>
      </c>
      <c r="I549" s="184">
        <f>IFERROR(D549/H549,"")</f>
        <v/>
      </c>
      <c r="J549" s="179" t="n">
        <v>5021060964</v>
      </c>
      <c r="K549" s="179" t="n">
        <v>10042121928</v>
      </c>
      <c r="L549" s="179" t="n">
        <v>15063182891</v>
      </c>
    </row>
    <row r="550" ht="15" customHeight="1" s="95">
      <c r="A550" s="143" t="n">
        <v>44379</v>
      </c>
      <c r="B550" s="146" t="n">
        <v>1.004928</v>
      </c>
      <c r="C550" s="179" t="n">
        <v>25295918721</v>
      </c>
      <c r="D550" s="179" t="n">
        <v>25171860463</v>
      </c>
      <c r="E550" s="146" t="n">
        <v>1.001631</v>
      </c>
      <c r="F550" s="179" t="n">
        <v>62764949426</v>
      </c>
      <c r="G550" s="179" t="n">
        <v>62662761475</v>
      </c>
      <c r="H550" s="179">
        <f>IFERROR(D550+G550,D550)</f>
        <v/>
      </c>
      <c r="I550" s="184">
        <f>IFERROR(D550/H550,"")</f>
        <v/>
      </c>
      <c r="J550" s="179" t="n">
        <v>5034372093</v>
      </c>
      <c r="K550" s="179" t="n">
        <v>10068744185</v>
      </c>
      <c r="L550" s="179" t="n">
        <v>15103116278</v>
      </c>
    </row>
    <row r="551" ht="15" customHeight="1" s="95">
      <c r="A551" s="143" t="n">
        <v>44380</v>
      </c>
      <c r="B551" s="146" t="n">
        <v>1.003024</v>
      </c>
      <c r="C551" s="179" t="n">
        <v>25504182251</v>
      </c>
      <c r="D551" s="179" t="n">
        <v>25427294868</v>
      </c>
      <c r="E551" s="146" t="n">
        <v>1.004324</v>
      </c>
      <c r="F551" s="179" t="n">
        <v>62826352745</v>
      </c>
      <c r="G551" s="179" t="n">
        <v>62555876181</v>
      </c>
      <c r="H551" s="179">
        <f>IFERROR(D551+G551,D551)</f>
        <v/>
      </c>
      <c r="I551" s="184">
        <f>IFERROR(D551/H551,"")</f>
        <v/>
      </c>
      <c r="J551" s="179" t="n">
        <v>5085458974</v>
      </c>
      <c r="K551" s="179" t="n">
        <v>10170917947</v>
      </c>
      <c r="L551" s="179" t="n">
        <v>15256376921</v>
      </c>
    </row>
    <row r="552" ht="15" customHeight="1" s="95">
      <c r="A552" s="143" t="n">
        <v>44381</v>
      </c>
      <c r="B552" s="146" t="n">
        <v>1.002549</v>
      </c>
      <c r="C552" s="179" t="n">
        <v>25571786493</v>
      </c>
      <c r="D552" s="179" t="n">
        <v>25506775808</v>
      </c>
      <c r="E552" s="146" t="n">
        <v>1.003225</v>
      </c>
      <c r="F552" s="179" t="n">
        <v>62773752278</v>
      </c>
      <c r="G552" s="179" t="n">
        <v>62571944525</v>
      </c>
      <c r="H552" s="179">
        <f>IFERROR(D552+G552,D552)</f>
        <v/>
      </c>
      <c r="I552" s="184">
        <f>IFERROR(D552/H552,"")</f>
        <v/>
      </c>
      <c r="J552" s="179" t="n">
        <v>5101355162</v>
      </c>
      <c r="K552" s="179" t="n">
        <v>10202710323</v>
      </c>
      <c r="L552" s="179" t="n">
        <v>15304065485</v>
      </c>
    </row>
    <row r="553" ht="15" customHeight="1" s="95">
      <c r="A553" s="143" t="n">
        <v>44382</v>
      </c>
      <c r="B553" s="146" t="n">
        <v>1.001107</v>
      </c>
      <c r="C553" s="179" t="n">
        <v>25558269535</v>
      </c>
      <c r="D553" s="179" t="n">
        <v>25529999315</v>
      </c>
      <c r="E553" s="146" t="n">
        <v>0.995146</v>
      </c>
      <c r="F553" s="179" t="n">
        <v>62252247474</v>
      </c>
      <c r="G553" s="179" t="n">
        <v>62555876181</v>
      </c>
      <c r="H553" s="179">
        <f>IFERROR(D553+G553,D553)</f>
        <v/>
      </c>
      <c r="I553" s="184">
        <f>IFERROR(D553/H553,"")</f>
        <v/>
      </c>
      <c r="J553" s="179" t="n">
        <v>5105999863</v>
      </c>
      <c r="K553" s="179" t="n">
        <v>10211999726</v>
      </c>
      <c r="L553" s="179" t="n">
        <v>15317999589</v>
      </c>
    </row>
    <row r="554" ht="15" customHeight="1" s="95">
      <c r="A554" s="143" t="n">
        <v>44383</v>
      </c>
      <c r="B554" s="146" t="n">
        <v>1.001609</v>
      </c>
      <c r="C554" s="179" t="n">
        <v>25574855812</v>
      </c>
      <c r="D554" s="179" t="n">
        <v>25533775317</v>
      </c>
      <c r="E554" s="146" t="n">
        <v>1.00383</v>
      </c>
      <c r="F554" s="179" t="n">
        <v>62795464774</v>
      </c>
      <c r="G554" s="179" t="n">
        <v>62555876181</v>
      </c>
      <c r="H554" s="179">
        <f>IFERROR(D554+G554,D554)</f>
        <v/>
      </c>
      <c r="I554" s="184">
        <f>IFERROR(D554/H554,"")</f>
        <v/>
      </c>
      <c r="J554" s="179" t="n">
        <v>5106755063</v>
      </c>
      <c r="K554" s="179" t="n">
        <v>10213510127</v>
      </c>
      <c r="L554" s="179" t="n">
        <v>15320265190</v>
      </c>
    </row>
    <row r="555" ht="15" customHeight="1" s="95">
      <c r="A555" s="143" t="n">
        <v>44384</v>
      </c>
      <c r="B555" s="146" t="n">
        <v>1.002084</v>
      </c>
      <c r="C555" s="179" t="n">
        <v>25736640791</v>
      </c>
      <c r="D555" s="179" t="n">
        <v>25683120543</v>
      </c>
      <c r="E555" s="146" t="n">
        <v>1.002527</v>
      </c>
      <c r="F555" s="179" t="n">
        <v>62673222840</v>
      </c>
      <c r="G555" s="179" t="n">
        <v>62515274307</v>
      </c>
      <c r="H555" s="179">
        <f>IFERROR(D555+G555,D555)</f>
        <v/>
      </c>
      <c r="I555" s="184">
        <f>IFERROR(D555/H555,"")</f>
        <v/>
      </c>
      <c r="J555" s="179" t="n">
        <v>5136624109</v>
      </c>
      <c r="K555" s="179" t="n">
        <v>10273248217</v>
      </c>
      <c r="L555" s="179" t="n">
        <v>15409872326</v>
      </c>
    </row>
    <row r="556" ht="15" customHeight="1" s="95">
      <c r="A556" s="143" t="n">
        <v>44385</v>
      </c>
      <c r="B556" s="146" t="n">
        <v>1.00028</v>
      </c>
      <c r="C556" s="179" t="n">
        <v>25803727530</v>
      </c>
      <c r="D556" s="179" t="n">
        <v>25796496532</v>
      </c>
      <c r="E556" s="146" t="n">
        <v>0.999838</v>
      </c>
      <c r="F556" s="179" t="n">
        <v>62500080597</v>
      </c>
      <c r="G556" s="179" t="n">
        <v>62510223688</v>
      </c>
      <c r="H556" s="179">
        <f>IFERROR(D556+G556,D556)</f>
        <v/>
      </c>
      <c r="I556" s="184">
        <f>IFERROR(D556/H556,"")</f>
        <v/>
      </c>
      <c r="J556" s="179" t="n">
        <v>5159299306</v>
      </c>
      <c r="K556" s="179" t="n">
        <v>10318598613</v>
      </c>
      <c r="L556" s="179" t="n">
        <v>15477897919</v>
      </c>
    </row>
    <row r="557" ht="15" customHeight="1" s="95">
      <c r="A557" s="143" t="n">
        <v>44386</v>
      </c>
      <c r="B557" s="146" t="n">
        <v>1.003403</v>
      </c>
      <c r="C557" s="179" t="n">
        <v>26047252041</v>
      </c>
      <c r="D557" s="179" t="n">
        <v>25958925399</v>
      </c>
      <c r="E557" s="146" t="n">
        <v>1.002675</v>
      </c>
      <c r="F557" s="179" t="n">
        <v>62650981204</v>
      </c>
      <c r="G557" s="179" t="n">
        <v>62483823663</v>
      </c>
      <c r="H557" s="179">
        <f>IFERROR(D557+G557,D557)</f>
        <v/>
      </c>
      <c r="I557" s="184">
        <f>IFERROR(D557/H557,"")</f>
        <v/>
      </c>
      <c r="J557" s="179" t="n">
        <v>5191785080</v>
      </c>
      <c r="K557" s="179" t="n">
        <v>10383570160</v>
      </c>
      <c r="L557" s="179" t="n">
        <v>15575355239</v>
      </c>
    </row>
    <row r="558" ht="15" customHeight="1" s="95">
      <c r="A558" s="143" t="n">
        <v>44387</v>
      </c>
      <c r="B558" s="146" t="n">
        <v>1.001776</v>
      </c>
      <c r="C558" s="179" t="n">
        <v>26069633400</v>
      </c>
      <c r="D558" s="179" t="n">
        <v>26023417352</v>
      </c>
      <c r="E558" s="146" t="n">
        <v>1.003341</v>
      </c>
      <c r="F558" s="179" t="n">
        <v>62597287223</v>
      </c>
      <c r="G558" s="179" t="n">
        <v>62388823663</v>
      </c>
      <c r="H558" s="179">
        <f>IFERROR(D558+G558,D558)</f>
        <v/>
      </c>
      <c r="I558" s="184">
        <f>IFERROR(D558/H558,"")</f>
        <v/>
      </c>
      <c r="J558" s="179" t="n">
        <v>5204683470</v>
      </c>
      <c r="K558" s="179" t="n">
        <v>10409366941</v>
      </c>
      <c r="L558" s="179" t="n">
        <v>15614050411</v>
      </c>
    </row>
    <row r="559" ht="15" customHeight="1" s="95">
      <c r="A559" s="143" t="n">
        <v>44388</v>
      </c>
      <c r="B559" s="146" t="n">
        <v>1.002277</v>
      </c>
      <c r="C559" s="179" t="n">
        <v>26168294198</v>
      </c>
      <c r="D559" s="179" t="n">
        <v>26108832045</v>
      </c>
      <c r="E559" s="146" t="n">
        <v>1.004325</v>
      </c>
      <c r="F559" s="179" t="n">
        <v>62625649753</v>
      </c>
      <c r="G559" s="179" t="n">
        <v>62355966164</v>
      </c>
      <c r="H559" s="179">
        <f>IFERROR(D559+G559,D559)</f>
        <v/>
      </c>
      <c r="I559" s="184">
        <f>IFERROR(D559/H559,"")</f>
        <v/>
      </c>
      <c r="J559" s="179" t="n">
        <v>5221766409</v>
      </c>
      <c r="K559" s="179" t="n">
        <v>10443532818</v>
      </c>
      <c r="L559" s="179" t="n">
        <v>15665299227</v>
      </c>
    </row>
    <row r="560" ht="15" customHeight="1" s="95">
      <c r="A560" s="143" t="n">
        <v>44389</v>
      </c>
      <c r="B560" s="146" t="n">
        <v>1.001148</v>
      </c>
      <c r="C560" s="179" t="n">
        <v>26145472545</v>
      </c>
      <c r="D560" s="179" t="n">
        <v>26115486320</v>
      </c>
      <c r="E560" s="146" t="n">
        <v>1.00096</v>
      </c>
      <c r="F560" s="179" t="n">
        <v>62447338867</v>
      </c>
      <c r="G560" s="179" t="n">
        <v>62387423663</v>
      </c>
      <c r="H560" s="179">
        <f>IFERROR(D560+G560,D560)</f>
        <v/>
      </c>
      <c r="I560" s="184">
        <f>IFERROR(D560/H560,"")</f>
        <v/>
      </c>
      <c r="J560" s="179" t="n">
        <v>5223097264</v>
      </c>
      <c r="K560" s="179" t="n">
        <v>10446194528</v>
      </c>
      <c r="L560" s="179" t="n">
        <v>15669291792</v>
      </c>
    </row>
    <row r="561" ht="15" customHeight="1" s="95">
      <c r="A561" s="143" t="n">
        <v>44390</v>
      </c>
      <c r="B561" s="146" t="n">
        <v>1.003919</v>
      </c>
      <c r="C561" s="179" t="n">
        <v>26442919220</v>
      </c>
      <c r="D561" s="179" t="n">
        <v>26339689510</v>
      </c>
      <c r="E561" s="146" t="n">
        <v>1.002396</v>
      </c>
      <c r="F561" s="179" t="n">
        <v>62544311505</v>
      </c>
      <c r="G561" s="179" t="n">
        <v>62394788754</v>
      </c>
      <c r="H561" s="179">
        <f>IFERROR(D561+G561,D561)</f>
        <v/>
      </c>
      <c r="I561" s="184">
        <f>IFERROR(D561/H561,"")</f>
        <v/>
      </c>
      <c r="J561" s="179" t="n">
        <v>5267937902</v>
      </c>
      <c r="K561" s="179" t="n">
        <v>10535875804</v>
      </c>
      <c r="L561" s="179" t="n">
        <v>15803813706</v>
      </c>
    </row>
    <row r="562" ht="15" customHeight="1" s="95">
      <c r="A562" s="143" t="n">
        <v>44391</v>
      </c>
      <c r="B562" s="146" t="n">
        <v>1.001724</v>
      </c>
      <c r="C562" s="179" t="n">
        <v>26487629399</v>
      </c>
      <c r="D562" s="179" t="n">
        <v>26442045256</v>
      </c>
      <c r="E562" s="146" t="n">
        <v>1.004131</v>
      </c>
      <c r="F562" s="179" t="n">
        <v>62625079420</v>
      </c>
      <c r="G562" s="179" t="n">
        <v>62367423663</v>
      </c>
      <c r="H562" s="179">
        <f>IFERROR(D562+G562,D562)</f>
        <v/>
      </c>
      <c r="I562" s="184">
        <f>IFERROR(D562/H562,"")</f>
        <v/>
      </c>
      <c r="J562" s="179" t="n">
        <v>5288409051</v>
      </c>
      <c r="K562" s="179" t="n">
        <v>10576818102</v>
      </c>
      <c r="L562" s="179" t="n">
        <v>15865227154</v>
      </c>
    </row>
    <row r="563" ht="15" customHeight="1" s="95">
      <c r="A563" s="143" t="n">
        <v>44392</v>
      </c>
      <c r="B563" s="146" t="n">
        <v>1.001863</v>
      </c>
      <c r="C563" s="179" t="n">
        <v>26700071046</v>
      </c>
      <c r="D563" s="179" t="n">
        <v>26650416168</v>
      </c>
      <c r="E563" s="146" t="n">
        <v>1.002608</v>
      </c>
      <c r="F563" s="179" t="n">
        <v>62311226405</v>
      </c>
      <c r="G563" s="179" t="n">
        <v>62149163511</v>
      </c>
      <c r="H563" s="179">
        <f>IFERROR(D563+G563,D563)</f>
        <v/>
      </c>
      <c r="I563" s="184">
        <f>IFERROR(D563/H563,"")</f>
        <v/>
      </c>
      <c r="J563" s="179" t="n">
        <v>5330083234</v>
      </c>
      <c r="K563" s="179" t="n">
        <v>10660166467</v>
      </c>
      <c r="L563" s="179" t="n">
        <v>15990249701</v>
      </c>
    </row>
    <row r="564" ht="15" customHeight="1" s="95">
      <c r="A564" s="143" t="n">
        <v>44393</v>
      </c>
      <c r="B564" s="146" t="n">
        <v>1.003803</v>
      </c>
      <c r="C564" s="179" t="n">
        <v>26383458214</v>
      </c>
      <c r="D564" s="179" t="n">
        <v>26283489834</v>
      </c>
      <c r="E564" s="146" t="n">
        <v>1.003061</v>
      </c>
      <c r="F564" s="179" t="n">
        <v>62399251245</v>
      </c>
      <c r="G564" s="179" t="n">
        <v>62208833714</v>
      </c>
      <c r="H564" s="179">
        <f>IFERROR(D564+G564,D564)</f>
        <v/>
      </c>
      <c r="I564" s="184">
        <f>IFERROR(D564/H564,"")</f>
        <v/>
      </c>
      <c r="J564" s="179" t="n">
        <v>5256697967</v>
      </c>
      <c r="K564" s="179" t="n">
        <v>10513395934</v>
      </c>
      <c r="L564" s="179" t="n">
        <v>15770093900</v>
      </c>
    </row>
    <row r="565" ht="15" customHeight="1" s="95">
      <c r="A565" s="143" t="n">
        <v>44394</v>
      </c>
      <c r="B565" s="146" t="n">
        <v>0.998813</v>
      </c>
      <c r="C565" s="179" t="n">
        <v>26357277619</v>
      </c>
      <c r="D565" s="179" t="n">
        <v>26388610683</v>
      </c>
      <c r="E565" s="146" t="n">
        <v>0.999707</v>
      </c>
      <c r="F565" s="179" t="n">
        <v>62114787443</v>
      </c>
      <c r="G565" s="179" t="n">
        <v>62132986413</v>
      </c>
      <c r="H565" s="179">
        <f>IFERROR(D565+G565,D565)</f>
        <v/>
      </c>
      <c r="I565" s="184">
        <f>IFERROR(D565/H565,"")</f>
        <v/>
      </c>
      <c r="J565" s="179" t="n">
        <v>5277722137</v>
      </c>
      <c r="K565" s="179" t="n">
        <v>10555444273</v>
      </c>
      <c r="L565" s="179" t="n">
        <v>15833166410</v>
      </c>
    </row>
    <row r="566" ht="15" customHeight="1" s="95">
      <c r="A566" s="143" t="n">
        <v>44395</v>
      </c>
      <c r="B566" s="146" t="n">
        <v>1.000024</v>
      </c>
      <c r="C566" s="179" t="n">
        <v>26623730448</v>
      </c>
      <c r="D566" s="179" t="n">
        <v>26623095903</v>
      </c>
      <c r="E566" s="146" t="n">
        <v>1.001775</v>
      </c>
      <c r="F566" s="179" t="n">
        <v>62276606129</v>
      </c>
      <c r="G566" s="179" t="n">
        <v>62166249596</v>
      </c>
      <c r="H566" s="179">
        <f>IFERROR(D566+G566,D566)</f>
        <v/>
      </c>
      <c r="I566" s="184">
        <f>IFERROR(D566/H566,"")</f>
        <v/>
      </c>
      <c r="J566" s="179" t="n">
        <v>5324619181</v>
      </c>
      <c r="K566" s="179" t="n">
        <v>10649238361</v>
      </c>
      <c r="L566" s="179" t="n">
        <v>15973857542</v>
      </c>
    </row>
    <row r="567" ht="15" customHeight="1" s="95">
      <c r="A567" s="143" t="n">
        <v>44396</v>
      </c>
      <c r="B567" s="146" t="n">
        <v>1.00506</v>
      </c>
      <c r="C567" s="179" t="n">
        <v>26790894613</v>
      </c>
      <c r="D567" s="179" t="n">
        <v>26656009869</v>
      </c>
      <c r="E567" s="146" t="n">
        <v>1.002618</v>
      </c>
      <c r="F567" s="179" t="n">
        <v>62544907666</v>
      </c>
      <c r="G567" s="179" t="n">
        <v>62381613841</v>
      </c>
      <c r="H567" s="179">
        <f>IFERROR(D567+G567,D567)</f>
        <v/>
      </c>
      <c r="I567" s="184">
        <f>IFERROR(D567/H567,"")</f>
        <v/>
      </c>
      <c r="J567" s="179" t="n">
        <v>5331201974</v>
      </c>
      <c r="K567" s="179" t="n">
        <v>10662403948</v>
      </c>
      <c r="L567" s="179" t="n">
        <v>15993605921</v>
      </c>
    </row>
    <row r="568" ht="15" customHeight="1" s="95">
      <c r="A568" s="143" t="n">
        <v>44397</v>
      </c>
      <c r="B568" s="146" t="n">
        <v>1.000905</v>
      </c>
      <c r="C568" s="179" t="n">
        <v>26751449955</v>
      </c>
      <c r="D568" s="179" t="n">
        <v>26727262193</v>
      </c>
      <c r="E568" s="146" t="n">
        <v>1.001921</v>
      </c>
      <c r="F568" s="179" t="n">
        <v>62305629667</v>
      </c>
      <c r="G568" s="179" t="n">
        <v>62186198483</v>
      </c>
      <c r="H568" s="179">
        <f>IFERROR(D568+G568,D568)</f>
        <v/>
      </c>
      <c r="I568" s="184">
        <f>IFERROR(D568/H568,"")</f>
        <v/>
      </c>
      <c r="J568" s="179" t="n">
        <v>5345452439</v>
      </c>
      <c r="K568" s="179" t="n">
        <v>10690904877</v>
      </c>
      <c r="L568" s="179" t="n">
        <v>16036357316</v>
      </c>
    </row>
    <row r="569" ht="15" customHeight="1" s="95">
      <c r="A569" s="143" t="n">
        <v>44398</v>
      </c>
      <c r="B569" s="146" t="n">
        <v>1.003152</v>
      </c>
      <c r="C569" s="179" t="n">
        <v>26845829804</v>
      </c>
      <c r="D569" s="179" t="n">
        <v>26761468102</v>
      </c>
      <c r="E569" s="146" t="n">
        <v>1.001945</v>
      </c>
      <c r="F569" s="179" t="n">
        <v>62179886375</v>
      </c>
      <c r="G569" s="179" t="n">
        <v>62059177060</v>
      </c>
      <c r="H569" s="179">
        <f>IFERROR(D569+G569,D569)</f>
        <v/>
      </c>
      <c r="I569" s="184">
        <f>IFERROR(D569/H569,"")</f>
        <v/>
      </c>
      <c r="J569" s="179" t="n">
        <v>5352293620</v>
      </c>
      <c r="K569" s="179" t="n">
        <v>10704587241</v>
      </c>
      <c r="L569" s="179" t="n">
        <v>16056880861</v>
      </c>
    </row>
    <row r="570" ht="15" customHeight="1" s="95">
      <c r="A570" s="143" t="n">
        <v>44399</v>
      </c>
      <c r="B570" s="146" t="n">
        <v>1.007644</v>
      </c>
      <c r="C570" s="179" t="n">
        <v>26993133328</v>
      </c>
      <c r="D570" s="179" t="n">
        <v>26788376161</v>
      </c>
      <c r="E570" s="146" t="n">
        <v>1.002535</v>
      </c>
      <c r="F570" s="179" t="n">
        <v>62271271235</v>
      </c>
      <c r="G570" s="179" t="n">
        <v>62113782909</v>
      </c>
      <c r="H570" s="179">
        <f>IFERROR(D570+G570,D570)</f>
        <v/>
      </c>
      <c r="I570" s="184">
        <f>IFERROR(D570/H570,"")</f>
        <v/>
      </c>
      <c r="J570" s="179" t="n">
        <v>5357675232</v>
      </c>
      <c r="K570" s="179" t="n">
        <v>10715350464</v>
      </c>
      <c r="L570" s="179" t="n">
        <v>16073025697</v>
      </c>
    </row>
    <row r="571" ht="15" customHeight="1" s="95">
      <c r="A571" s="143" t="n">
        <v>44400</v>
      </c>
      <c r="B571" s="146" t="n">
        <v>1.002562</v>
      </c>
      <c r="C571" s="179" t="n">
        <v>27009192505</v>
      </c>
      <c r="D571" s="179" t="n">
        <v>26940176364</v>
      </c>
      <c r="E571" s="146" t="n">
        <v>1.001396</v>
      </c>
      <c r="F571" s="179" t="n">
        <v>62140538003</v>
      </c>
      <c r="G571" s="179" t="n">
        <v>62053913690</v>
      </c>
      <c r="H571" s="179">
        <f>IFERROR(D571+G571,D571)</f>
        <v/>
      </c>
      <c r="I571" s="184">
        <f>IFERROR(D571/H571,"")</f>
        <v/>
      </c>
      <c r="J571" s="179" t="n">
        <v>5388035273</v>
      </c>
      <c r="K571" s="179" t="n">
        <v>10776070546</v>
      </c>
      <c r="L571" s="179" t="n">
        <v>16164105818</v>
      </c>
    </row>
    <row r="572" ht="15" customHeight="1" s="95">
      <c r="A572" s="143" t="n">
        <v>44401</v>
      </c>
      <c r="B572" s="146" t="n">
        <v>1.000762</v>
      </c>
      <c r="C572" s="179" t="n">
        <v>27109004815</v>
      </c>
      <c r="D572" s="179" t="n">
        <v>27088360944</v>
      </c>
      <c r="E572" s="146" t="n">
        <v>1.002453</v>
      </c>
      <c r="F572" s="179" t="n">
        <v>62087552802</v>
      </c>
      <c r="G572" s="179" t="n">
        <v>61935617303</v>
      </c>
      <c r="H572" s="179">
        <f>IFERROR(D572+G572,D572)</f>
        <v/>
      </c>
      <c r="I572" s="184">
        <f>IFERROR(D572/H572,"")</f>
        <v/>
      </c>
      <c r="J572" s="179" t="n">
        <v>5417672189</v>
      </c>
      <c r="K572" s="179" t="n">
        <v>10835344378</v>
      </c>
      <c r="L572" s="179" t="n">
        <v>16253016566</v>
      </c>
    </row>
    <row r="573" ht="15" customHeight="1" s="95">
      <c r="A573" s="143" t="n">
        <v>44402</v>
      </c>
      <c r="B573" s="146" t="n">
        <v>1.00238</v>
      </c>
      <c r="C573" s="179" t="n">
        <v>27075645361</v>
      </c>
      <c r="D573" s="179" t="n">
        <v>27011353418</v>
      </c>
      <c r="E573" s="146" t="n">
        <v>1.002305</v>
      </c>
      <c r="F573" s="179" t="n">
        <v>62150298514</v>
      </c>
      <c r="G573" s="179" t="n">
        <v>62007366243</v>
      </c>
      <c r="H573" s="179">
        <f>IFERROR(D573+G573,D573)</f>
        <v/>
      </c>
      <c r="I573" s="184">
        <f>IFERROR(D573/H573,"")</f>
        <v/>
      </c>
      <c r="J573" s="179" t="n">
        <v>5402270684</v>
      </c>
      <c r="K573" s="179" t="n">
        <v>10804541367</v>
      </c>
      <c r="L573" s="179" t="n">
        <v>16206812051</v>
      </c>
    </row>
    <row r="574" ht="15" customHeight="1" s="95">
      <c r="A574" s="143" t="n">
        <v>44403</v>
      </c>
      <c r="B574" s="146" t="n">
        <v>1.005168</v>
      </c>
      <c r="C574" s="179" t="n">
        <v>27274094166</v>
      </c>
      <c r="D574" s="179" t="n">
        <v>27133854212</v>
      </c>
      <c r="E574" s="146" t="n">
        <v>1.002886</v>
      </c>
      <c r="F574" s="179" t="n">
        <v>62035298715</v>
      </c>
      <c r="G574" s="179" t="n">
        <v>61856802883</v>
      </c>
      <c r="H574" s="179">
        <f>IFERROR(D574+G574,D574)</f>
        <v/>
      </c>
      <c r="I574" s="184">
        <f>IFERROR(D574/H574,"")</f>
        <v/>
      </c>
      <c r="J574" s="179" t="n">
        <v>5426770842</v>
      </c>
      <c r="K574" s="179" t="n">
        <v>10853541685</v>
      </c>
      <c r="L574" s="179" t="n">
        <v>16280312527</v>
      </c>
    </row>
    <row r="575" ht="15" customHeight="1" s="95">
      <c r="A575" s="143" t="n">
        <v>44404</v>
      </c>
      <c r="B575" s="146" t="n">
        <v>0.99418</v>
      </c>
      <c r="C575" s="179" t="n">
        <v>27048461699</v>
      </c>
      <c r="D575" s="179" t="n">
        <v>27206806373</v>
      </c>
      <c r="E575" s="146" t="n">
        <v>1.006468</v>
      </c>
      <c r="F575" s="179" t="n">
        <v>62186756799</v>
      </c>
      <c r="G575" s="179" t="n">
        <v>61787146407</v>
      </c>
      <c r="H575" s="179">
        <f>IFERROR(D575+G575,D575)</f>
        <v/>
      </c>
      <c r="I575" s="184">
        <f>IFERROR(D575/H575,"")</f>
        <v/>
      </c>
      <c r="J575" s="179" t="n">
        <v>5441361275</v>
      </c>
      <c r="K575" s="179" t="n">
        <v>10882722549</v>
      </c>
      <c r="L575" s="179" t="n">
        <v>16324083824</v>
      </c>
    </row>
    <row r="576" ht="15" customHeight="1" s="95">
      <c r="A576" s="143" t="n">
        <v>44405</v>
      </c>
      <c r="B576" s="146" t="n">
        <v>1.003459</v>
      </c>
      <c r="C576" s="179" t="n">
        <v>27214470964</v>
      </c>
      <c r="D576" s="179" t="n">
        <v>27120666004</v>
      </c>
      <c r="E576" s="146" t="n">
        <v>1.004315</v>
      </c>
      <c r="F576" s="179" t="n">
        <v>62234987754</v>
      </c>
      <c r="G576" s="179" t="n">
        <v>61967590889</v>
      </c>
      <c r="H576" s="179">
        <f>IFERROR(D576+G576,D576)</f>
        <v/>
      </c>
      <c r="I576" s="184">
        <f>IFERROR(D576/H576,"")</f>
        <v/>
      </c>
      <c r="J576" s="179" t="n">
        <v>5424133201</v>
      </c>
      <c r="K576" s="179" t="n">
        <v>10848266402</v>
      </c>
      <c r="L576" s="179" t="n">
        <v>16272399602</v>
      </c>
    </row>
    <row r="577" ht="15" customHeight="1" s="95">
      <c r="A577" s="143" t="n">
        <v>44406</v>
      </c>
      <c r="B577" s="146" t="n">
        <v>1.000716</v>
      </c>
      <c r="C577" s="179" t="n">
        <v>27329563748</v>
      </c>
      <c r="D577" s="179" t="n">
        <v>27310010882</v>
      </c>
      <c r="E577" s="146" t="n">
        <v>0.997566</v>
      </c>
      <c r="F577" s="179" t="n">
        <v>61826846626</v>
      </c>
      <c r="G577" s="179" t="n">
        <v>61977680352</v>
      </c>
      <c r="H577" s="179">
        <f>IFERROR(D577+G577,D577)</f>
        <v/>
      </c>
      <c r="I577" s="184">
        <f>IFERROR(D577/H577,"")</f>
        <v/>
      </c>
      <c r="J577" s="179" t="n">
        <v>5462002176</v>
      </c>
      <c r="K577" s="179" t="n">
        <v>10924004353</v>
      </c>
      <c r="L577" s="179" t="n">
        <v>16386006529</v>
      </c>
    </row>
    <row r="578" ht="15" customHeight="1" s="95">
      <c r="A578" s="143" t="n">
        <v>44407</v>
      </c>
      <c r="B578" s="146" t="n">
        <v>0.997374</v>
      </c>
      <c r="C578" s="179" t="n">
        <v>27270295456</v>
      </c>
      <c r="D578" s="179" t="n">
        <v>27342088213</v>
      </c>
      <c r="E578" s="146" t="n">
        <v>1.003277</v>
      </c>
      <c r="F578" s="179" t="n">
        <v>62121870026</v>
      </c>
      <c r="G578" s="179" t="n">
        <v>61918953610</v>
      </c>
      <c r="H578" s="179">
        <f>IFERROR(D578+G578,D578)</f>
        <v/>
      </c>
      <c r="I578" s="184">
        <f>IFERROR(D578/H578,"")</f>
        <v/>
      </c>
      <c r="J578" s="179" t="n">
        <v>5468417643</v>
      </c>
      <c r="K578" s="179" t="n">
        <v>10936835285</v>
      </c>
      <c r="L578" s="179" t="n">
        <v>16405252928</v>
      </c>
    </row>
    <row r="579" ht="15" customHeight="1" s="95">
      <c r="A579" s="143" t="n">
        <v>44408</v>
      </c>
      <c r="B579" s="146" t="n">
        <v>1.005692</v>
      </c>
      <c r="C579" s="179" t="n">
        <v>27488455660</v>
      </c>
      <c r="D579" s="179" t="n">
        <v>27332883318</v>
      </c>
      <c r="E579" s="146" t="n">
        <v>1.002183</v>
      </c>
      <c r="F579" s="179" t="n">
        <v>62114781308</v>
      </c>
      <c r="G579" s="179" t="n">
        <v>61979453118</v>
      </c>
      <c r="H579" s="179">
        <f>IFERROR(D579+G579,D579)</f>
        <v/>
      </c>
      <c r="I579" s="184">
        <f>IFERROR(D579/H579,"")</f>
        <v/>
      </c>
      <c r="J579" s="179" t="n">
        <v>5466576664</v>
      </c>
      <c r="K579" s="179" t="n">
        <v>10933153327</v>
      </c>
      <c r="L579" s="179" t="n">
        <v>16399729991</v>
      </c>
    </row>
    <row r="580" ht="15" customHeight="1" s="95">
      <c r="A580" s="143" t="n">
        <v>44409</v>
      </c>
      <c r="B580" s="146" t="n">
        <v>0.998964</v>
      </c>
      <c r="C580" s="179" t="n">
        <v>27319676910</v>
      </c>
      <c r="D580" s="179" t="n">
        <v>27347999063</v>
      </c>
      <c r="E580" s="146" t="n">
        <v>1.000153</v>
      </c>
      <c r="F580" s="179" t="n">
        <v>61982505061</v>
      </c>
      <c r="G580" s="179" t="n">
        <v>61973053118</v>
      </c>
      <c r="H580" s="179">
        <f>IFERROR(D580+G580,D580)</f>
        <v/>
      </c>
      <c r="I580" s="184">
        <f>IFERROR(D580/H580,"")</f>
        <v/>
      </c>
      <c r="J580" s="179" t="n">
        <v>5469599813</v>
      </c>
      <c r="K580" s="179" t="n">
        <v>10939199625</v>
      </c>
      <c r="L580" s="179" t="n">
        <v>16408799438</v>
      </c>
    </row>
    <row r="581" ht="15" customHeight="1" s="95">
      <c r="A581" s="143" t="n">
        <v>44410</v>
      </c>
      <c r="B581" s="146" t="n">
        <v>0.99834</v>
      </c>
      <c r="C581" s="179" t="n">
        <v>27312514187</v>
      </c>
      <c r="D581" s="179" t="n">
        <v>27357941583</v>
      </c>
      <c r="E581" s="146" t="n">
        <v>1.003297</v>
      </c>
      <c r="F581" s="179" t="n">
        <v>62277717172</v>
      </c>
      <c r="G581" s="179" t="n">
        <v>62073053118</v>
      </c>
      <c r="H581" s="179">
        <f>IFERROR(D581+G581,D581)</f>
        <v/>
      </c>
      <c r="I581" s="184">
        <f>IFERROR(D581/H581,"")</f>
        <v/>
      </c>
      <c r="J581" s="179" t="n">
        <v>5471588317</v>
      </c>
      <c r="K581" s="179" t="n">
        <v>10943176633</v>
      </c>
      <c r="L581" s="179" t="n">
        <v>16414764950</v>
      </c>
    </row>
    <row r="582" ht="15" customHeight="1" s="95">
      <c r="A582" s="143" t="n">
        <v>44411</v>
      </c>
      <c r="B582" s="146" t="n">
        <v>0.999808</v>
      </c>
      <c r="C582" s="179" t="n">
        <v>27402862312</v>
      </c>
      <c r="D582" s="179" t="n">
        <v>27408112698</v>
      </c>
      <c r="E582" s="146" t="n">
        <v>1.00106</v>
      </c>
      <c r="F582" s="179" t="n">
        <v>62235948822</v>
      </c>
      <c r="G582" s="179" t="n">
        <v>62170053118</v>
      </c>
      <c r="H582" s="179">
        <f>IFERROR(D582+G582,D582)</f>
        <v/>
      </c>
      <c r="I582" s="184">
        <f>IFERROR(D582/H582,"")</f>
        <v/>
      </c>
      <c r="J582" s="179" t="n">
        <v>5481622540</v>
      </c>
      <c r="K582" s="179" t="n">
        <v>10963245079</v>
      </c>
      <c r="L582" s="179" t="n">
        <v>16444867619</v>
      </c>
    </row>
    <row r="583" ht="15" customHeight="1" s="95">
      <c r="A583" s="143" t="n">
        <v>44412</v>
      </c>
      <c r="B583" s="146" t="n">
        <v>0.999071</v>
      </c>
      <c r="C583" s="179" t="n">
        <v>27477883848</v>
      </c>
      <c r="D583" s="179" t="n">
        <v>27503421063</v>
      </c>
      <c r="E583" s="146" t="n">
        <v>1.006696</v>
      </c>
      <c r="F583" s="179" t="n">
        <v>62418179896</v>
      </c>
      <c r="G583" s="179" t="n">
        <v>62002977831</v>
      </c>
      <c r="H583" s="179">
        <f>IFERROR(D583+G583,D583)</f>
        <v/>
      </c>
      <c r="I583" s="184">
        <f>IFERROR(D583/H583,"")</f>
        <v/>
      </c>
      <c r="J583" s="179" t="n">
        <v>5500684213</v>
      </c>
      <c r="K583" s="179" t="n">
        <v>11001368425</v>
      </c>
      <c r="L583" s="179" t="n">
        <v>16502052638</v>
      </c>
    </row>
    <row r="584" ht="15" customHeight="1" s="95">
      <c r="A584" s="143" t="n">
        <v>44413</v>
      </c>
      <c r="B584" s="146" t="n">
        <v>0.999924</v>
      </c>
      <c r="C584" s="179" t="n">
        <v>27590796350</v>
      </c>
      <c r="D584" s="179" t="n">
        <v>27592882810</v>
      </c>
      <c r="E584" s="146" t="n">
        <v>0.99363</v>
      </c>
      <c r="F584" s="179" t="n">
        <v>62018887952</v>
      </c>
      <c r="G584" s="179" t="n">
        <v>62416472647</v>
      </c>
      <c r="H584" s="179">
        <f>IFERROR(D584+G584,D584)</f>
        <v/>
      </c>
      <c r="I584" s="184">
        <f>IFERROR(D584/H584,"")</f>
        <v/>
      </c>
      <c r="J584" s="179" t="n">
        <v>5518576562</v>
      </c>
      <c r="K584" s="179" t="n">
        <v>11037153124</v>
      </c>
      <c r="L584" s="179" t="n">
        <v>16555729686</v>
      </c>
    </row>
    <row r="585" ht="15" customHeight="1" s="95">
      <c r="A585" s="143" t="n">
        <v>44414</v>
      </c>
      <c r="B585" s="146" t="n">
        <v>0.998533</v>
      </c>
      <c r="C585" s="179" t="n">
        <v>27593186740</v>
      </c>
      <c r="D585" s="179" t="n">
        <v>27633733800</v>
      </c>
      <c r="E585" s="146" t="n">
        <v>1.000135</v>
      </c>
      <c r="F585" s="179" t="n">
        <v>62246711954</v>
      </c>
      <c r="G585" s="179" t="n">
        <v>62238327692</v>
      </c>
      <c r="H585" s="179">
        <f>IFERROR(D585+G585,D585)</f>
        <v/>
      </c>
      <c r="I585" s="184">
        <f>IFERROR(D585/H585,"")</f>
        <v/>
      </c>
      <c r="J585" s="179" t="n">
        <v>5526746760</v>
      </c>
      <c r="K585" s="179" t="n">
        <v>11053493520</v>
      </c>
      <c r="L585" s="179" t="n">
        <v>16580240280</v>
      </c>
    </row>
    <row r="586" ht="15" customHeight="1" s="95">
      <c r="A586" s="143" t="n">
        <v>44415</v>
      </c>
      <c r="B586" s="146" t="n">
        <v>1.000292</v>
      </c>
      <c r="C586" s="179" t="n">
        <v>27574471033</v>
      </c>
      <c r="D586" s="179" t="n">
        <v>27566423244</v>
      </c>
      <c r="E586" s="146" t="n">
        <v>1.001303</v>
      </c>
      <c r="F586" s="179" t="n">
        <v>62311902806</v>
      </c>
      <c r="G586" s="179" t="n">
        <v>62230800619</v>
      </c>
      <c r="H586" s="179">
        <f>IFERROR(D586+G586,D586)</f>
        <v/>
      </c>
      <c r="I586" s="184">
        <f>IFERROR(D586/H586,"")</f>
        <v/>
      </c>
      <c r="J586" s="179" t="n">
        <v>5513284649</v>
      </c>
      <c r="K586" s="179" t="n">
        <v>11026569298</v>
      </c>
      <c r="L586" s="179" t="n">
        <v>16539853946</v>
      </c>
    </row>
    <row r="587" ht="15" customHeight="1" s="95">
      <c r="A587" s="143" t="n">
        <v>44416</v>
      </c>
      <c r="B587" s="146" t="n">
        <v>1.000847</v>
      </c>
      <c r="C587" s="179" t="n">
        <v>27660079590</v>
      </c>
      <c r="D587" s="179" t="n">
        <v>27636658597</v>
      </c>
      <c r="E587" s="146" t="n">
        <v>1.000823</v>
      </c>
      <c r="F587" s="179" t="n">
        <v>62320920591</v>
      </c>
      <c r="G587" s="179" t="n">
        <v>62269652138</v>
      </c>
      <c r="H587" s="179">
        <f>IFERROR(D587+G587,D587)</f>
        <v/>
      </c>
      <c r="I587" s="184">
        <f>IFERROR(D587/H587,"")</f>
        <v/>
      </c>
      <c r="J587" s="179" t="n">
        <v>5527331719</v>
      </c>
      <c r="K587" s="179" t="n">
        <v>11054663439</v>
      </c>
      <c r="L587" s="179" t="n">
        <v>16581995158</v>
      </c>
    </row>
    <row r="588" ht="15" customHeight="1" s="95">
      <c r="A588" s="143" t="n">
        <v>44417</v>
      </c>
      <c r="B588" s="146" t="n">
        <v>1.000529</v>
      </c>
      <c r="C588" s="179" t="n">
        <v>27591736543</v>
      </c>
      <c r="D588" s="179" t="n">
        <v>27577146765</v>
      </c>
      <c r="E588" s="146" t="n">
        <v>1.001543</v>
      </c>
      <c r="F588" s="179" t="n">
        <v>62528591970</v>
      </c>
      <c r="G588" s="179" t="n">
        <v>62432235031</v>
      </c>
      <c r="H588" s="179">
        <f>IFERROR(D588+G588,D588)</f>
        <v/>
      </c>
      <c r="I588" s="184">
        <f>IFERROR(D588/H588,"")</f>
        <v/>
      </c>
      <c r="J588" s="179" t="n">
        <v>5515429353</v>
      </c>
      <c r="K588" s="179" t="n">
        <v>11030858706</v>
      </c>
      <c r="L588" s="179" t="n">
        <v>16546288059</v>
      </c>
    </row>
    <row r="589" ht="15" customHeight="1" s="95">
      <c r="A589" s="143" t="n">
        <v>44418</v>
      </c>
      <c r="B589" s="146" t="n">
        <v>0.99995</v>
      </c>
      <c r="C589" s="179" t="n">
        <v>27948178608</v>
      </c>
      <c r="D589" s="179" t="n">
        <v>27949569024</v>
      </c>
      <c r="E589" s="146" t="n">
        <v>1.005094</v>
      </c>
      <c r="F589" s="179" t="n">
        <v>62530992250</v>
      </c>
      <c r="G589" s="179" t="n">
        <v>62214066575</v>
      </c>
      <c r="H589" s="179">
        <f>IFERROR(D589+G589,D589)</f>
        <v/>
      </c>
      <c r="I589" s="184">
        <f>IFERROR(D589/H589,"")</f>
        <v/>
      </c>
      <c r="J589" s="179" t="n">
        <v>5589913805</v>
      </c>
      <c r="K589" s="179" t="n">
        <v>11179827610</v>
      </c>
      <c r="L589" s="179" t="n">
        <v>16769741414</v>
      </c>
    </row>
    <row r="590" ht="15" customHeight="1" s="95">
      <c r="A590" s="143" t="n">
        <v>44419</v>
      </c>
      <c r="B590" s="146" t="n">
        <v>1.000428</v>
      </c>
      <c r="C590" s="179" t="n">
        <v>28005369590</v>
      </c>
      <c r="D590" s="179" t="n">
        <v>27993399547</v>
      </c>
      <c r="E590" s="146" t="n">
        <v>0.99882</v>
      </c>
      <c r="F590" s="179" t="n">
        <v>62714116807</v>
      </c>
      <c r="G590" s="179" t="n">
        <v>62788235031</v>
      </c>
      <c r="H590" s="179">
        <f>IFERROR(D590+G590,D590)</f>
        <v/>
      </c>
      <c r="I590" s="184">
        <f>IFERROR(D590/H590,"")</f>
        <v/>
      </c>
      <c r="J590" s="179" t="n">
        <v>5598679909</v>
      </c>
      <c r="K590" s="179" t="n">
        <v>11197359819</v>
      </c>
      <c r="L590" s="179" t="n">
        <v>16796039728</v>
      </c>
    </row>
    <row r="591" ht="15" customHeight="1" s="95">
      <c r="A591" s="143" t="n">
        <v>44420</v>
      </c>
      <c r="B591" s="146" t="n">
        <v>0.999723</v>
      </c>
      <c r="C591" s="179" t="n">
        <v>27950403625</v>
      </c>
      <c r="D591" s="179" t="n">
        <v>27958145354</v>
      </c>
      <c r="E591" s="146" t="n">
        <v>1.001924</v>
      </c>
      <c r="F591" s="179" t="n">
        <v>62917564699</v>
      </c>
      <c r="G591" s="179" t="n">
        <v>62796735031</v>
      </c>
      <c r="H591" s="179">
        <f>IFERROR(D591+G591,D591)</f>
        <v/>
      </c>
      <c r="I591" s="184">
        <f>IFERROR(D591/H591,"")</f>
        <v/>
      </c>
      <c r="J591" s="179" t="n">
        <v>5591629071</v>
      </c>
      <c r="K591" s="179" t="n">
        <v>11183258142</v>
      </c>
      <c r="L591" s="179" t="n">
        <v>16774887212</v>
      </c>
    </row>
    <row r="592" ht="15" customHeight="1" s="95">
      <c r="A592" s="143" t="n">
        <v>44421</v>
      </c>
      <c r="B592" s="146" t="n">
        <v>1.000852</v>
      </c>
      <c r="C592" s="179" t="n">
        <v>27860191049</v>
      </c>
      <c r="D592" s="179" t="n">
        <v>27836477764</v>
      </c>
      <c r="E592" s="146" t="n">
        <v>1.001236</v>
      </c>
      <c r="F592" s="179" t="n">
        <v>63262016420</v>
      </c>
      <c r="G592" s="179" t="n">
        <v>63183933716</v>
      </c>
      <c r="H592" s="179">
        <f>IFERROR(D592+G592,D592)</f>
        <v/>
      </c>
      <c r="I592" s="184">
        <f>IFERROR(D592/H592,"")</f>
        <v/>
      </c>
      <c r="J592" s="179" t="n">
        <v>5567295553</v>
      </c>
      <c r="K592" s="179" t="n">
        <v>11134591106</v>
      </c>
      <c r="L592" s="179" t="n">
        <v>16701886658</v>
      </c>
    </row>
    <row r="593" ht="15" customHeight="1" s="95">
      <c r="A593" s="143" t="n">
        <v>44422</v>
      </c>
      <c r="B593" s="146" t="n">
        <v>1.001232</v>
      </c>
      <c r="C593" s="179" t="n">
        <v>27713587184</v>
      </c>
      <c r="D593" s="179" t="n">
        <v>27679493094</v>
      </c>
      <c r="E593" s="146" t="n">
        <v>0.999572</v>
      </c>
      <c r="F593" s="179" t="n">
        <v>63170658193</v>
      </c>
      <c r="G593" s="179" t="n">
        <v>63197735031</v>
      </c>
      <c r="H593" s="179">
        <f>IFERROR(D593+G593,D593)</f>
        <v/>
      </c>
      <c r="I593" s="184">
        <f>IFERROR(D593/H593,"")</f>
        <v/>
      </c>
      <c r="J593" s="179" t="n">
        <v>5535898619</v>
      </c>
      <c r="K593" s="179" t="n">
        <v>11071797238</v>
      </c>
      <c r="L593" s="179" t="n">
        <v>16607695856</v>
      </c>
    </row>
    <row r="594" ht="15" customHeight="1" s="95">
      <c r="A594" s="143" t="n">
        <v>44423</v>
      </c>
      <c r="B594" s="146" t="n">
        <v>1.000078</v>
      </c>
      <c r="C594" s="179" t="n">
        <v>27747983649</v>
      </c>
      <c r="D594" s="179" t="n">
        <v>27745817440</v>
      </c>
      <c r="E594" s="146" t="n">
        <v>1.000119</v>
      </c>
      <c r="F594" s="179" t="n">
        <v>63506317810</v>
      </c>
      <c r="G594" s="179" t="n">
        <v>63498735031</v>
      </c>
      <c r="H594" s="179">
        <f>IFERROR(D594+G594,D594)</f>
        <v/>
      </c>
      <c r="I594" s="184">
        <f>IFERROR(D594/H594,"")</f>
        <v/>
      </c>
      <c r="J594" s="179" t="n">
        <v>5549163488</v>
      </c>
      <c r="K594" s="179" t="n">
        <v>11098326976</v>
      </c>
      <c r="L594" s="179" t="n">
        <v>16647490464</v>
      </c>
    </row>
    <row r="595" ht="15" customHeight="1" s="95">
      <c r="A595" s="143" t="n">
        <v>44424</v>
      </c>
      <c r="B595" s="146" t="n">
        <v>0.998749</v>
      </c>
      <c r="C595" s="179" t="n">
        <v>27604891795</v>
      </c>
      <c r="D595" s="179" t="n">
        <v>27639475319</v>
      </c>
      <c r="E595" s="146" t="n">
        <v>1.001194</v>
      </c>
      <c r="F595" s="179" t="n">
        <v>63683568339</v>
      </c>
      <c r="G595" s="179" t="n">
        <v>63607631177</v>
      </c>
      <c r="H595" s="179">
        <f>IFERROR(D595+G595,D595)</f>
        <v/>
      </c>
      <c r="I595" s="184">
        <f>IFERROR(D595/H595,"")</f>
        <v/>
      </c>
      <c r="J595" s="179" t="n">
        <v>5527895064</v>
      </c>
      <c r="K595" s="179" t="n">
        <v>11055790128</v>
      </c>
      <c r="L595" s="179" t="n">
        <v>16583685191</v>
      </c>
    </row>
    <row r="596" ht="15" customHeight="1" s="95">
      <c r="A596" s="143" t="n">
        <v>44425</v>
      </c>
      <c r="B596" s="146" t="n">
        <v>0.999854</v>
      </c>
      <c r="C596" s="179" t="n">
        <v>27425038808</v>
      </c>
      <c r="D596" s="179" t="n">
        <v>27429049288</v>
      </c>
      <c r="E596" s="146" t="n">
        <v>0.999827</v>
      </c>
      <c r="F596" s="179" t="n">
        <v>63948326323</v>
      </c>
      <c r="G596" s="179" t="n">
        <v>63959392721</v>
      </c>
      <c r="H596" s="179">
        <f>IFERROR(D596+G596,D596)</f>
        <v/>
      </c>
      <c r="I596" s="184">
        <f>IFERROR(D596/H596,"")</f>
        <v/>
      </c>
      <c r="J596" s="179" t="n">
        <v>5485809858</v>
      </c>
      <c r="K596" s="179" t="n">
        <v>10971619715</v>
      </c>
      <c r="L596" s="179" t="n">
        <v>16457429573</v>
      </c>
    </row>
    <row r="597" ht="15" customHeight="1" s="95">
      <c r="A597" s="143" t="n">
        <v>44426</v>
      </c>
      <c r="B597" s="146" t="n">
        <v>0.997011</v>
      </c>
      <c r="C597" s="179" t="n">
        <v>27480130954</v>
      </c>
      <c r="D597" s="179" t="n">
        <v>27562515143</v>
      </c>
      <c r="E597" s="146" t="n">
        <v>1.001483</v>
      </c>
      <c r="F597" s="179" t="n">
        <v>64394092487</v>
      </c>
      <c r="G597" s="179" t="n">
        <v>64298735031</v>
      </c>
      <c r="H597" s="179">
        <f>IFERROR(D597+G597,D597)</f>
        <v/>
      </c>
      <c r="I597" s="184">
        <f>IFERROR(D597/H597,"")</f>
        <v/>
      </c>
      <c r="J597" s="179" t="n">
        <v>5512503029</v>
      </c>
      <c r="K597" s="179" t="n">
        <v>11025006057</v>
      </c>
      <c r="L597" s="179" t="n">
        <v>16537509086</v>
      </c>
    </row>
    <row r="598" ht="15" customHeight="1" s="95">
      <c r="A598" s="143" t="n">
        <v>44427</v>
      </c>
      <c r="B598" s="146" t="n">
        <v>0.999077</v>
      </c>
      <c r="C598" s="179" t="n">
        <v>27501150833</v>
      </c>
      <c r="D598" s="179" t="n">
        <v>27526545346</v>
      </c>
      <c r="E598" s="146" t="n">
        <v>1.0018</v>
      </c>
      <c r="F598" s="179" t="n">
        <v>64430838255</v>
      </c>
      <c r="G598" s="179" t="n">
        <v>64315076280</v>
      </c>
      <c r="H598" s="179">
        <f>IFERROR(D598+G598,D598)</f>
        <v/>
      </c>
      <c r="I598" s="184">
        <f>IFERROR(D598/H598,"")</f>
        <v/>
      </c>
      <c r="J598" s="179" t="n">
        <v>5505309069</v>
      </c>
      <c r="K598" s="179" t="n">
        <v>11010618138</v>
      </c>
      <c r="L598" s="179" t="n">
        <v>16515927208</v>
      </c>
    </row>
    <row r="599" ht="15" customHeight="1" s="95">
      <c r="A599" s="143" t="n">
        <v>44428</v>
      </c>
      <c r="B599" s="146" t="n">
        <v>1.004072</v>
      </c>
      <c r="C599" s="179" t="n">
        <v>27570889506</v>
      </c>
      <c r="D599" s="179" t="n">
        <v>27459072370</v>
      </c>
      <c r="E599" s="146" t="n">
        <v>1.008419</v>
      </c>
      <c r="F599" s="179" t="n">
        <v>64498000091</v>
      </c>
      <c r="G599" s="179" t="n">
        <v>63959556266</v>
      </c>
      <c r="H599" s="179">
        <f>IFERROR(D599+G599,D599)</f>
        <v/>
      </c>
      <c r="I599" s="184">
        <f>IFERROR(D599/H599,"")</f>
        <v/>
      </c>
      <c r="J599" s="179" t="n">
        <v>5491814474</v>
      </c>
      <c r="K599" s="179" t="n">
        <v>10983628948</v>
      </c>
      <c r="L599" s="179" t="n">
        <v>16475443422</v>
      </c>
    </row>
    <row r="600" ht="15" customHeight="1" s="95">
      <c r="A600" s="143" t="n">
        <v>44429</v>
      </c>
      <c r="B600" s="146" t="n">
        <v>1.000106</v>
      </c>
      <c r="C600" s="179" t="n">
        <v>26988358692</v>
      </c>
      <c r="D600" s="179" t="n">
        <v>26985504022</v>
      </c>
      <c r="E600" s="146" t="n">
        <v>1.001161</v>
      </c>
      <c r="F600" s="179" t="n">
        <v>64751172752</v>
      </c>
      <c r="G600" s="179" t="n">
        <v>64676059344</v>
      </c>
      <c r="H600" s="179">
        <f>IFERROR(D600+G600,D600)</f>
        <v/>
      </c>
      <c r="I600" s="184">
        <f>IFERROR(D600/H600,"")</f>
        <v/>
      </c>
      <c r="J600" s="179" t="n">
        <v>5397100804</v>
      </c>
      <c r="K600" s="179" t="n">
        <v>10794201609</v>
      </c>
      <c r="L600" s="179" t="n">
        <v>16191302413</v>
      </c>
    </row>
    <row r="601" ht="15" customHeight="1" s="95">
      <c r="A601" s="143" t="n">
        <v>44430</v>
      </c>
      <c r="B601" s="146" t="n">
        <v>0.998479</v>
      </c>
      <c r="C601" s="179" t="n">
        <v>26943862008</v>
      </c>
      <c r="D601" s="179" t="n">
        <v>26984913561</v>
      </c>
      <c r="E601" s="146" t="n">
        <v>1.000481</v>
      </c>
      <c r="F601" s="179" t="n">
        <v>65031061327</v>
      </c>
      <c r="G601" s="179" t="n">
        <v>64999778009</v>
      </c>
      <c r="H601" s="179">
        <f>IFERROR(D601+G601,D601)</f>
        <v/>
      </c>
      <c r="I601" s="184">
        <f>IFERROR(D601/H601,"")</f>
        <v/>
      </c>
      <c r="J601" s="179" t="n">
        <v>5396982712</v>
      </c>
      <c r="K601" s="179" t="n">
        <v>10793965424</v>
      </c>
      <c r="L601" s="179" t="n">
        <v>16190948137</v>
      </c>
    </row>
    <row r="602" ht="15" customHeight="1" s="95">
      <c r="A602" s="143" t="n">
        <v>44431</v>
      </c>
      <c r="B602" s="146" t="n">
        <v>0.99939</v>
      </c>
      <c r="C602" s="179" t="n">
        <v>26994190691</v>
      </c>
      <c r="D602" s="179" t="n">
        <v>27010672889</v>
      </c>
      <c r="E602" s="146" t="n">
        <v>1.005613</v>
      </c>
      <c r="F602" s="179" t="n">
        <v>65323477628</v>
      </c>
      <c r="G602" s="179" t="n">
        <v>64958835031</v>
      </c>
      <c r="H602" s="179">
        <f>IFERROR(D602+G602,D602)</f>
        <v/>
      </c>
      <c r="I602" s="184">
        <f>IFERROR(D602/H602,"")</f>
        <v/>
      </c>
      <c r="J602" s="179" t="n">
        <v>5402134578</v>
      </c>
      <c r="K602" s="179" t="n">
        <v>10804269156</v>
      </c>
      <c r="L602" s="179" t="n">
        <v>16206403733</v>
      </c>
    </row>
    <row r="603" ht="15" customHeight="1" s="95">
      <c r="A603" s="143" t="n">
        <v>44432</v>
      </c>
      <c r="B603" s="146" t="n">
        <v>0.999911</v>
      </c>
      <c r="C603" s="179" t="n">
        <v>26909139886</v>
      </c>
      <c r="D603" s="179" t="n">
        <v>26911533337</v>
      </c>
      <c r="E603" s="146" t="n">
        <v>1.000089</v>
      </c>
      <c r="F603" s="179" t="n">
        <v>65164646791</v>
      </c>
      <c r="G603" s="179" t="n">
        <v>65158835031</v>
      </c>
      <c r="H603" s="179">
        <f>IFERROR(D603+G603,D603)</f>
        <v/>
      </c>
      <c r="I603" s="184">
        <f>IFERROR(D603/H603,"")</f>
        <v/>
      </c>
      <c r="J603" s="179" t="n">
        <v>5382306667</v>
      </c>
      <c r="K603" s="179" t="n">
        <v>10764613335</v>
      </c>
      <c r="L603" s="179" t="n">
        <v>16146920002</v>
      </c>
    </row>
    <row r="604" ht="15" customHeight="1" s="95">
      <c r="A604" s="143" t="n">
        <v>44433</v>
      </c>
      <c r="B604" s="146" t="n">
        <v>0.999396</v>
      </c>
      <c r="C604" s="179" t="n">
        <v>26960386899</v>
      </c>
      <c r="D604" s="179" t="n">
        <v>26976688446</v>
      </c>
      <c r="E604" s="146" t="n">
        <v>1.001989</v>
      </c>
      <c r="F604" s="179" t="n">
        <v>65445282987</v>
      </c>
      <c r="G604" s="179" t="n">
        <v>65315395214</v>
      </c>
      <c r="H604" s="179">
        <f>IFERROR(D604+G604,D604)</f>
        <v/>
      </c>
      <c r="I604" s="184">
        <f>IFERROR(D604/H604,"")</f>
        <v/>
      </c>
      <c r="J604" s="179" t="n">
        <v>5395337689</v>
      </c>
      <c r="K604" s="179" t="n">
        <v>10790675378</v>
      </c>
      <c r="L604" s="179" t="n">
        <v>16186013068</v>
      </c>
    </row>
    <row r="605" ht="15" customHeight="1" s="95">
      <c r="A605" s="143" t="n">
        <v>44434</v>
      </c>
      <c r="B605" s="146" t="n">
        <v>1.000155</v>
      </c>
      <c r="C605" s="179" t="n">
        <v>27067045684</v>
      </c>
      <c r="D605" s="179" t="n">
        <v>27062848989</v>
      </c>
      <c r="E605" s="146" t="n">
        <v>1.000556</v>
      </c>
      <c r="F605" s="179" t="n">
        <v>65829983682</v>
      </c>
      <c r="G605" s="179" t="n">
        <v>65793434901</v>
      </c>
      <c r="H605" s="179">
        <f>IFERROR(D605+G605,D605)</f>
        <v/>
      </c>
      <c r="I605" s="184">
        <f>IFERROR(D605/H605,"")</f>
        <v/>
      </c>
      <c r="J605" s="179" t="n">
        <v>5412569798</v>
      </c>
      <c r="K605" s="179" t="n">
        <v>10825139596</v>
      </c>
      <c r="L605" s="179" t="n">
        <v>16237709393</v>
      </c>
    </row>
    <row r="606" ht="15" customHeight="1" s="95">
      <c r="A606" s="143" t="n">
        <v>44435</v>
      </c>
      <c r="B606" s="146" t="n">
        <v>1.001289</v>
      </c>
      <c r="C606" s="179" t="n">
        <v>27063633911</v>
      </c>
      <c r="D606" s="179" t="n">
        <v>27028785984</v>
      </c>
      <c r="E606" s="146" t="n">
        <v>0.996837</v>
      </c>
      <c r="F606" s="179" t="n">
        <v>65635362613</v>
      </c>
      <c r="G606" s="179" t="n">
        <v>65843634876</v>
      </c>
      <c r="H606" s="179">
        <f>IFERROR(D606+G606,D606)</f>
        <v/>
      </c>
      <c r="I606" s="184">
        <f>IFERROR(D606/H606,"")</f>
        <v/>
      </c>
      <c r="J606" s="179" t="n">
        <v>5405757197</v>
      </c>
      <c r="K606" s="179" t="n">
        <v>10811514394</v>
      </c>
      <c r="L606" s="179" t="n">
        <v>16217271590</v>
      </c>
    </row>
    <row r="607" ht="15" customHeight="1" s="95">
      <c r="A607" s="143" t="n">
        <v>44436</v>
      </c>
      <c r="B607" s="146" t="n">
        <v>1.000109</v>
      </c>
      <c r="C607" s="179" t="n">
        <v>27160308680</v>
      </c>
      <c r="D607" s="179" t="n">
        <v>27157360967</v>
      </c>
      <c r="E607" s="146" t="n">
        <v>1.001393</v>
      </c>
      <c r="F607" s="179" t="n">
        <v>65932440977</v>
      </c>
      <c r="G607" s="179" t="n">
        <v>65840746181</v>
      </c>
      <c r="H607" s="179">
        <f>IFERROR(D607+G607,D607)</f>
        <v/>
      </c>
      <c r="I607" s="184">
        <f>IFERROR(D607/H607,"")</f>
        <v/>
      </c>
      <c r="J607" s="179" t="n">
        <v>5431472193</v>
      </c>
      <c r="K607" s="179" t="n">
        <v>10862944387</v>
      </c>
      <c r="L607" s="179" t="n">
        <v>16294416580</v>
      </c>
    </row>
    <row r="608" ht="15" customHeight="1" s="95">
      <c r="A608" s="143" t="n">
        <v>44437</v>
      </c>
      <c r="B608" s="146" t="n">
        <v>1.002664</v>
      </c>
      <c r="C608" s="179" t="n">
        <v>27208835428</v>
      </c>
      <c r="D608" s="179" t="n">
        <v>27136531311</v>
      </c>
      <c r="E608" s="146" t="n">
        <v>1.000869</v>
      </c>
      <c r="F608" s="179" t="n">
        <v>65898684244</v>
      </c>
      <c r="G608" s="179" t="n">
        <v>65841476181</v>
      </c>
      <c r="H608" s="179">
        <f>IFERROR(D608+G608,D608)</f>
        <v/>
      </c>
      <c r="I608" s="184">
        <f>IFERROR(D608/H608,"")</f>
        <v/>
      </c>
      <c r="J608" s="179" t="n">
        <v>5427306262</v>
      </c>
      <c r="K608" s="179" t="n">
        <v>10854612524</v>
      </c>
      <c r="L608" s="179" t="n">
        <v>16281918787</v>
      </c>
    </row>
    <row r="609" ht="15" customHeight="1" s="95">
      <c r="A609" s="143" t="n">
        <v>44438</v>
      </c>
      <c r="B609" s="146" t="n">
        <v>1.000518</v>
      </c>
      <c r="C609" s="179" t="n">
        <v>27214921399</v>
      </c>
      <c r="D609" s="179" t="n">
        <v>27200838274</v>
      </c>
      <c r="E609" s="146" t="n">
        <v>1.002129</v>
      </c>
      <c r="F609" s="179" t="n">
        <v>65810347296</v>
      </c>
      <c r="G609" s="179" t="n">
        <v>65670519715</v>
      </c>
      <c r="H609" s="179">
        <f>IFERROR(D609+G609,D609)</f>
        <v/>
      </c>
      <c r="I609" s="184">
        <f>IFERROR(D609/H609,"")</f>
        <v/>
      </c>
      <c r="J609" s="179" t="n">
        <v>5440167655</v>
      </c>
      <c r="K609" s="179" t="n">
        <v>10880335310</v>
      </c>
      <c r="L609" s="179" t="n">
        <v>16320502964</v>
      </c>
    </row>
    <row r="610" ht="15" customHeight="1" s="95">
      <c r="A610" s="143" t="n">
        <v>44439</v>
      </c>
      <c r="B610" s="146" t="n">
        <v>1.000672</v>
      </c>
      <c r="C610" s="179" t="n">
        <v>27379050578</v>
      </c>
      <c r="D610" s="179" t="n">
        <v>27360676579</v>
      </c>
      <c r="E610" s="146" t="n">
        <v>0.9993570000000001</v>
      </c>
      <c r="F610" s="179" t="n">
        <v>65898199595</v>
      </c>
      <c r="G610" s="179" t="n">
        <v>65940609551</v>
      </c>
      <c r="H610" s="179">
        <f>IFERROR(D610+G610,D610)</f>
        <v/>
      </c>
      <c r="I610" s="184">
        <f>IFERROR(D610/H610,"")</f>
        <v/>
      </c>
      <c r="J610" s="179" t="n">
        <v>5472135316</v>
      </c>
      <c r="K610" s="179" t="n">
        <v>10944270632</v>
      </c>
      <c r="L610" s="179" t="n">
        <v>16416405947</v>
      </c>
    </row>
    <row r="611" ht="15" customHeight="1" s="95">
      <c r="A611" s="143" t="n">
        <v>44440</v>
      </c>
      <c r="B611" s="146" t="n">
        <v>1.00183</v>
      </c>
      <c r="C611" s="179" t="n">
        <v>27448639357</v>
      </c>
      <c r="D611" s="179" t="n">
        <v>27398491463</v>
      </c>
      <c r="E611" s="146" t="n">
        <v>1.00221</v>
      </c>
      <c r="F611" s="179" t="n">
        <v>66120214794</v>
      </c>
      <c r="G611" s="179" t="n">
        <v>65974397735</v>
      </c>
      <c r="H611" s="179">
        <f>IFERROR(D611+G611,D611)</f>
        <v/>
      </c>
      <c r="I611" s="184">
        <f>IFERROR(D611/H611,"")</f>
        <v/>
      </c>
      <c r="J611" s="179" t="n">
        <v>5479698293</v>
      </c>
      <c r="K611" s="179" t="n">
        <v>10959396585</v>
      </c>
      <c r="L611" s="179" t="n">
        <v>16439094878</v>
      </c>
    </row>
    <row r="612" ht="15" customHeight="1" s="95">
      <c r="A612" s="143" t="n">
        <v>44441</v>
      </c>
      <c r="B612" s="146" t="n">
        <v>0.999878</v>
      </c>
      <c r="C612" s="179" t="n">
        <v>27556766888</v>
      </c>
      <c r="D612" s="179" t="n">
        <v>27560138166</v>
      </c>
      <c r="E612" s="146" t="n">
        <v>1.001143</v>
      </c>
      <c r="F612" s="179" t="n">
        <v>66048068488</v>
      </c>
      <c r="G612" s="179" t="n">
        <v>65972678909</v>
      </c>
      <c r="H612" s="179">
        <f>IFERROR(D612+G612,D612)</f>
        <v/>
      </c>
      <c r="I612" s="184">
        <f>IFERROR(D612/H612,"")</f>
        <v/>
      </c>
      <c r="J612" s="179" t="n">
        <v>5512027633</v>
      </c>
      <c r="K612" s="179" t="n">
        <v>11024055266</v>
      </c>
      <c r="L612" s="179" t="n">
        <v>16536082900</v>
      </c>
    </row>
    <row r="613" ht="15" customHeight="1" s="95">
      <c r="A613" s="143" t="n">
        <v>44442</v>
      </c>
      <c r="B613" s="146" t="n">
        <v>0.999255</v>
      </c>
      <c r="C613" s="179" t="n">
        <v>27622288717</v>
      </c>
      <c r="D613" s="179" t="n">
        <v>27642891829</v>
      </c>
      <c r="E613" s="146" t="n">
        <v>0.999516</v>
      </c>
      <c r="F613" s="179" t="n">
        <v>66094643840</v>
      </c>
      <c r="G613" s="179" t="n">
        <v>66126678909</v>
      </c>
      <c r="H613" s="179">
        <f>IFERROR(D613+G613,D613)</f>
        <v/>
      </c>
      <c r="I613" s="184">
        <f>IFERROR(D613/H613,"")</f>
        <v/>
      </c>
      <c r="J613" s="179" t="n">
        <v>5528578366</v>
      </c>
      <c r="K613" s="179" t="n">
        <v>11057156732</v>
      </c>
      <c r="L613" s="179" t="n">
        <v>16585735097</v>
      </c>
    </row>
    <row r="614" ht="15" customHeight="1" s="95">
      <c r="A614" s="143" t="n">
        <v>44443</v>
      </c>
      <c r="B614" s="146" t="n">
        <v>1.000896</v>
      </c>
      <c r="C614" s="179" t="n">
        <v>27622612714</v>
      </c>
      <c r="D614" s="179" t="n">
        <v>27597878244</v>
      </c>
      <c r="E614" s="146" t="n">
        <v>0.998865</v>
      </c>
      <c r="F614" s="179" t="n">
        <v>66805863938</v>
      </c>
      <c r="G614" s="179" t="n">
        <v>66881778787</v>
      </c>
      <c r="H614" s="179">
        <f>IFERROR(D614+G614,D614)</f>
        <v/>
      </c>
      <c r="I614" s="184">
        <f>IFERROR(D614/H614,"")</f>
        <v/>
      </c>
      <c r="J614" s="179" t="n">
        <v>5519575649</v>
      </c>
      <c r="K614" s="179" t="n">
        <v>11039151298</v>
      </c>
      <c r="L614" s="179" t="n">
        <v>16558726946</v>
      </c>
    </row>
    <row r="615" ht="15" customHeight="1" s="95">
      <c r="A615" s="143" t="n">
        <v>44444</v>
      </c>
      <c r="B615" s="146" t="n">
        <v>1.000225</v>
      </c>
      <c r="C615" s="179" t="n">
        <v>27728110117</v>
      </c>
      <c r="D615" s="179" t="n">
        <v>27721871856</v>
      </c>
      <c r="E615" s="146" t="n">
        <v>0.997102</v>
      </c>
      <c r="F615" s="179" t="n">
        <v>66972242473</v>
      </c>
      <c r="G615" s="179" t="n">
        <v>67166878787</v>
      </c>
      <c r="H615" s="179">
        <f>IFERROR(D615+G615,D615)</f>
        <v/>
      </c>
      <c r="I615" s="184">
        <f>IFERROR(D615/H615,"")</f>
        <v/>
      </c>
      <c r="J615" s="179" t="n">
        <v>5544374371</v>
      </c>
      <c r="K615" s="179" t="n">
        <v>11088748742</v>
      </c>
      <c r="L615" s="179" t="n">
        <v>16633123114</v>
      </c>
    </row>
    <row r="616" ht="15" customHeight="1" s="95">
      <c r="A616" s="143" t="n">
        <v>44445</v>
      </c>
      <c r="B616" s="146" t="n">
        <v>1.000176</v>
      </c>
      <c r="C616" s="179" t="n">
        <v>27794264302</v>
      </c>
      <c r="D616" s="179" t="n">
        <v>27789381070</v>
      </c>
      <c r="E616" s="146" t="n">
        <v>1.000429</v>
      </c>
      <c r="F616" s="179" t="n">
        <v>67199682876</v>
      </c>
      <c r="G616" s="179" t="n">
        <v>67170878787</v>
      </c>
      <c r="H616" s="179">
        <f>IFERROR(D616+G616,D616)</f>
        <v/>
      </c>
      <c r="I616" s="184">
        <f>IFERROR(D616/H616,"")</f>
        <v/>
      </c>
      <c r="J616" s="179" t="n">
        <v>5557876214</v>
      </c>
      <c r="K616" s="179" t="n">
        <v>11115752428</v>
      </c>
      <c r="L616" s="179" t="n">
        <v>16673628642</v>
      </c>
    </row>
    <row r="617" ht="15" customHeight="1" s="95">
      <c r="A617" s="143" t="n">
        <v>44446</v>
      </c>
      <c r="B617" s="146" t="n">
        <v>1.000936</v>
      </c>
      <c r="C617" s="179" t="n">
        <v>27889766262</v>
      </c>
      <c r="D617" s="179" t="n">
        <v>27863692843</v>
      </c>
      <c r="E617" s="146" t="n">
        <v>0.9999710000000001</v>
      </c>
      <c r="F617" s="179" t="n">
        <v>67905439808</v>
      </c>
      <c r="G617" s="179" t="n">
        <v>67907378787</v>
      </c>
      <c r="H617" s="179">
        <f>IFERROR(D617+G617,D617)</f>
        <v/>
      </c>
      <c r="I617" s="184">
        <f>IFERROR(D617/H617,"")</f>
        <v/>
      </c>
      <c r="J617" s="179" t="n">
        <v>5572738569</v>
      </c>
      <c r="K617" s="179" t="n">
        <v>11145477137</v>
      </c>
      <c r="L617" s="179" t="n">
        <v>16718215706</v>
      </c>
    </row>
    <row r="618" ht="15" customHeight="1" s="95">
      <c r="A618" s="143" t="n">
        <v>44447</v>
      </c>
      <c r="B618" s="146" t="n">
        <v>1.001676</v>
      </c>
      <c r="C618" s="179" t="n">
        <v>28187250674</v>
      </c>
      <c r="D618" s="179" t="n">
        <v>28140080383</v>
      </c>
      <c r="E618" s="146" t="n">
        <v>1.001531</v>
      </c>
      <c r="F618" s="179" t="n">
        <v>68079879671</v>
      </c>
      <c r="G618" s="179" t="n">
        <v>67975823814</v>
      </c>
      <c r="H618" s="179">
        <f>IFERROR(D618+G618,D618)</f>
        <v/>
      </c>
      <c r="I618" s="184">
        <f>IFERROR(D618/H618,"")</f>
        <v/>
      </c>
      <c r="J618" s="179" t="n">
        <v>5628016077</v>
      </c>
      <c r="K618" s="179" t="n">
        <v>11256032153</v>
      </c>
      <c r="L618" s="179" t="n">
        <v>16884048230</v>
      </c>
    </row>
    <row r="619" ht="15" customHeight="1" s="95">
      <c r="A619" s="143" t="n">
        <v>44448</v>
      </c>
      <c r="B619" s="146" t="n">
        <v>1.000661</v>
      </c>
      <c r="C619" s="179" t="n">
        <v>28637608634</v>
      </c>
      <c r="D619" s="179" t="n">
        <v>28618701023</v>
      </c>
      <c r="E619" s="146" t="n">
        <v>1.003511</v>
      </c>
      <c r="F619" s="179" t="n">
        <v>69440355785</v>
      </c>
      <c r="G619" s="179" t="n">
        <v>69197378787</v>
      </c>
      <c r="H619" s="179">
        <f>IFERROR(D619+G619,D619)</f>
        <v/>
      </c>
      <c r="I619" s="184">
        <f>IFERROR(D619/H619,"")</f>
        <v/>
      </c>
      <c r="J619" s="179" t="n">
        <v>5723740205</v>
      </c>
      <c r="K619" s="179" t="n">
        <v>11447480409</v>
      </c>
      <c r="L619" s="179" t="n">
        <v>17171220614</v>
      </c>
    </row>
    <row r="620" ht="15" customHeight="1" s="95">
      <c r="A620" s="143" t="n">
        <v>44449</v>
      </c>
      <c r="B620" s="146" t="n">
        <v>1.002368</v>
      </c>
      <c r="C620" s="179" t="n">
        <v>28940940132</v>
      </c>
      <c r="D620" s="179" t="n">
        <v>28872578001</v>
      </c>
      <c r="E620" s="146" t="n">
        <v>1.00376</v>
      </c>
      <c r="F620" s="179" t="n">
        <v>69442556613</v>
      </c>
      <c r="G620" s="179" t="n">
        <v>69182414449</v>
      </c>
      <c r="H620" s="179">
        <f>IFERROR(D620+G620,D620)</f>
        <v/>
      </c>
      <c r="I620" s="184">
        <f>IFERROR(D620/H620,"")</f>
        <v/>
      </c>
      <c r="J620" s="179" t="n">
        <v>5774515600</v>
      </c>
      <c r="K620" s="179" t="n">
        <v>11549031200</v>
      </c>
      <c r="L620" s="179" t="n">
        <v>17323546801</v>
      </c>
    </row>
    <row r="621" ht="15" customHeight="1" s="95">
      <c r="A621" s="143" t="n">
        <v>44450</v>
      </c>
      <c r="B621" s="146" t="n">
        <v>1.000776</v>
      </c>
      <c r="C621" s="179" t="n">
        <v>29164261910</v>
      </c>
      <c r="D621" s="179" t="n">
        <v>29141645178</v>
      </c>
      <c r="E621" s="146" t="n">
        <v>0.998984</v>
      </c>
      <c r="F621" s="179" t="n">
        <v>69151319362</v>
      </c>
      <c r="G621" s="179" t="n">
        <v>69221613936</v>
      </c>
      <c r="H621" s="179">
        <f>IFERROR(D621+G621,D621)</f>
        <v/>
      </c>
      <c r="I621" s="184">
        <f>IFERROR(D621/H621,"")</f>
        <v/>
      </c>
      <c r="J621" s="179" t="n">
        <v>5828329036</v>
      </c>
      <c r="K621" s="179" t="n">
        <v>11656658071</v>
      </c>
      <c r="L621" s="179" t="n">
        <v>17484987107</v>
      </c>
    </row>
    <row r="622" ht="15" customHeight="1" s="95">
      <c r="A622" s="143" t="n">
        <v>44451</v>
      </c>
      <c r="B622" s="146" t="n">
        <v>1.001957</v>
      </c>
      <c r="C622" s="179" t="n">
        <v>29234449332</v>
      </c>
      <c r="D622" s="179" t="n">
        <v>29177344682</v>
      </c>
      <c r="E622" s="146" t="n">
        <v>1.002384</v>
      </c>
      <c r="F622" s="179" t="n">
        <v>69259977035</v>
      </c>
      <c r="G622" s="179" t="n">
        <v>69095238828</v>
      </c>
      <c r="H622" s="179">
        <f>IFERROR(D622+G622,D622)</f>
        <v/>
      </c>
      <c r="I622" s="184">
        <f>IFERROR(D622/H622,"")</f>
        <v/>
      </c>
      <c r="J622" s="179" t="n">
        <v>5835468936</v>
      </c>
      <c r="K622" s="179" t="n">
        <v>11670937873</v>
      </c>
      <c r="L622" s="179" t="n">
        <v>17506406809</v>
      </c>
    </row>
    <row r="623" ht="15" customHeight="1" s="95">
      <c r="A623" s="143" t="n">
        <v>44452</v>
      </c>
      <c r="B623" s="146" t="n">
        <v>0.9991910000000001</v>
      </c>
      <c r="C623" s="179" t="n">
        <v>29321972544</v>
      </c>
      <c r="D623" s="179" t="n">
        <v>29345701712</v>
      </c>
      <c r="E623" s="146" t="n">
        <v>1.010674</v>
      </c>
      <c r="F623" s="179" t="n">
        <v>70052465366</v>
      </c>
      <c r="G623" s="179" t="n">
        <v>69312616636</v>
      </c>
      <c r="H623" s="179">
        <f>IFERROR(D623+G623,D623)</f>
        <v/>
      </c>
      <c r="I623" s="184">
        <f>IFERROR(D623/H623,"")</f>
        <v/>
      </c>
      <c r="J623" s="179" t="n">
        <v>5869140342</v>
      </c>
      <c r="K623" s="179" t="n">
        <v>11738280685</v>
      </c>
      <c r="L623" s="179" t="n">
        <v>17607421027</v>
      </c>
    </row>
    <row r="624" ht="15" customHeight="1" s="95">
      <c r="A624" s="143" t="n">
        <v>44453</v>
      </c>
      <c r="B624" s="146" t="n">
        <v>1.003117</v>
      </c>
      <c r="C624" s="179" t="n">
        <v>29452160470</v>
      </c>
      <c r="D624" s="179" t="n">
        <v>29360638676</v>
      </c>
      <c r="E624" s="146" t="n">
        <v>1.002466</v>
      </c>
      <c r="F624" s="179" t="n">
        <v>69480907310</v>
      </c>
      <c r="G624" s="179" t="n">
        <v>69309991777</v>
      </c>
      <c r="H624" s="179">
        <f>IFERROR(D624+G624,D624)</f>
        <v/>
      </c>
      <c r="I624" s="184">
        <f>IFERROR(D624/H624,"")</f>
        <v/>
      </c>
      <c r="J624" s="179" t="n">
        <v>5872127735</v>
      </c>
      <c r="K624" s="179" t="n">
        <v>11744255470</v>
      </c>
      <c r="L624" s="179" t="n">
        <v>17616383206</v>
      </c>
    </row>
    <row r="625" ht="15" customHeight="1" s="95">
      <c r="A625" s="143" t="n">
        <v>44454</v>
      </c>
      <c r="B625" s="146" t="n">
        <v>1.001976</v>
      </c>
      <c r="C625" s="179" t="n">
        <v>29292599266</v>
      </c>
      <c r="D625" s="179" t="n">
        <v>29234838538</v>
      </c>
      <c r="E625" s="146" t="n">
        <v>1.00317</v>
      </c>
      <c r="F625" s="179" t="n">
        <v>69533002536</v>
      </c>
      <c r="G625" s="179" t="n">
        <v>69313275151</v>
      </c>
      <c r="H625" s="179">
        <f>IFERROR(D625+G625,D625)</f>
        <v/>
      </c>
      <c r="I625" s="184">
        <f>IFERROR(D625/H625,"")</f>
        <v/>
      </c>
      <c r="J625" s="179" t="n">
        <v>5846967708</v>
      </c>
      <c r="K625" s="179" t="n">
        <v>11693935415</v>
      </c>
      <c r="L625" s="179" t="n">
        <v>17540903123</v>
      </c>
    </row>
    <row r="626" ht="15" customHeight="1" s="95">
      <c r="A626" s="143" t="n">
        <v>44455</v>
      </c>
      <c r="B626" s="146" t="n">
        <v>1.000866</v>
      </c>
      <c r="C626" s="179" t="n">
        <v>29298235940</v>
      </c>
      <c r="D626" s="179" t="n">
        <v>29272888807</v>
      </c>
      <c r="E626" s="146" t="n">
        <v>1.001199</v>
      </c>
      <c r="F626" s="179" t="n">
        <v>69396384924</v>
      </c>
      <c r="G626" s="179" t="n">
        <v>69313275151</v>
      </c>
      <c r="H626" s="179">
        <f>IFERROR(D626+G626,D626)</f>
        <v/>
      </c>
      <c r="I626" s="184">
        <f>IFERROR(D626/H626,"")</f>
        <v/>
      </c>
      <c r="J626" s="179" t="n">
        <v>5854577761</v>
      </c>
      <c r="K626" s="179" t="n">
        <v>11709155523</v>
      </c>
      <c r="L626" s="179" t="n">
        <v>17563733284</v>
      </c>
    </row>
    <row r="627" ht="15" customHeight="1" s="95">
      <c r="A627" s="143" t="n">
        <v>44456</v>
      </c>
      <c r="B627" s="146" t="n">
        <v>1.001619</v>
      </c>
      <c r="C627" s="179" t="n">
        <v>29248576941</v>
      </c>
      <c r="D627" s="179" t="n">
        <v>29201286679</v>
      </c>
      <c r="E627" s="146" t="n">
        <v>1.001823</v>
      </c>
      <c r="F627" s="179" t="n">
        <v>69516780239</v>
      </c>
      <c r="G627" s="179" t="n">
        <v>69390292509</v>
      </c>
      <c r="H627" s="179">
        <f>IFERROR(D627+G627,D627)</f>
        <v/>
      </c>
      <c r="I627" s="184">
        <f>IFERROR(D627/H627,"")</f>
        <v/>
      </c>
      <c r="J627" s="179" t="n">
        <v>5840257336</v>
      </c>
      <c r="K627" s="179" t="n">
        <v>11680514672</v>
      </c>
      <c r="L627" s="179" t="n">
        <v>17520772007</v>
      </c>
    </row>
    <row r="628" ht="15" customHeight="1" s="95">
      <c r="A628" s="143" t="n">
        <v>44457</v>
      </c>
      <c r="B628" s="146" t="n">
        <v>1.000014</v>
      </c>
      <c r="C628" s="179" t="n">
        <v>29419021029</v>
      </c>
      <c r="D628" s="179" t="n">
        <v>29418612166</v>
      </c>
      <c r="E628" s="146" t="n">
        <v>1.004573</v>
      </c>
      <c r="F628" s="179" t="n">
        <v>69622935588</v>
      </c>
      <c r="G628" s="179" t="n">
        <v>69305977049</v>
      </c>
      <c r="H628" s="179">
        <f>IFERROR(D628+G628,D628)</f>
        <v/>
      </c>
      <c r="I628" s="184">
        <f>IFERROR(D628/H628,"")</f>
        <v/>
      </c>
      <c r="J628" s="179" t="n">
        <v>5883722433</v>
      </c>
      <c r="K628" s="179" t="n">
        <v>11767444866</v>
      </c>
      <c r="L628" s="179" t="n">
        <v>17651167300</v>
      </c>
    </row>
    <row r="629" ht="15" customHeight="1" s="95">
      <c r="A629" s="143" t="n">
        <v>44458</v>
      </c>
      <c r="B629" s="146" t="n">
        <v>1.003684</v>
      </c>
      <c r="C629" s="179" t="n">
        <v>29441841304</v>
      </c>
      <c r="D629" s="179" t="n">
        <v>29333787203</v>
      </c>
      <c r="E629" s="146" t="n">
        <v>1.002296</v>
      </c>
      <c r="F629" s="179" t="n">
        <v>69503703942</v>
      </c>
      <c r="G629" s="179" t="n">
        <v>69344506787</v>
      </c>
      <c r="H629" s="179">
        <f>IFERROR(D629+G629,D629)</f>
        <v/>
      </c>
      <c r="I629" s="184">
        <f>IFERROR(D629/H629,"")</f>
        <v/>
      </c>
      <c r="J629" s="179" t="n">
        <v>5866757441</v>
      </c>
      <c r="K629" s="179" t="n">
        <v>11733514881</v>
      </c>
      <c r="L629" s="179" t="n">
        <v>17600272322</v>
      </c>
    </row>
    <row r="630" ht="15" customHeight="1" s="95">
      <c r="A630" s="143" t="n">
        <v>44459</v>
      </c>
      <c r="B630" s="146" t="n">
        <v>1.003913</v>
      </c>
      <c r="C630" s="179" t="n">
        <v>29542018178</v>
      </c>
      <c r="D630" s="179" t="n">
        <v>29426883234</v>
      </c>
      <c r="E630" s="146" t="n">
        <v>1.003629</v>
      </c>
      <c r="F630" s="179" t="n">
        <v>69596130936</v>
      </c>
      <c r="G630" s="179" t="n">
        <v>69344506787</v>
      </c>
      <c r="H630" s="179">
        <f>IFERROR(D630+G630,D630)</f>
        <v/>
      </c>
      <c r="I630" s="184">
        <f>IFERROR(D630/H630,"")</f>
        <v/>
      </c>
      <c r="J630" s="179" t="n">
        <v>5885376647</v>
      </c>
      <c r="K630" s="179" t="n">
        <v>11770753294</v>
      </c>
      <c r="L630" s="179" t="n">
        <v>17656129940</v>
      </c>
    </row>
    <row r="631" ht="15" customHeight="1" s="95">
      <c r="A631" s="143" t="n">
        <v>44460</v>
      </c>
      <c r="B631" s="146" t="n">
        <v>0.994837</v>
      </c>
      <c r="C631" s="179" t="n">
        <v>29173722177</v>
      </c>
      <c r="D631" s="179" t="n">
        <v>29325138352</v>
      </c>
      <c r="E631" s="146" t="n">
        <v>1.000241</v>
      </c>
      <c r="F631" s="179" t="n">
        <v>69521719398</v>
      </c>
      <c r="G631" s="179" t="n">
        <v>69504966408</v>
      </c>
      <c r="H631" s="179">
        <f>IFERROR(D631+G631,D631)</f>
        <v/>
      </c>
      <c r="I631" s="184">
        <f>IFERROR(D631/H631,"")</f>
        <v/>
      </c>
      <c r="J631" s="179" t="n">
        <v>5865027670</v>
      </c>
      <c r="K631" s="179" t="n">
        <v>11730055341</v>
      </c>
      <c r="L631" s="179" t="n">
        <v>17595083011</v>
      </c>
    </row>
    <row r="632" ht="15" customHeight="1" s="95">
      <c r="A632" s="143" t="n">
        <v>44461</v>
      </c>
      <c r="B632" s="146" t="n">
        <v>0.996181</v>
      </c>
      <c r="C632" s="179" t="n">
        <v>29564016529</v>
      </c>
      <c r="D632" s="179" t="n">
        <v>29677366007</v>
      </c>
      <c r="E632" s="146" t="n">
        <v>0.991878</v>
      </c>
      <c r="F632" s="179" t="n">
        <v>69104773859</v>
      </c>
      <c r="G632" s="179" t="n">
        <v>69670653259</v>
      </c>
      <c r="H632" s="179">
        <f>IFERROR(D632+G632,D632)</f>
        <v/>
      </c>
      <c r="I632" s="184">
        <f>IFERROR(D632/H632,"")</f>
        <v/>
      </c>
      <c r="J632" s="179" t="n">
        <v>5935473201</v>
      </c>
      <c r="K632" s="179" t="n">
        <v>11870946403</v>
      </c>
      <c r="L632" s="179" t="n">
        <v>17806419604</v>
      </c>
    </row>
    <row r="633" ht="15" customHeight="1" s="95">
      <c r="A633" s="143" t="n">
        <v>44462</v>
      </c>
      <c r="B633" s="146" t="n">
        <v>0.9998010000000001</v>
      </c>
      <c r="C633" s="179" t="n">
        <v>30089008722</v>
      </c>
      <c r="D633" s="179" t="n">
        <v>30094982611</v>
      </c>
      <c r="E633" s="146" t="n">
        <v>1.000755</v>
      </c>
      <c r="F633" s="179" t="n">
        <v>69542040675</v>
      </c>
      <c r="G633" s="179" t="n">
        <v>69489551167</v>
      </c>
      <c r="H633" s="179">
        <f>IFERROR(D633+G633,D633)</f>
        <v/>
      </c>
      <c r="I633" s="184">
        <f>IFERROR(D633/H633,"")</f>
        <v/>
      </c>
      <c r="J633" s="179" t="n">
        <v>6018996522</v>
      </c>
      <c r="K633" s="179" t="n">
        <v>12037993044</v>
      </c>
      <c r="L633" s="179" t="n">
        <v>18056989567</v>
      </c>
    </row>
    <row r="634" ht="15" customHeight="1" s="95">
      <c r="A634" s="143" t="n">
        <v>44463</v>
      </c>
      <c r="B634" s="146" t="n">
        <v>1.003268</v>
      </c>
      <c r="C634" s="179" t="n">
        <v>30421738787</v>
      </c>
      <c r="D634" s="179" t="n">
        <v>30322635942</v>
      </c>
      <c r="E634" s="146" t="n">
        <v>1.001313</v>
      </c>
      <c r="F634" s="179" t="n">
        <v>69524647805</v>
      </c>
      <c r="G634" s="179" t="n">
        <v>69433494281</v>
      </c>
      <c r="H634" s="179">
        <f>IFERROR(D634+G634,D634)</f>
        <v/>
      </c>
      <c r="I634" s="184">
        <f>IFERROR(D634/H634,"")</f>
        <v/>
      </c>
      <c r="J634" s="179" t="n">
        <v>6064527188</v>
      </c>
      <c r="K634" s="179" t="n">
        <v>12129054377</v>
      </c>
      <c r="L634" s="179" t="n">
        <v>18193581565</v>
      </c>
    </row>
    <row r="635" ht="15" customHeight="1" s="95">
      <c r="A635" s="143" t="n">
        <v>44464</v>
      </c>
      <c r="B635" s="146" t="n">
        <v>1.001347</v>
      </c>
      <c r="C635" s="179" t="n">
        <v>30718950162</v>
      </c>
      <c r="D635" s="179" t="n">
        <v>30677618035</v>
      </c>
      <c r="E635" s="146" t="n">
        <v>1.000041</v>
      </c>
      <c r="F635" s="179" t="n">
        <v>69909498276</v>
      </c>
      <c r="G635" s="179" t="n">
        <v>69906614288</v>
      </c>
      <c r="H635" s="179">
        <f>IFERROR(D635+G635,D635)</f>
        <v/>
      </c>
      <c r="I635" s="184">
        <f>IFERROR(D635/H635,"")</f>
        <v/>
      </c>
      <c r="J635" s="179" t="n">
        <v>6135523607</v>
      </c>
      <c r="K635" s="179" t="n">
        <v>12271047214</v>
      </c>
      <c r="L635" s="179" t="n">
        <v>18406570821</v>
      </c>
    </row>
    <row r="636" ht="15" customHeight="1" s="95">
      <c r="A636" s="143" t="n">
        <v>44465</v>
      </c>
      <c r="B636" s="146" t="n">
        <v>1.003146</v>
      </c>
      <c r="C636" s="179" t="n">
        <v>30960933125</v>
      </c>
      <c r="D636" s="179" t="n">
        <v>30863847514</v>
      </c>
      <c r="E636" s="146" t="n">
        <v>1.002862</v>
      </c>
      <c r="F636" s="179" t="n">
        <v>69690920736</v>
      </c>
      <c r="G636" s="179" t="n">
        <v>69492018033</v>
      </c>
      <c r="H636" s="179">
        <f>IFERROR(D636+G636,D636)</f>
        <v/>
      </c>
      <c r="I636" s="184">
        <f>IFERROR(D636/H636,"")</f>
        <v/>
      </c>
      <c r="J636" s="179" t="n">
        <v>6172769503</v>
      </c>
      <c r="K636" s="179" t="n">
        <v>12345539006</v>
      </c>
      <c r="L636" s="179" t="n">
        <v>18518308508</v>
      </c>
    </row>
    <row r="637" ht="15" customHeight="1" s="95">
      <c r="A637" s="143" t="n">
        <v>44466</v>
      </c>
      <c r="B637" s="146" t="n">
        <v>1.003737</v>
      </c>
      <c r="C637" s="179" t="n">
        <v>31210690702</v>
      </c>
      <c r="D637" s="179" t="n">
        <v>31094489207</v>
      </c>
      <c r="E637" s="146" t="n">
        <v>1.003592</v>
      </c>
      <c r="F637" s="179" t="n">
        <v>69683532760</v>
      </c>
      <c r="G637" s="179" t="n">
        <v>69434110358</v>
      </c>
      <c r="H637" s="179">
        <f>IFERROR(D637+G637,D637)</f>
        <v/>
      </c>
      <c r="I637" s="184">
        <f>IFERROR(D637/H637,"")</f>
        <v/>
      </c>
      <c r="J637" s="179" t="n">
        <v>6218897841</v>
      </c>
      <c r="K637" s="179" t="n">
        <v>12437795683</v>
      </c>
      <c r="L637" s="179" t="n">
        <v>18656693524</v>
      </c>
    </row>
    <row r="638" ht="15" customHeight="1" s="95">
      <c r="A638" s="143" t="n">
        <v>44467</v>
      </c>
      <c r="B638" s="146" t="n">
        <v>0.997271</v>
      </c>
      <c r="C638" s="179" t="n">
        <v>31051664364</v>
      </c>
      <c r="D638" s="179" t="n">
        <v>31136626336</v>
      </c>
      <c r="E638" s="146" t="n">
        <v>0.994718</v>
      </c>
      <c r="F638" s="179" t="n">
        <v>69173287077</v>
      </c>
      <c r="G638" s="179" t="n">
        <v>69540627901</v>
      </c>
      <c r="H638" s="179">
        <f>IFERROR(D638+G638,D638)</f>
        <v/>
      </c>
      <c r="I638" s="184">
        <f>IFERROR(D638/H638,"")</f>
        <v/>
      </c>
      <c r="J638" s="179" t="n">
        <v>6227325267</v>
      </c>
      <c r="K638" s="179" t="n">
        <v>12454650534</v>
      </c>
      <c r="L638" s="179" t="n">
        <v>18681975802</v>
      </c>
    </row>
    <row r="639" ht="15" customHeight="1" s="95">
      <c r="A639" s="143" t="n">
        <v>44468</v>
      </c>
      <c r="B639" s="146" t="n">
        <v>0.997807</v>
      </c>
      <c r="C639" s="179" t="n">
        <v>31123551731</v>
      </c>
      <c r="D639" s="179" t="n">
        <v>31191962064</v>
      </c>
      <c r="E639" s="146" t="n">
        <v>0.996852</v>
      </c>
      <c r="F639" s="179" t="n">
        <v>69339344817</v>
      </c>
      <c r="G639" s="179" t="n">
        <v>69558299414</v>
      </c>
      <c r="H639" s="179">
        <f>IFERROR(D639+G639,D639)</f>
        <v/>
      </c>
      <c r="I639" s="184">
        <f>IFERROR(D639/H639,"")</f>
        <v/>
      </c>
      <c r="J639" s="179" t="n">
        <v>6238392413</v>
      </c>
      <c r="K639" s="179" t="n">
        <v>12476784826</v>
      </c>
      <c r="L639" s="179" t="n">
        <v>18715177238</v>
      </c>
    </row>
    <row r="640" ht="15" customHeight="1" s="95">
      <c r="A640" s="143" t="n">
        <v>44469</v>
      </c>
      <c r="B640" s="146" t="n">
        <v>1.00348</v>
      </c>
      <c r="C640" s="179" t="n">
        <v>31495887077</v>
      </c>
      <c r="D640" s="179" t="n">
        <v>31386645858</v>
      </c>
      <c r="E640" s="146" t="n">
        <v>1.003546</v>
      </c>
      <c r="F640" s="179" t="n">
        <v>69575416296</v>
      </c>
      <c r="G640" s="179" t="n">
        <v>69329549253</v>
      </c>
      <c r="H640" s="179">
        <f>IFERROR(D640+G640,D640)</f>
        <v/>
      </c>
      <c r="I640" s="184">
        <f>IFERROR(D640/H640,"")</f>
        <v/>
      </c>
      <c r="J640" s="179" t="n">
        <v>6277329172</v>
      </c>
      <c r="K640" s="179" t="n">
        <v>12554658343</v>
      </c>
      <c r="L640" s="179" t="n">
        <v>18831987515</v>
      </c>
    </row>
    <row r="641" ht="15" customHeight="1" s="95">
      <c r="A641" s="143" t="n">
        <v>44470</v>
      </c>
      <c r="B641" s="146" t="n">
        <v>1.004599</v>
      </c>
      <c r="C641" s="179" t="n">
        <v>31692881418</v>
      </c>
      <c r="D641" s="179" t="n">
        <v>31547777945</v>
      </c>
      <c r="E641" s="146" t="n">
        <v>1.001964</v>
      </c>
      <c r="F641" s="179" t="n">
        <v>69520021605</v>
      </c>
      <c r="G641" s="179" t="n">
        <v>69383756947</v>
      </c>
      <c r="H641" s="179">
        <f>IFERROR(D641+G641,D641)</f>
        <v/>
      </c>
      <c r="I641" s="184">
        <f>IFERROR(D641/H641,"")</f>
        <v/>
      </c>
      <c r="J641" s="179" t="n">
        <v>6309555589</v>
      </c>
      <c r="K641" s="179" t="n">
        <v>12619111178</v>
      </c>
      <c r="L641" s="179" t="n">
        <v>18928666767</v>
      </c>
    </row>
    <row r="642" ht="15" customHeight="1" s="95">
      <c r="A642" s="143" t="n">
        <v>44471</v>
      </c>
      <c r="B642" s="146" t="n">
        <v>1.002017</v>
      </c>
      <c r="C642" s="179" t="n">
        <v>31985670851</v>
      </c>
      <c r="D642" s="179" t="n">
        <v>31921284595</v>
      </c>
      <c r="E642" s="146" t="n">
        <v>1.002294</v>
      </c>
      <c r="F642" s="179" t="n">
        <v>69067396367</v>
      </c>
      <c r="G642" s="179" t="n">
        <v>68909310337</v>
      </c>
      <c r="H642" s="179">
        <f>IFERROR(D642+G642,D642)</f>
        <v/>
      </c>
      <c r="I642" s="184">
        <f>IFERROR(D642/H642,"")</f>
        <v/>
      </c>
      <c r="J642" s="179" t="n">
        <v>6384256919</v>
      </c>
      <c r="K642" s="179" t="n">
        <v>12768513838</v>
      </c>
      <c r="L642" s="179" t="n">
        <v>19152770757</v>
      </c>
    </row>
    <row r="643" ht="15" customHeight="1" s="95">
      <c r="A643" s="143" t="n">
        <v>44472</v>
      </c>
      <c r="B643" s="146" t="n">
        <v>0.999605</v>
      </c>
      <c r="C643" s="179" t="n">
        <v>32065396417</v>
      </c>
      <c r="D643" s="179" t="n">
        <v>32078058751</v>
      </c>
      <c r="E643" s="146" t="n">
        <v>1.00297</v>
      </c>
      <c r="F643" s="179" t="n">
        <v>69069226755</v>
      </c>
      <c r="G643" s="179" t="n">
        <v>68864668956</v>
      </c>
      <c r="H643" s="179">
        <f>IFERROR(D643+G643,D643)</f>
        <v/>
      </c>
      <c r="I643" s="184">
        <f>IFERROR(D643/H643,"")</f>
        <v/>
      </c>
      <c r="J643" s="179" t="n">
        <v>6415611750</v>
      </c>
      <c r="K643" s="179" t="n">
        <v>12831223500</v>
      </c>
      <c r="L643" s="179" t="n">
        <v>19246835251</v>
      </c>
    </row>
    <row r="644" ht="15" customHeight="1" s="95">
      <c r="A644" s="143" t="n">
        <v>44473</v>
      </c>
      <c r="B644" s="146" t="n">
        <v>1.001791</v>
      </c>
      <c r="C644" s="179" t="n">
        <v>32308102491</v>
      </c>
      <c r="D644" s="179" t="n">
        <v>32250352139</v>
      </c>
      <c r="E644" s="146" t="n">
        <v>1.002179</v>
      </c>
      <c r="F644" s="179" t="n">
        <v>69113874336</v>
      </c>
      <c r="G644" s="179" t="n">
        <v>68963615667</v>
      </c>
      <c r="H644" s="179">
        <f>IFERROR(D644+G644,D644)</f>
        <v/>
      </c>
      <c r="I644" s="184">
        <f>IFERROR(D644/H644,"")</f>
        <v/>
      </c>
      <c r="J644" s="179" t="n">
        <v>6450070428</v>
      </c>
      <c r="K644" s="179" t="n">
        <v>12900140856</v>
      </c>
      <c r="L644" s="179" t="n">
        <v>19350211283</v>
      </c>
    </row>
    <row r="645" ht="15" customHeight="1" s="95">
      <c r="A645" s="143" t="n">
        <v>44474</v>
      </c>
      <c r="B645" s="146" t="n">
        <v>1.001018</v>
      </c>
      <c r="C645" s="179" t="n">
        <v>32281399683</v>
      </c>
      <c r="D645" s="179" t="n">
        <v>32248574675</v>
      </c>
      <c r="E645" s="146" t="n">
        <v>1.001918</v>
      </c>
      <c r="F645" s="179" t="n">
        <v>69149565678</v>
      </c>
      <c r="G645" s="179" t="n">
        <v>69017164020</v>
      </c>
      <c r="H645" s="179">
        <f>IFERROR(D645+G645,D645)</f>
        <v/>
      </c>
      <c r="I645" s="184">
        <f>IFERROR(D645/H645,"")</f>
        <v/>
      </c>
      <c r="J645" s="179" t="n">
        <v>6449714935</v>
      </c>
      <c r="K645" s="179" t="n">
        <v>12899429870</v>
      </c>
      <c r="L645" s="179" t="n">
        <v>19349144805</v>
      </c>
    </row>
    <row r="646" ht="15" customHeight="1" s="95">
      <c r="A646" s="143" t="n">
        <v>44475</v>
      </c>
      <c r="B646" s="146" t="n">
        <v>1.000648</v>
      </c>
      <c r="C646" s="179" t="n">
        <v>32430277337</v>
      </c>
      <c r="D646" s="179" t="n">
        <v>32409272389</v>
      </c>
      <c r="E646" s="146" t="n">
        <v>1.002314</v>
      </c>
      <c r="F646" s="179" t="n">
        <v>69039446922</v>
      </c>
      <c r="G646" s="179" t="n">
        <v>68880081806</v>
      </c>
      <c r="H646" s="179">
        <f>IFERROR(D646+G646,D646)</f>
        <v/>
      </c>
      <c r="I646" s="184">
        <f>IFERROR(D646/H646,"")</f>
        <v/>
      </c>
      <c r="J646" s="179" t="n">
        <v>6481854478</v>
      </c>
      <c r="K646" s="179" t="n">
        <v>12963708956</v>
      </c>
      <c r="L646" s="179" t="n">
        <v>19445563433</v>
      </c>
    </row>
    <row r="647" ht="15" customHeight="1" s="95">
      <c r="A647" s="143" t="n">
        <v>44476</v>
      </c>
      <c r="B647" s="146" t="n">
        <v>1.001852</v>
      </c>
      <c r="C647" s="179" t="n">
        <v>32415371926</v>
      </c>
      <c r="D647" s="179" t="n">
        <v>32355448412</v>
      </c>
      <c r="E647" s="146" t="n">
        <v>1.000213</v>
      </c>
      <c r="F647" s="179" t="n">
        <v>68940330351</v>
      </c>
      <c r="G647" s="179" t="n">
        <v>68925618114</v>
      </c>
      <c r="H647" s="179">
        <f>IFERROR(D647+G647,D647)</f>
        <v/>
      </c>
      <c r="I647" s="184">
        <f>IFERROR(D647/H647,"")</f>
        <v/>
      </c>
      <c r="J647" s="179" t="n">
        <v>6471089682</v>
      </c>
      <c r="K647" s="179" t="n">
        <v>12942179365</v>
      </c>
      <c r="L647" s="179" t="n">
        <v>19413269047</v>
      </c>
    </row>
    <row r="648" ht="15" customHeight="1" s="95">
      <c r="A648" s="143" t="n">
        <v>44477</v>
      </c>
      <c r="B648" s="146" t="n">
        <v>1.001849</v>
      </c>
      <c r="C648" s="179" t="n">
        <v>32663872060</v>
      </c>
      <c r="D648" s="179" t="n">
        <v>32603573679</v>
      </c>
      <c r="E648" s="146" t="n">
        <v>1.001979</v>
      </c>
      <c r="F648" s="179" t="n">
        <v>69153679449</v>
      </c>
      <c r="G648" s="179" t="n">
        <v>69017070575</v>
      </c>
      <c r="H648" s="179">
        <f>IFERROR(D648+G648,D648)</f>
        <v/>
      </c>
      <c r="I648" s="184">
        <f>IFERROR(D648/H648,"")</f>
        <v/>
      </c>
      <c r="J648" s="179" t="n">
        <v>6520714736</v>
      </c>
      <c r="K648" s="179" t="n">
        <v>13041429472</v>
      </c>
      <c r="L648" s="179" t="n">
        <v>19562144207</v>
      </c>
    </row>
    <row r="649" ht="15" customHeight="1" s="95">
      <c r="A649" s="143" t="n">
        <v>44478</v>
      </c>
      <c r="B649" s="146" t="n">
        <v>0.9996159999999999</v>
      </c>
      <c r="C649" s="179" t="n">
        <v>32941065051</v>
      </c>
      <c r="D649" s="179" t="n">
        <v>32953729487</v>
      </c>
      <c r="E649" s="146" t="n">
        <v>1.001943</v>
      </c>
      <c r="F649" s="179" t="n">
        <v>69269803971</v>
      </c>
      <c r="G649" s="179" t="n">
        <v>69135463649</v>
      </c>
      <c r="H649" s="179">
        <f>IFERROR(D649+G649,D649)</f>
        <v/>
      </c>
      <c r="I649" s="184">
        <f>IFERROR(D649/H649,"")</f>
        <v/>
      </c>
      <c r="J649" s="179" t="n">
        <v>6590745897</v>
      </c>
      <c r="K649" s="179" t="n">
        <v>13181491795</v>
      </c>
      <c r="L649" s="179" t="n">
        <v>19772237692</v>
      </c>
    </row>
    <row r="650" ht="15" customHeight="1" s="95">
      <c r="A650" s="143" t="n">
        <v>44479</v>
      </c>
      <c r="B650" s="146" t="n">
        <v>1.002241</v>
      </c>
      <c r="C650" s="179" t="n">
        <v>33019345831</v>
      </c>
      <c r="D650" s="179" t="n">
        <v>32945518747</v>
      </c>
      <c r="E650" s="146" t="n">
        <v>1.001848</v>
      </c>
      <c r="F650" s="179" t="n">
        <v>69272618744</v>
      </c>
      <c r="G650" s="179" t="n">
        <v>69144870217</v>
      </c>
      <c r="H650" s="179">
        <f>IFERROR(D650+G650,D650)</f>
        <v/>
      </c>
      <c r="I650" s="184">
        <f>IFERROR(D650/H650,"")</f>
        <v/>
      </c>
      <c r="J650" s="179" t="n">
        <v>6589103749</v>
      </c>
      <c r="K650" s="179" t="n">
        <v>13178207499</v>
      </c>
      <c r="L650" s="179" t="n">
        <v>19767311248</v>
      </c>
    </row>
    <row r="651" ht="15" customHeight="1" s="95">
      <c r="A651" s="143" t="n">
        <v>44480</v>
      </c>
      <c r="B651" s="146" t="n">
        <v>1.000952</v>
      </c>
      <c r="C651" s="179" t="n">
        <v>33201426676</v>
      </c>
      <c r="D651" s="179" t="n">
        <v>33169861727</v>
      </c>
      <c r="E651" s="146" t="n">
        <v>1.001271</v>
      </c>
      <c r="F651" s="179" t="n">
        <v>69282890259</v>
      </c>
      <c r="G651" s="179" t="n">
        <v>69194926645</v>
      </c>
      <c r="H651" s="179">
        <f>IFERROR(D651+G651,D651)</f>
        <v/>
      </c>
      <c r="I651" s="184">
        <f>IFERROR(D651/H651,"")</f>
        <v/>
      </c>
      <c r="J651" s="179" t="n">
        <v>6633972345</v>
      </c>
      <c r="K651" s="179" t="n">
        <v>13267944691</v>
      </c>
      <c r="L651" s="179" t="n">
        <v>19901917036</v>
      </c>
    </row>
    <row r="652" ht="15" customHeight="1" s="95">
      <c r="A652" s="143" t="n">
        <v>44481</v>
      </c>
      <c r="B652" s="146" t="n">
        <v>1.006137</v>
      </c>
      <c r="C652" s="179" t="n">
        <v>33341301845</v>
      </c>
      <c r="D652" s="179" t="n">
        <v>33137926288</v>
      </c>
      <c r="E652" s="146" t="n">
        <v>1.003647</v>
      </c>
      <c r="F652" s="179" t="n">
        <v>69739533709</v>
      </c>
      <c r="G652" s="179" t="n">
        <v>69486148007</v>
      </c>
      <c r="H652" s="179">
        <f>IFERROR(D652+G652,D652)</f>
        <v/>
      </c>
      <c r="I652" s="184">
        <f>IFERROR(D652/H652,"")</f>
        <v/>
      </c>
      <c r="J652" s="179" t="n">
        <v>6627585258</v>
      </c>
      <c r="K652" s="179" t="n">
        <v>13255170515</v>
      </c>
      <c r="L652" s="179" t="n">
        <v>19882755773</v>
      </c>
    </row>
    <row r="653" ht="15" customHeight="1" s="95">
      <c r="A653" s="143" t="n">
        <v>44482</v>
      </c>
      <c r="B653" s="146" t="n">
        <v>1.001322</v>
      </c>
      <c r="C653" s="179" t="n">
        <v>33024168105</v>
      </c>
      <c r="D653" s="179" t="n">
        <v>32980573595</v>
      </c>
      <c r="E653" s="146" t="n">
        <v>1.001713</v>
      </c>
      <c r="F653" s="179" t="n">
        <v>69705691583</v>
      </c>
      <c r="G653" s="179" t="n">
        <v>69586519173</v>
      </c>
      <c r="H653" s="179">
        <f>IFERROR(D653+G653,D653)</f>
        <v/>
      </c>
      <c r="I653" s="184">
        <f>IFERROR(D653/H653,"")</f>
        <v/>
      </c>
      <c r="J653" s="179" t="n">
        <v>6596114719</v>
      </c>
      <c r="K653" s="179" t="n">
        <v>13192229438</v>
      </c>
      <c r="L653" s="179" t="n">
        <v>19788344157</v>
      </c>
    </row>
    <row r="654" ht="15" customHeight="1" s="95">
      <c r="A654" s="143" t="n">
        <v>44483</v>
      </c>
      <c r="B654" s="146" t="n">
        <v>1.002983</v>
      </c>
      <c r="C654" s="179" t="n">
        <v>32916224695</v>
      </c>
      <c r="D654" s="179" t="n">
        <v>32818327826</v>
      </c>
      <c r="E654" s="146" t="n">
        <v>1.002837</v>
      </c>
      <c r="F654" s="179" t="n">
        <v>69800578220</v>
      </c>
      <c r="G654" s="179" t="n">
        <v>69603096015</v>
      </c>
      <c r="H654" s="179">
        <f>IFERROR(D654+G654,D654)</f>
        <v/>
      </c>
      <c r="I654" s="184">
        <f>IFERROR(D654/H654,"")</f>
        <v/>
      </c>
      <c r="J654" s="179" t="n">
        <v>6563665565</v>
      </c>
      <c r="K654" s="179" t="n">
        <v>13127331130</v>
      </c>
      <c r="L654" s="179" t="n">
        <v>19690996696</v>
      </c>
    </row>
    <row r="655" ht="15" customHeight="1" s="95">
      <c r="A655" s="143" t="n">
        <v>44484</v>
      </c>
      <c r="B655" s="146" t="n">
        <v>1.001361</v>
      </c>
      <c r="C655" s="179" t="n">
        <v>32889541490</v>
      </c>
      <c r="D655" s="179" t="n">
        <v>32844845036</v>
      </c>
      <c r="E655" s="146" t="n">
        <v>1.000941</v>
      </c>
      <c r="F655" s="179" t="n">
        <v>69638061209</v>
      </c>
      <c r="G655" s="179" t="n">
        <v>69572608646</v>
      </c>
      <c r="H655" s="179">
        <f>IFERROR(D655+G655,D655)</f>
        <v/>
      </c>
      <c r="I655" s="184">
        <f>IFERROR(D655/H655,"")</f>
        <v/>
      </c>
      <c r="J655" s="179" t="n">
        <v>6568969007</v>
      </c>
      <c r="K655" s="179" t="n">
        <v>13137938014</v>
      </c>
      <c r="L655" s="179" t="n">
        <v>19706907022</v>
      </c>
    </row>
    <row r="656" ht="15" customHeight="1" s="95">
      <c r="A656" s="143" t="n">
        <v>44485</v>
      </c>
      <c r="B656" s="146" t="n">
        <v>1.005207</v>
      </c>
      <c r="C656" s="179" t="n">
        <v>32935404783</v>
      </c>
      <c r="D656" s="179" t="n">
        <v>32764800421</v>
      </c>
      <c r="E656" s="146" t="n">
        <v>1.000901</v>
      </c>
      <c r="F656" s="179" t="n">
        <v>69586865296</v>
      </c>
      <c r="G656" s="179" t="n">
        <v>69524254306</v>
      </c>
      <c r="H656" s="179">
        <f>IFERROR(D656+G656,D656)</f>
        <v/>
      </c>
      <c r="I656" s="184">
        <f>IFERROR(D656/H656,"")</f>
        <v/>
      </c>
      <c r="J656" s="179" t="n">
        <v>6552960084</v>
      </c>
      <c r="K656" s="179" t="n">
        <v>13105920168</v>
      </c>
      <c r="L656" s="179" t="n">
        <v>19658880253</v>
      </c>
    </row>
    <row r="657" ht="15" customHeight="1" s="95">
      <c r="A657" s="143" t="n">
        <v>44486</v>
      </c>
      <c r="B657" s="146" t="n">
        <v>1.002448</v>
      </c>
      <c r="C657" s="179" t="n">
        <v>32751068702</v>
      </c>
      <c r="D657" s="179" t="n">
        <v>32671090738</v>
      </c>
      <c r="E657" s="146" t="n">
        <v>1.002779</v>
      </c>
      <c r="F657" s="179" t="n">
        <v>70147619752</v>
      </c>
      <c r="G657" s="179" t="n">
        <v>69953185384</v>
      </c>
      <c r="H657" s="179">
        <f>IFERROR(D657+G657,D657)</f>
        <v/>
      </c>
      <c r="I657" s="184">
        <f>IFERROR(D657/H657,"")</f>
        <v/>
      </c>
      <c r="J657" s="179" t="n">
        <v>6534218148</v>
      </c>
      <c r="K657" s="179" t="n">
        <v>13068436295</v>
      </c>
      <c r="L657" s="179" t="n">
        <v>19602654443</v>
      </c>
    </row>
    <row r="658" ht="15" customHeight="1" s="95">
      <c r="A658" s="143" t="n">
        <v>44487</v>
      </c>
      <c r="B658" s="146" t="n">
        <v>1.002153</v>
      </c>
      <c r="C658" s="179" t="n">
        <v>32829914616</v>
      </c>
      <c r="D658" s="179" t="n">
        <v>32759377451</v>
      </c>
      <c r="E658" s="146" t="n">
        <v>1.002845</v>
      </c>
      <c r="F658" s="179" t="n">
        <v>69917271306</v>
      </c>
      <c r="G658" s="179" t="n">
        <v>69718899853</v>
      </c>
      <c r="H658" s="179">
        <f>IFERROR(D658+G658,D658)</f>
        <v/>
      </c>
      <c r="I658" s="184">
        <f>IFERROR(D658/H658,"")</f>
        <v/>
      </c>
      <c r="J658" s="179" t="n">
        <v>6551875490</v>
      </c>
      <c r="K658" s="179" t="n">
        <v>13103750980</v>
      </c>
      <c r="L658" s="179" t="n">
        <v>19655626471</v>
      </c>
    </row>
    <row r="659" ht="15" customHeight="1" s="95">
      <c r="A659" s="143" t="n">
        <v>44488</v>
      </c>
      <c r="B659" s="146" t="n">
        <v>1.000386</v>
      </c>
      <c r="C659" s="179" t="n">
        <v>32822878831</v>
      </c>
      <c r="D659" s="179" t="n">
        <v>32810216854</v>
      </c>
      <c r="E659" s="146" t="n">
        <v>1.000377</v>
      </c>
      <c r="F659" s="179" t="n">
        <v>70074600268</v>
      </c>
      <c r="G659" s="179" t="n">
        <v>70048210067</v>
      </c>
      <c r="H659" s="179">
        <f>IFERROR(D659+G659,D659)</f>
        <v/>
      </c>
      <c r="I659" s="184">
        <f>IFERROR(D659/H659,"")</f>
        <v/>
      </c>
      <c r="J659" s="179" t="n">
        <v>6562043371</v>
      </c>
      <c r="K659" s="179" t="n">
        <v>13124086742</v>
      </c>
      <c r="L659" s="179" t="n">
        <v>19686130112</v>
      </c>
    </row>
    <row r="660" ht="15" customHeight="1" s="95">
      <c r="A660" s="143" t="n">
        <v>44489</v>
      </c>
      <c r="B660" s="146" t="n">
        <v>0.999576</v>
      </c>
      <c r="C660" s="179" t="n">
        <v>32284447586</v>
      </c>
      <c r="D660" s="179" t="n">
        <v>32298137225</v>
      </c>
      <c r="E660" s="146" t="n">
        <v>1.003873</v>
      </c>
      <c r="F660" s="179" t="n">
        <v>69936270370</v>
      </c>
      <c r="G660" s="179" t="n">
        <v>69666485084</v>
      </c>
      <c r="H660" s="179">
        <f>IFERROR(D660+G660,D660)</f>
        <v/>
      </c>
      <c r="I660" s="184">
        <f>IFERROR(D660/H660,"")</f>
        <v/>
      </c>
      <c r="J660" s="179" t="n">
        <v>6459627445</v>
      </c>
      <c r="K660" s="179" t="n">
        <v>12919254890</v>
      </c>
      <c r="L660" s="179" t="n">
        <v>19378882335</v>
      </c>
    </row>
    <row r="661" ht="15" customHeight="1" s="95">
      <c r="A661" s="143" t="n">
        <v>44490</v>
      </c>
      <c r="B661" s="146" t="n">
        <v>1.002976</v>
      </c>
      <c r="C661" s="179" t="n">
        <v>32487158192</v>
      </c>
      <c r="D661" s="179" t="n">
        <v>32390779414</v>
      </c>
      <c r="E661" s="146" t="n">
        <v>0.999964</v>
      </c>
      <c r="F661" s="179" t="n">
        <v>70104463102</v>
      </c>
      <c r="G661" s="179" t="n">
        <v>70106953953</v>
      </c>
      <c r="H661" s="179">
        <f>IFERROR(D661+G661,D661)</f>
        <v/>
      </c>
      <c r="I661" s="184">
        <f>IFERROR(D661/H661,"")</f>
        <v/>
      </c>
      <c r="J661" s="179" t="n">
        <v>6478155883</v>
      </c>
      <c r="K661" s="179" t="n">
        <v>12956311766</v>
      </c>
      <c r="L661" s="179" t="n">
        <v>19434467648</v>
      </c>
    </row>
    <row r="662" ht="15" customHeight="1" s="95">
      <c r="A662" s="143" t="n">
        <v>44491</v>
      </c>
      <c r="B662" s="146" t="n">
        <v>1.004367</v>
      </c>
      <c r="C662" s="179" t="n">
        <v>32416377617</v>
      </c>
      <c r="D662" s="179" t="n">
        <v>32275436334</v>
      </c>
      <c r="E662" s="146" t="n">
        <v>0.998323</v>
      </c>
      <c r="F662" s="179" t="n">
        <v>70426351670</v>
      </c>
      <c r="G662" s="179" t="n">
        <v>70544635438</v>
      </c>
      <c r="H662" s="179">
        <f>IFERROR(D662+G662,D662)</f>
        <v/>
      </c>
      <c r="I662" s="184">
        <f>IFERROR(D662/H662,"")</f>
        <v/>
      </c>
      <c r="J662" s="179" t="n">
        <v>6455087267</v>
      </c>
      <c r="K662" s="179" t="n">
        <v>12910174534</v>
      </c>
      <c r="L662" s="179" t="n">
        <v>19365261800</v>
      </c>
    </row>
    <row r="663" ht="15" customHeight="1" s="95">
      <c r="A663" s="143" t="n">
        <v>44492</v>
      </c>
      <c r="B663" s="146" t="n">
        <v>1.004518</v>
      </c>
      <c r="C663" s="179" t="n">
        <v>32554520598</v>
      </c>
      <c r="D663" s="179" t="n">
        <v>32408087131</v>
      </c>
      <c r="E663" s="146" t="n">
        <v>1.004038</v>
      </c>
      <c r="F663" s="179" t="n">
        <v>70699830053</v>
      </c>
      <c r="G663" s="179" t="n">
        <v>70415498694</v>
      </c>
      <c r="H663" s="179">
        <f>IFERROR(D663+G663,D663)</f>
        <v/>
      </c>
      <c r="I663" s="184">
        <f>IFERROR(D663/H663,"")</f>
        <v/>
      </c>
      <c r="J663" s="179" t="n">
        <v>6481617426</v>
      </c>
      <c r="K663" s="179" t="n">
        <v>12963234852</v>
      </c>
      <c r="L663" s="179" t="n">
        <v>19444852279</v>
      </c>
    </row>
    <row r="664" ht="15" customHeight="1" s="95">
      <c r="A664" s="143" t="n">
        <v>44493</v>
      </c>
      <c r="B664" s="146" t="n">
        <v>1.005439</v>
      </c>
      <c r="C664" s="179" t="n">
        <v>32764610092</v>
      </c>
      <c r="D664" s="179" t="n">
        <v>32587363113</v>
      </c>
      <c r="E664" s="146" t="n">
        <v>1.005143</v>
      </c>
      <c r="F664" s="179" t="n">
        <v>70792324588</v>
      </c>
      <c r="G664" s="179" t="n">
        <v>70430098622</v>
      </c>
      <c r="H664" s="179">
        <f>IFERROR(D664+G664,D664)</f>
        <v/>
      </c>
      <c r="I664" s="184">
        <f>IFERROR(D664/H664,"")</f>
        <v/>
      </c>
      <c r="J664" s="179" t="n">
        <v>6517472623</v>
      </c>
      <c r="K664" s="179" t="n">
        <v>13034945245</v>
      </c>
      <c r="L664" s="179" t="n">
        <v>19552417868</v>
      </c>
    </row>
    <row r="665" ht="15" customHeight="1" s="95">
      <c r="A665" s="143" t="n">
        <v>44494</v>
      </c>
      <c r="B665" s="146" t="n">
        <v>1.004865</v>
      </c>
      <c r="C665" s="179" t="n">
        <v>32698090258</v>
      </c>
      <c r="D665" s="179" t="n">
        <v>32539778888</v>
      </c>
      <c r="E665" s="146" t="n">
        <v>1.004774</v>
      </c>
      <c r="F665" s="179" t="n">
        <v>70679207194</v>
      </c>
      <c r="G665" s="179" t="n">
        <v>70343420331</v>
      </c>
      <c r="H665" s="179">
        <f>IFERROR(D665+G665,D665)</f>
        <v/>
      </c>
      <c r="I665" s="184">
        <f>IFERROR(D665/H665,"")</f>
        <v/>
      </c>
      <c r="J665" s="179" t="n">
        <v>6507955778</v>
      </c>
      <c r="K665" s="179" t="n">
        <v>13015911555</v>
      </c>
      <c r="L665" s="179" t="n">
        <v>19523867333</v>
      </c>
    </row>
    <row r="666" ht="15" customHeight="1" s="95">
      <c r="A666" s="143" t="n">
        <v>44495</v>
      </c>
      <c r="B666" s="146" t="n">
        <v>1.003696</v>
      </c>
      <c r="C666" s="179" t="n">
        <v>32629490324</v>
      </c>
      <c r="D666" s="179" t="n">
        <v>32509328324</v>
      </c>
      <c r="E666" s="146" t="n">
        <v>1.004108</v>
      </c>
      <c r="F666" s="179" t="n">
        <v>70815319784</v>
      </c>
      <c r="G666" s="179" t="n">
        <v>70525610815</v>
      </c>
      <c r="H666" s="179">
        <f>IFERROR(D666+G666,D666)</f>
        <v/>
      </c>
      <c r="I666" s="184">
        <f>IFERROR(D666/H666,"")</f>
        <v/>
      </c>
      <c r="J666" s="179" t="n">
        <v>6501865665</v>
      </c>
      <c r="K666" s="179" t="n">
        <v>13003731330</v>
      </c>
      <c r="L666" s="179" t="n">
        <v>19505596994</v>
      </c>
    </row>
    <row r="667" ht="15" customHeight="1" s="95">
      <c r="A667" s="143" t="n">
        <v>44496</v>
      </c>
      <c r="B667" s="146" t="n">
        <v>0.9995889999999999</v>
      </c>
      <c r="C667" s="179" t="n">
        <v>32635237366</v>
      </c>
      <c r="D667" s="179" t="n">
        <v>32648651238</v>
      </c>
      <c r="E667" s="146" t="n">
        <v>1.00049</v>
      </c>
      <c r="F667" s="179" t="n">
        <v>70895565804</v>
      </c>
      <c r="G667" s="179" t="n">
        <v>70860876695</v>
      </c>
      <c r="H667" s="179">
        <f>IFERROR(D667+G667,D667)</f>
        <v/>
      </c>
      <c r="I667" s="184">
        <f>IFERROR(D667/H667,"")</f>
        <v/>
      </c>
      <c r="J667" s="179" t="n">
        <v>6529730248</v>
      </c>
      <c r="K667" s="179" t="n">
        <v>13059460495</v>
      </c>
      <c r="L667" s="179" t="n">
        <v>19589190743</v>
      </c>
    </row>
    <row r="668" ht="15" customHeight="1" s="95">
      <c r="A668" s="143" t="n">
        <v>44497</v>
      </c>
      <c r="B668" s="146" t="n">
        <v>0.999217</v>
      </c>
      <c r="C668" s="179" t="n">
        <v>32579208093</v>
      </c>
      <c r="D668" s="179" t="n">
        <v>32604751922</v>
      </c>
      <c r="E668" s="146" t="n">
        <v>1.001534</v>
      </c>
      <c r="F668" s="179" t="n">
        <v>70922567494</v>
      </c>
      <c r="G668" s="179" t="n">
        <v>70813950715</v>
      </c>
      <c r="H668" s="179">
        <f>IFERROR(D668+G668,D668)</f>
        <v/>
      </c>
      <c r="I668" s="184">
        <f>IFERROR(D668/H668,"")</f>
        <v/>
      </c>
      <c r="J668" s="179" t="n">
        <v>6520950384</v>
      </c>
      <c r="K668" s="179" t="n">
        <v>13041900769</v>
      </c>
      <c r="L668" s="179" t="n">
        <v>19562851153</v>
      </c>
    </row>
    <row r="669" ht="15" customHeight="1" s="95">
      <c r="A669" s="143" t="n">
        <v>44498</v>
      </c>
      <c r="B669" s="146" t="n">
        <v>1.001706</v>
      </c>
      <c r="C669" s="179" t="n">
        <v>32743686857</v>
      </c>
      <c r="D669" s="179" t="n">
        <v>32687925676</v>
      </c>
      <c r="E669" s="146" t="n">
        <v>1.002489</v>
      </c>
      <c r="F669" s="179" t="n">
        <v>71063969239</v>
      </c>
      <c r="G669" s="179" t="n">
        <v>70887550106</v>
      </c>
      <c r="H669" s="179">
        <f>IFERROR(D669+G669,D669)</f>
        <v/>
      </c>
      <c r="I669" s="184">
        <f>IFERROR(D669/H669,"")</f>
        <v/>
      </c>
      <c r="J669" s="179" t="n">
        <v>6537585135</v>
      </c>
      <c r="K669" s="179" t="n">
        <v>13075170270</v>
      </c>
      <c r="L669" s="179" t="n">
        <v>19612755406</v>
      </c>
    </row>
    <row r="670" ht="15" customHeight="1" s="95">
      <c r="A670" s="143" t="n">
        <v>44499</v>
      </c>
      <c r="B670" s="146" t="n">
        <v>1.002013</v>
      </c>
      <c r="C670" s="179" t="n">
        <v>33022326284</v>
      </c>
      <c r="D670" s="179" t="n">
        <v>32955969482</v>
      </c>
      <c r="E670" s="146" t="n">
        <v>1.001939</v>
      </c>
      <c r="F670" s="179" t="n">
        <v>71315484748</v>
      </c>
      <c r="G670" s="179" t="n">
        <v>71177496314</v>
      </c>
      <c r="H670" s="179">
        <f>IFERROR(D670+G670,D670)</f>
        <v/>
      </c>
      <c r="I670" s="184">
        <f>IFERROR(D670/H670,"")</f>
        <v/>
      </c>
      <c r="J670" s="179" t="n">
        <v>6591193896</v>
      </c>
      <c r="K670" s="179" t="n">
        <v>13182387793</v>
      </c>
      <c r="L670" s="179" t="n">
        <v>19773581689</v>
      </c>
    </row>
    <row r="671" ht="15" customHeight="1" s="95">
      <c r="A671" s="143" t="n">
        <v>44500</v>
      </c>
      <c r="B671" s="146" t="n">
        <v>1.002362</v>
      </c>
      <c r="C671" s="179" t="n">
        <v>33228774070</v>
      </c>
      <c r="D671" s="179" t="n">
        <v>33150482335</v>
      </c>
      <c r="E671" s="146" t="n">
        <v>1.002383</v>
      </c>
      <c r="F671" s="179" t="n">
        <v>71422333862</v>
      </c>
      <c r="G671" s="179" t="n">
        <v>71252570805</v>
      </c>
      <c r="H671" s="179">
        <f>IFERROR(D671+G671,D671)</f>
        <v/>
      </c>
      <c r="I671" s="184">
        <f>IFERROR(D671/H671,"")</f>
        <v/>
      </c>
      <c r="J671" s="179" t="n">
        <v>6630096467</v>
      </c>
      <c r="K671" s="179" t="n">
        <v>13260192934</v>
      </c>
      <c r="L671" s="179" t="n">
        <v>19890289401</v>
      </c>
    </row>
    <row r="672" ht="15" customHeight="1" s="95">
      <c r="A672" s="143" t="n">
        <v>44501</v>
      </c>
      <c r="B672" s="146" t="n">
        <v>0.998703</v>
      </c>
      <c r="C672" s="179" t="n">
        <v>33110875334</v>
      </c>
      <c r="D672" s="179" t="n">
        <v>33153885134</v>
      </c>
      <c r="E672" s="146" t="n">
        <v>0.999999</v>
      </c>
      <c r="F672" s="179" t="n">
        <v>71151207596</v>
      </c>
      <c r="G672" s="179" t="n">
        <v>71151309187</v>
      </c>
      <c r="H672" s="179">
        <f>IFERROR(D672+G672,D672)</f>
        <v/>
      </c>
      <c r="I672" s="184">
        <f>IFERROR(D672/H672,"")</f>
        <v/>
      </c>
      <c r="J672" s="179" t="n">
        <v>6630777027</v>
      </c>
      <c r="K672" s="179" t="n">
        <v>13261554054</v>
      </c>
      <c r="L672" s="179" t="n">
        <v>19892331080</v>
      </c>
    </row>
    <row r="673" ht="15" customHeight="1" s="95">
      <c r="A673" s="143" t="n">
        <v>44502</v>
      </c>
      <c r="B673" s="146" t="n">
        <v>1.000483</v>
      </c>
      <c r="C673" s="179" t="n">
        <v>33243052016</v>
      </c>
      <c r="D673" s="179" t="n">
        <v>33227011153</v>
      </c>
      <c r="E673" s="146" t="n">
        <v>1.001457</v>
      </c>
      <c r="F673" s="179" t="n">
        <v>71240202915</v>
      </c>
      <c r="G673" s="179" t="n">
        <v>71136567023</v>
      </c>
      <c r="H673" s="179">
        <f>IFERROR(D673+G673,D673)</f>
        <v/>
      </c>
      <c r="I673" s="184">
        <f>IFERROR(D673/H673,"")</f>
        <v/>
      </c>
      <c r="J673" s="179" t="n">
        <v>6645402231</v>
      </c>
      <c r="K673" s="179" t="n">
        <v>13290804461</v>
      </c>
      <c r="L673" s="179" t="n">
        <v>19936206692</v>
      </c>
    </row>
    <row r="674" ht="15" customHeight="1" s="95">
      <c r="A674" s="143" t="n">
        <v>44503</v>
      </c>
      <c r="B674" s="146" t="n">
        <v>1.003534</v>
      </c>
      <c r="C674" s="179" t="n">
        <v>33463328881</v>
      </c>
      <c r="D674" s="179" t="n">
        <v>33345481311</v>
      </c>
      <c r="E674" s="146" t="n">
        <v>1.004494</v>
      </c>
      <c r="F674" s="179" t="n">
        <v>71354969505</v>
      </c>
      <c r="G674" s="179" t="n">
        <v>71035746734</v>
      </c>
      <c r="H674" s="179">
        <f>IFERROR(D674+G674,D674)</f>
        <v/>
      </c>
      <c r="I674" s="184">
        <f>IFERROR(D674/H674,"")</f>
        <v/>
      </c>
      <c r="J674" s="179" t="n">
        <v>6669096262</v>
      </c>
      <c r="K674" s="179" t="n">
        <v>13338192524</v>
      </c>
      <c r="L674" s="179" t="n">
        <v>20007288787</v>
      </c>
    </row>
    <row r="675" ht="15" customHeight="1" s="95">
      <c r="A675" s="143" t="n">
        <v>44504</v>
      </c>
      <c r="B675" s="146" t="n">
        <v>1.000843</v>
      </c>
      <c r="C675" s="179" t="n">
        <v>33740471390</v>
      </c>
      <c r="D675" s="179" t="n">
        <v>33712051170</v>
      </c>
      <c r="E675" s="146" t="n">
        <v>1.002131</v>
      </c>
      <c r="F675" s="179" t="n">
        <v>71984975485</v>
      </c>
      <c r="G675" s="179" t="n">
        <v>71831928070</v>
      </c>
      <c r="H675" s="179">
        <f>IFERROR(D675+G675,D675)</f>
        <v/>
      </c>
      <c r="I675" s="184">
        <f>IFERROR(D675/H675,"")</f>
        <v/>
      </c>
      <c r="J675" s="179" t="n">
        <v>6742410234</v>
      </c>
      <c r="K675" s="179" t="n">
        <v>13484820468</v>
      </c>
      <c r="L675" s="179" t="n">
        <v>20227230702</v>
      </c>
    </row>
    <row r="676" ht="15" customHeight="1" s="95">
      <c r="A676" s="143" t="n">
        <v>44505</v>
      </c>
      <c r="B676" s="146" t="n">
        <v>1.005208</v>
      </c>
      <c r="C676" s="179" t="n">
        <v>33724659752</v>
      </c>
      <c r="D676" s="179" t="n">
        <v>33549919112</v>
      </c>
      <c r="E676" s="146" t="n">
        <v>1.004366</v>
      </c>
      <c r="F676" s="179" t="n">
        <v>72351970648</v>
      </c>
      <c r="G676" s="179" t="n">
        <v>72037468346</v>
      </c>
      <c r="H676" s="179">
        <f>IFERROR(D676+G676,D676)</f>
        <v/>
      </c>
      <c r="I676" s="184">
        <f>IFERROR(D676/H676,"")</f>
        <v/>
      </c>
      <c r="J676" s="179" t="n">
        <v>6709983822</v>
      </c>
      <c r="K676" s="179" t="n">
        <v>13419967645</v>
      </c>
      <c r="L676" s="179" t="n">
        <v>20129951467</v>
      </c>
    </row>
    <row r="677" ht="15" customHeight="1" s="95">
      <c r="A677" s="143" t="n">
        <v>44506</v>
      </c>
      <c r="B677" s="146" t="n">
        <v>1.002626</v>
      </c>
      <c r="C677" s="179" t="n">
        <v>34028087045</v>
      </c>
      <c r="D677" s="179" t="n">
        <v>33938949936</v>
      </c>
      <c r="E677" s="146" t="n">
        <v>1.004265</v>
      </c>
      <c r="F677" s="179" t="n">
        <v>73061551588</v>
      </c>
      <c r="G677" s="179" t="n">
        <v>72751267848</v>
      </c>
      <c r="H677" s="179">
        <f>IFERROR(D677+G677,D677)</f>
        <v/>
      </c>
      <c r="I677" s="184">
        <f>IFERROR(D677/H677,"")</f>
        <v/>
      </c>
      <c r="J677" s="179" t="n">
        <v>6787789987</v>
      </c>
      <c r="K677" s="179" t="n">
        <v>13575579974</v>
      </c>
      <c r="L677" s="179" t="n">
        <v>20363369962</v>
      </c>
    </row>
    <row r="678" ht="15" customHeight="1" s="95">
      <c r="A678" s="143" t="n">
        <v>44507</v>
      </c>
      <c r="B678" s="146" t="n">
        <v>1.004793</v>
      </c>
      <c r="C678" s="179" t="n">
        <v>34307622747</v>
      </c>
      <c r="D678" s="179" t="n">
        <v>34143972197</v>
      </c>
      <c r="E678" s="146" t="n">
        <v>1.003715</v>
      </c>
      <c r="F678" s="179" t="n">
        <v>72974381348</v>
      </c>
      <c r="G678" s="179" t="n">
        <v>72704306111</v>
      </c>
      <c r="H678" s="179">
        <f>IFERROR(D678+G678,D678)</f>
        <v/>
      </c>
      <c r="I678" s="184">
        <f>IFERROR(D678/H678,"")</f>
        <v/>
      </c>
      <c r="J678" s="179" t="n">
        <v>6828794439</v>
      </c>
      <c r="K678" s="179" t="n">
        <v>13657588879</v>
      </c>
      <c r="L678" s="179" t="n">
        <v>20486383318</v>
      </c>
    </row>
    <row r="679" ht="15" customHeight="1" s="95">
      <c r="A679" s="143" t="n">
        <v>44508</v>
      </c>
      <c r="B679" s="146" t="n">
        <v>1.001761</v>
      </c>
      <c r="C679" s="179" t="n">
        <v>34375850958</v>
      </c>
      <c r="D679" s="179" t="n">
        <v>34315409721</v>
      </c>
      <c r="E679" s="146" t="n">
        <v>1.005385</v>
      </c>
      <c r="F679" s="179" t="n">
        <v>73749377876</v>
      </c>
      <c r="G679" s="179" t="n">
        <v>73354342414</v>
      </c>
      <c r="H679" s="179">
        <f>IFERROR(D679+G679,D679)</f>
        <v/>
      </c>
      <c r="I679" s="184">
        <f>IFERROR(D679/H679,"")</f>
        <v/>
      </c>
      <c r="J679" s="179" t="n">
        <v>6863081944</v>
      </c>
      <c r="K679" s="179" t="n">
        <v>13726163888</v>
      </c>
      <c r="L679" s="179" t="n">
        <v>20589245833</v>
      </c>
    </row>
    <row r="680" ht="15" customHeight="1" s="95">
      <c r="A680" s="143" t="n">
        <v>44509</v>
      </c>
      <c r="B680" s="146" t="n">
        <v>1.000597</v>
      </c>
      <c r="C680" s="179" t="n">
        <v>34349984710</v>
      </c>
      <c r="D680" s="179" t="n">
        <v>34329491178</v>
      </c>
      <c r="E680" s="146" t="n">
        <v>1.000476</v>
      </c>
      <c r="F680" s="179" t="n">
        <v>74778838817</v>
      </c>
      <c r="G680" s="179" t="n">
        <v>74743293856</v>
      </c>
      <c r="H680" s="179">
        <f>IFERROR(D680+G680,D680)</f>
        <v/>
      </c>
      <c r="I680" s="184">
        <f>IFERROR(D680/H680,"")</f>
        <v/>
      </c>
      <c r="J680" s="179" t="n">
        <v>6865898236</v>
      </c>
      <c r="K680" s="179" t="n">
        <v>13731796471</v>
      </c>
      <c r="L680" s="179" t="n">
        <v>20597694707</v>
      </c>
    </row>
    <row r="681" ht="15" customHeight="1" s="95">
      <c r="A681" s="143" t="n">
        <v>44510</v>
      </c>
      <c r="B681" s="146" t="n">
        <v>1.001716</v>
      </c>
      <c r="C681" s="179" t="n">
        <v>34720218043</v>
      </c>
      <c r="D681" s="179" t="n">
        <v>34660739409</v>
      </c>
      <c r="E681" s="146" t="n">
        <v>1.001149</v>
      </c>
      <c r="F681" s="179" t="n">
        <v>74780223270</v>
      </c>
      <c r="G681" s="179" t="n">
        <v>74694407179</v>
      </c>
      <c r="H681" s="179">
        <f>IFERROR(D681+G681,D681)</f>
        <v/>
      </c>
      <c r="I681" s="184">
        <f>IFERROR(D681/H681,"")</f>
        <v/>
      </c>
      <c r="J681" s="179" t="n">
        <v>6932147882</v>
      </c>
      <c r="K681" s="179" t="n">
        <v>13864295764</v>
      </c>
      <c r="L681" s="179" t="n">
        <v>20796443645</v>
      </c>
    </row>
    <row r="682" ht="15" customHeight="1" s="95">
      <c r="A682" s="143" t="n">
        <v>44511</v>
      </c>
      <c r="B682" s="146" t="n">
        <v>1.003782</v>
      </c>
      <c r="C682" s="179" t="n">
        <v>34484652472</v>
      </c>
      <c r="D682" s="179" t="n">
        <v>34354708477</v>
      </c>
      <c r="E682" s="146" t="n">
        <v>1.005009</v>
      </c>
      <c r="F682" s="179" t="n">
        <v>75077270861</v>
      </c>
      <c r="G682" s="179" t="n">
        <v>74703099274</v>
      </c>
      <c r="H682" s="179">
        <f>IFERROR(D682+G682,D682)</f>
        <v/>
      </c>
      <c r="I682" s="184">
        <f>IFERROR(D682/H682,"")</f>
        <v/>
      </c>
      <c r="J682" s="179" t="n">
        <v>6870941695</v>
      </c>
      <c r="K682" s="179" t="n">
        <v>13741883391</v>
      </c>
      <c r="L682" s="179" t="n">
        <v>20612825086</v>
      </c>
    </row>
    <row r="683" ht="15" customHeight="1" s="95">
      <c r="A683" s="143" t="n">
        <v>44512</v>
      </c>
      <c r="B683" s="146" t="n">
        <v>1.001392</v>
      </c>
      <c r="C683" s="179" t="n">
        <v>34513130458</v>
      </c>
      <c r="D683" s="179" t="n">
        <v>34465157780</v>
      </c>
      <c r="E683" s="146" t="n">
        <v>1.000689</v>
      </c>
      <c r="F683" s="179" t="n">
        <v>74954116804</v>
      </c>
      <c r="G683" s="179" t="n">
        <v>74902495448</v>
      </c>
      <c r="H683" s="179">
        <f>IFERROR(D683+G683,D683)</f>
        <v/>
      </c>
      <c r="I683" s="184">
        <f>IFERROR(D683/H683,"")</f>
        <v/>
      </c>
      <c r="J683" s="179" t="n">
        <v>6893031556</v>
      </c>
      <c r="K683" s="179" t="n">
        <v>13786063112</v>
      </c>
      <c r="L683" s="179" t="n">
        <v>20679094668</v>
      </c>
    </row>
    <row r="684" ht="15" customHeight="1" s="95">
      <c r="A684" s="143" t="n">
        <v>44513</v>
      </c>
      <c r="B684" s="146" t="n">
        <v>1.005971</v>
      </c>
      <c r="C684" s="179" t="n">
        <v>34568820951</v>
      </c>
      <c r="D684" s="179" t="n">
        <v>34363623835</v>
      </c>
      <c r="E684" s="146" t="n">
        <v>1.005498</v>
      </c>
      <c r="F684" s="179" t="n">
        <v>74984703283</v>
      </c>
      <c r="G684" s="179" t="n">
        <v>74574723568</v>
      </c>
      <c r="H684" s="179">
        <f>IFERROR(D684+G684,D684)</f>
        <v/>
      </c>
      <c r="I684" s="184">
        <f>IFERROR(D684/H684,"")</f>
        <v/>
      </c>
      <c r="J684" s="179" t="n">
        <v>6872724767</v>
      </c>
      <c r="K684" s="179" t="n">
        <v>13745449534</v>
      </c>
      <c r="L684" s="179" t="n">
        <v>20618174301</v>
      </c>
    </row>
    <row r="685" ht="15" customHeight="1" s="95">
      <c r="A685" s="143" t="n">
        <v>44514</v>
      </c>
      <c r="B685" s="146" t="n">
        <v>1.003622</v>
      </c>
      <c r="C685" s="179" t="n">
        <v>34582367285</v>
      </c>
      <c r="D685" s="179" t="n">
        <v>34457563203</v>
      </c>
      <c r="E685" s="146" t="n">
        <v>1.004166</v>
      </c>
      <c r="F685" s="179" t="n">
        <v>75044087945</v>
      </c>
      <c r="G685" s="179" t="n">
        <v>74732760420</v>
      </c>
      <c r="H685" s="179">
        <f>IFERROR(D685+G685,D685)</f>
        <v/>
      </c>
      <c r="I685" s="184">
        <f>IFERROR(D685/H685,"")</f>
        <v/>
      </c>
      <c r="J685" s="179" t="n">
        <v>6891512641</v>
      </c>
      <c r="K685" s="179" t="n">
        <v>13783025281</v>
      </c>
      <c r="L685" s="179" t="n">
        <v>20674537922</v>
      </c>
    </row>
    <row r="686" ht="15" customHeight="1" s="95">
      <c r="A686" s="143" t="n">
        <v>44515</v>
      </c>
      <c r="B686" s="146" t="n">
        <v>1.00976</v>
      </c>
      <c r="C686" s="179" t="n">
        <v>34599105432</v>
      </c>
      <c r="D686" s="179" t="n">
        <v>34264679455</v>
      </c>
      <c r="E686" s="146" t="n">
        <v>1.00739</v>
      </c>
      <c r="F686" s="179" t="n">
        <v>75139550993</v>
      </c>
      <c r="G686" s="179" t="n">
        <v>74588324491</v>
      </c>
      <c r="H686" s="179">
        <f>IFERROR(D686+G686,D686)</f>
        <v/>
      </c>
      <c r="I686" s="184">
        <f>IFERROR(D686/H686,"")</f>
        <v/>
      </c>
      <c r="J686" s="179" t="n">
        <v>6852935891</v>
      </c>
      <c r="K686" s="179" t="n">
        <v>13705871782</v>
      </c>
      <c r="L686" s="179" t="n">
        <v>20558807673</v>
      </c>
    </row>
    <row r="687" ht="15" customHeight="1" s="95">
      <c r="A687" s="143" t="n">
        <v>44516</v>
      </c>
      <c r="B687" s="146" t="n">
        <v>1.002882</v>
      </c>
      <c r="C687" s="179" t="n">
        <v>34556187322</v>
      </c>
      <c r="D687" s="179" t="n">
        <v>34456887142</v>
      </c>
      <c r="E687" s="146" t="n">
        <v>1.001877</v>
      </c>
      <c r="F687" s="179" t="n">
        <v>74842834674</v>
      </c>
      <c r="G687" s="179" t="n">
        <v>74702598189</v>
      </c>
      <c r="H687" s="179">
        <f>IFERROR(D687+G687,D687)</f>
        <v/>
      </c>
      <c r="I687" s="184">
        <f>IFERROR(D687/H687,"")</f>
        <v/>
      </c>
      <c r="J687" s="179" t="n">
        <v>6891377428</v>
      </c>
      <c r="K687" s="179" t="n">
        <v>13782754857</v>
      </c>
      <c r="L687" s="179" t="n">
        <v>20674132285</v>
      </c>
    </row>
    <row r="688" ht="15" customHeight="1" s="95">
      <c r="A688" s="143" t="n">
        <v>44517</v>
      </c>
      <c r="B688" s="146" t="n">
        <v>1.003336</v>
      </c>
      <c r="C688" s="179" t="n">
        <v>34573034413</v>
      </c>
      <c r="D688" s="179" t="n">
        <v>34458090828</v>
      </c>
      <c r="E688" s="146" t="n">
        <v>1.002442</v>
      </c>
      <c r="F688" s="179" t="n">
        <v>74574774697</v>
      </c>
      <c r="G688" s="179" t="n">
        <v>74393118426</v>
      </c>
      <c r="H688" s="179">
        <f>IFERROR(D688+G688,D688)</f>
        <v/>
      </c>
      <c r="I688" s="184">
        <f>IFERROR(D688/H688,"")</f>
        <v/>
      </c>
      <c r="J688" s="179" t="n">
        <v>6891618166</v>
      </c>
      <c r="K688" s="179" t="n">
        <v>13783236331</v>
      </c>
      <c r="L688" s="179" t="n">
        <v>20674854497</v>
      </c>
    </row>
    <row r="689" ht="15" customHeight="1" s="95">
      <c r="A689" s="143" t="n">
        <v>44518</v>
      </c>
      <c r="B689" s="146" t="n">
        <v>1.00682</v>
      </c>
      <c r="C689" s="179" t="n">
        <v>34593345060</v>
      </c>
      <c r="D689" s="179" t="n">
        <v>34359029570</v>
      </c>
      <c r="E689" s="146" t="n">
        <v>1.006863</v>
      </c>
      <c r="F689" s="179" t="n">
        <v>74996127427</v>
      </c>
      <c r="G689" s="179" t="n">
        <v>74484948956</v>
      </c>
      <c r="H689" s="179">
        <f>IFERROR(D689+G689,D689)</f>
        <v/>
      </c>
      <c r="I689" s="184">
        <f>IFERROR(D689/H689,"")</f>
        <v/>
      </c>
      <c r="J689" s="179" t="n">
        <v>6871805914</v>
      </c>
      <c r="K689" s="179" t="n">
        <v>13743611828</v>
      </c>
      <c r="L689" s="179" t="n">
        <v>20615417742</v>
      </c>
    </row>
    <row r="690" ht="15" customHeight="1" s="95">
      <c r="A690" s="143" t="n">
        <v>44519</v>
      </c>
      <c r="B690" s="146" t="n">
        <v>1.000768</v>
      </c>
      <c r="C690" s="179" t="n">
        <v>34419231680</v>
      </c>
      <c r="D690" s="179" t="n">
        <v>34392833523</v>
      </c>
      <c r="E690" s="146" t="n">
        <v>1.002495</v>
      </c>
      <c r="F690" s="179" t="n">
        <v>74839689103</v>
      </c>
      <c r="G690" s="179" t="n">
        <v>74653444631</v>
      </c>
      <c r="H690" s="179">
        <f>IFERROR(D690+G690,D690)</f>
        <v/>
      </c>
      <c r="I690" s="184">
        <f>IFERROR(D690/H690,"")</f>
        <v/>
      </c>
      <c r="J690" s="179" t="n">
        <v>6878566705</v>
      </c>
      <c r="K690" s="179" t="n">
        <v>13757133409</v>
      </c>
      <c r="L690" s="179" t="n">
        <v>20635700114</v>
      </c>
    </row>
    <row r="691" ht="15" customHeight="1" s="95">
      <c r="A691" s="143" t="n">
        <v>44520</v>
      </c>
      <c r="B691" s="146" t="n">
        <v>1.005508</v>
      </c>
      <c r="C691" s="179" t="n">
        <v>34542766008</v>
      </c>
      <c r="D691" s="179" t="n">
        <v>34353540644</v>
      </c>
      <c r="E691" s="146" t="n">
        <v>1.008139</v>
      </c>
      <c r="F691" s="179" t="n">
        <v>74229030617</v>
      </c>
      <c r="G691" s="179" t="n">
        <v>73629765743</v>
      </c>
      <c r="H691" s="179">
        <f>IFERROR(D691+G691,D691)</f>
        <v/>
      </c>
      <c r="I691" s="184">
        <f>IFERROR(D691/H691,"")</f>
        <v/>
      </c>
      <c r="J691" s="179" t="n">
        <v>6870708129</v>
      </c>
      <c r="K691" s="179" t="n">
        <v>13741416258</v>
      </c>
      <c r="L691" s="179" t="n">
        <v>20612124386</v>
      </c>
    </row>
    <row r="692" ht="15" customHeight="1" s="95">
      <c r="A692" s="143" t="n">
        <v>44521</v>
      </c>
      <c r="B692" s="146" t="n">
        <v>1.006314</v>
      </c>
      <c r="C692" s="179" t="n">
        <v>34684904835</v>
      </c>
      <c r="D692" s="179" t="n">
        <v>34467271774</v>
      </c>
      <c r="E692" s="146" t="n">
        <v>1.005692</v>
      </c>
      <c r="F692" s="179" t="n">
        <v>74321124405</v>
      </c>
      <c r="G692" s="179" t="n">
        <v>73900502952</v>
      </c>
      <c r="H692" s="179">
        <f>IFERROR(D692+G692,D692)</f>
        <v/>
      </c>
      <c r="I692" s="184">
        <f>IFERROR(D692/H692,"")</f>
        <v/>
      </c>
      <c r="J692" s="179" t="n">
        <v>6893454355</v>
      </c>
      <c r="K692" s="179" t="n">
        <v>13786908710</v>
      </c>
      <c r="L692" s="179" t="n">
        <v>20680363064</v>
      </c>
    </row>
    <row r="693" ht="15" customHeight="1" s="95">
      <c r="A693" s="143" t="n">
        <v>44522</v>
      </c>
      <c r="B693" s="146" t="n">
        <v>1.002943</v>
      </c>
      <c r="C693" s="179" t="n">
        <v>36293925944</v>
      </c>
      <c r="D693" s="179" t="n">
        <v>36187429165</v>
      </c>
      <c r="E693" s="146" t="n">
        <v>1.003003</v>
      </c>
      <c r="F693" s="179" t="n">
        <v>74291815408</v>
      </c>
      <c r="G693" s="179" t="n">
        <v>74069407095</v>
      </c>
      <c r="H693" s="179">
        <f>IFERROR(D693+G693,D693)</f>
        <v/>
      </c>
      <c r="I693" s="184">
        <f>IFERROR(D693/H693,"")</f>
        <v/>
      </c>
      <c r="J693" s="179" t="n">
        <v>7237485833</v>
      </c>
      <c r="K693" s="179" t="n">
        <v>14474971666</v>
      </c>
      <c r="L693" s="179" t="n">
        <v>21712457499</v>
      </c>
    </row>
    <row r="694" ht="15" customHeight="1" s="95">
      <c r="A694" s="143" t="n">
        <v>44523</v>
      </c>
      <c r="B694" s="146" t="n">
        <v>0.999902</v>
      </c>
      <c r="C694" s="179" t="n">
        <v>36409126596</v>
      </c>
      <c r="D694" s="179" t="n">
        <v>36412704907</v>
      </c>
      <c r="E694" s="146" t="n">
        <v>1.000224</v>
      </c>
      <c r="F694" s="179" t="n">
        <v>73928379179</v>
      </c>
      <c r="G694" s="179" t="n">
        <v>73911833744</v>
      </c>
      <c r="H694" s="179">
        <f>IFERROR(D694+G694,D694)</f>
        <v/>
      </c>
      <c r="I694" s="184">
        <f>IFERROR(D694/H694,"")</f>
        <v/>
      </c>
      <c r="J694" s="179" t="n">
        <v>7282540981</v>
      </c>
      <c r="K694" s="179" t="n">
        <v>14565081963</v>
      </c>
      <c r="L694" s="179" t="n">
        <v>21847622944</v>
      </c>
    </row>
    <row r="695" ht="15" customHeight="1" s="95">
      <c r="A695" s="143" t="n">
        <v>44524</v>
      </c>
      <c r="B695" s="146" t="n">
        <v>1.001237</v>
      </c>
      <c r="C695" s="179" t="n">
        <v>36742043694</v>
      </c>
      <c r="D695" s="179" t="n">
        <v>36696664342</v>
      </c>
      <c r="E695" s="146" t="n">
        <v>1.001457</v>
      </c>
      <c r="F695" s="179" t="n">
        <v>73494502902</v>
      </c>
      <c r="G695" s="179" t="n">
        <v>73387544602</v>
      </c>
      <c r="H695" s="179">
        <f>IFERROR(D695+G695,D695)</f>
        <v/>
      </c>
      <c r="I695" s="184">
        <f>IFERROR(D695/H695,"")</f>
        <v/>
      </c>
      <c r="J695" s="179" t="n">
        <v>7339332868</v>
      </c>
      <c r="K695" s="179" t="n">
        <v>14678665737</v>
      </c>
      <c r="L695" s="179" t="n">
        <v>22017998605</v>
      </c>
    </row>
    <row r="696" ht="15" customHeight="1" s="95">
      <c r="A696" s="143" t="n">
        <v>44525</v>
      </c>
      <c r="B696" s="146" t="n">
        <v>0.999958</v>
      </c>
      <c r="C696" s="179" t="n">
        <v>37227799828</v>
      </c>
      <c r="D696" s="179" t="n">
        <v>37229363371</v>
      </c>
      <c r="E696" s="146" t="n">
        <v>1.000646</v>
      </c>
      <c r="F696" s="179" t="n">
        <v>73474319799</v>
      </c>
      <c r="G696" s="179" t="n">
        <v>73426867118</v>
      </c>
      <c r="H696" s="179">
        <f>IFERROR(D696+G696,D696)</f>
        <v/>
      </c>
      <c r="I696" s="184">
        <f>IFERROR(D696/H696,"")</f>
        <v/>
      </c>
      <c r="J696" s="179" t="n">
        <v>7445872674</v>
      </c>
      <c r="K696" s="179" t="n">
        <v>14891745348</v>
      </c>
      <c r="L696" s="179" t="n">
        <v>22337618023</v>
      </c>
    </row>
    <row r="697" ht="15" customHeight="1" s="95">
      <c r="A697" s="143" t="n">
        <v>44526</v>
      </c>
      <c r="B697" s="146" t="n">
        <v>0.997963</v>
      </c>
      <c r="C697" s="179" t="n">
        <v>37384879726</v>
      </c>
      <c r="D697" s="179" t="n">
        <v>37461194257</v>
      </c>
      <c r="E697" s="146" t="n">
        <v>0.998101</v>
      </c>
      <c r="F697" s="179" t="n">
        <v>73352503175</v>
      </c>
      <c r="G697" s="179" t="n">
        <v>73492044602</v>
      </c>
      <c r="H697" s="179">
        <f>IFERROR(D697+G697,D697)</f>
        <v/>
      </c>
      <c r="I697" s="184">
        <f>IFERROR(D697/H697,"")</f>
        <v/>
      </c>
      <c r="J697" s="179" t="n">
        <v>7492238851</v>
      </c>
      <c r="K697" s="179" t="n">
        <v>14984477703</v>
      </c>
      <c r="L697" s="179" t="n">
        <v>22476716554</v>
      </c>
    </row>
    <row r="698" ht="15" customHeight="1" s="95">
      <c r="A698" s="143" t="n">
        <v>44527</v>
      </c>
      <c r="B698" s="146" t="n">
        <v>0.999943</v>
      </c>
      <c r="C698" s="179" t="n">
        <v>37850131169</v>
      </c>
      <c r="D698" s="179" t="n">
        <v>37852291399</v>
      </c>
      <c r="E698" s="146" t="n">
        <v>1.000233</v>
      </c>
      <c r="F698" s="179" t="n">
        <v>73748556193</v>
      </c>
      <c r="G698" s="179" t="n">
        <v>73731360408</v>
      </c>
      <c r="H698" s="179">
        <f>IFERROR(D698+G698,D698)</f>
        <v/>
      </c>
      <c r="I698" s="184">
        <f>IFERROR(D698/H698,"")</f>
        <v/>
      </c>
      <c r="J698" s="179" t="n">
        <v>7570458280</v>
      </c>
      <c r="K698" s="179" t="n">
        <v>15140916560</v>
      </c>
      <c r="L698" s="179" t="n">
        <v>22711374839</v>
      </c>
    </row>
    <row r="699" ht="15" customHeight="1" s="95">
      <c r="A699" s="143" t="n">
        <v>44528</v>
      </c>
      <c r="B699" s="146" t="n">
        <v>0.999737</v>
      </c>
      <c r="C699" s="179" t="n">
        <v>38142698006</v>
      </c>
      <c r="D699" s="179" t="n">
        <v>38152736258</v>
      </c>
      <c r="E699" s="146" t="n">
        <v>1.001057</v>
      </c>
      <c r="F699" s="179" t="n">
        <v>73949327613</v>
      </c>
      <c r="G699" s="179" t="n">
        <v>73871279293</v>
      </c>
      <c r="H699" s="179">
        <f>IFERROR(D699+G699,D699)</f>
        <v/>
      </c>
      <c r="I699" s="184">
        <f>IFERROR(D699/H699,"")</f>
        <v/>
      </c>
      <c r="J699" s="179" t="n">
        <v>7630547252</v>
      </c>
      <c r="K699" s="179" t="n">
        <v>15261094503</v>
      </c>
      <c r="L699" s="179" t="n">
        <v>22891641755</v>
      </c>
    </row>
    <row r="700" ht="15" customHeight="1" s="95">
      <c r="A700" s="143" t="n">
        <v>44529</v>
      </c>
      <c r="B700" s="146" t="n">
        <v>1.000493</v>
      </c>
      <c r="C700" s="179" t="n">
        <v>38416273298</v>
      </c>
      <c r="D700" s="179" t="n">
        <v>38397328003</v>
      </c>
      <c r="E700" s="146" t="n">
        <v>0.9990790000000001</v>
      </c>
      <c r="F700" s="179" t="n">
        <v>73995047440</v>
      </c>
      <c r="G700" s="179" t="n">
        <v>74063244602</v>
      </c>
      <c r="H700" s="179">
        <f>IFERROR(D700+G700,D700)</f>
        <v/>
      </c>
      <c r="I700" s="184">
        <f>IFERROR(D700/H700,"")</f>
        <v/>
      </c>
      <c r="J700" s="179" t="n">
        <v>7679465601</v>
      </c>
      <c r="K700" s="179" t="n">
        <v>15358931201</v>
      </c>
      <c r="L700" s="179" t="n">
        <v>23038396802</v>
      </c>
    </row>
    <row r="701" ht="15" customHeight="1" s="95">
      <c r="A701" s="143" t="n">
        <v>44530</v>
      </c>
      <c r="B701" s="146" t="n">
        <v>0.998458</v>
      </c>
      <c r="C701" s="179" t="n">
        <v>38505521701</v>
      </c>
      <c r="D701" s="179" t="n">
        <v>38565006162</v>
      </c>
      <c r="E701" s="146" t="n">
        <v>0.999671</v>
      </c>
      <c r="F701" s="179" t="n">
        <v>74251120216</v>
      </c>
      <c r="G701" s="179" t="n">
        <v>74275538535</v>
      </c>
      <c r="H701" s="179">
        <f>IFERROR(D701+G701,D701)</f>
        <v/>
      </c>
      <c r="I701" s="184">
        <f>IFERROR(D701/H701,"")</f>
        <v/>
      </c>
      <c r="J701" s="179" t="n">
        <v>7713001232</v>
      </c>
      <c r="K701" s="179" t="n">
        <v>15426002465</v>
      </c>
      <c r="L701" s="179" t="n">
        <v>23139003697</v>
      </c>
    </row>
    <row r="702" ht="15" customHeight="1" s="95">
      <c r="A702" s="143" t="n">
        <v>44531</v>
      </c>
      <c r="B702" s="146" t="n">
        <v>0.997766</v>
      </c>
      <c r="C702" s="179" t="n">
        <v>38647787181</v>
      </c>
      <c r="D702" s="179" t="n">
        <v>38734327339</v>
      </c>
      <c r="E702" s="146" t="n">
        <v>0.9984960000000001</v>
      </c>
      <c r="F702" s="179" t="n">
        <v>74252385372</v>
      </c>
      <c r="G702" s="179" t="n">
        <v>74364251539</v>
      </c>
      <c r="H702" s="179">
        <f>IFERROR(D702+G702,D702)</f>
        <v/>
      </c>
      <c r="I702" s="184">
        <f>IFERROR(D702/H702,"")</f>
        <v/>
      </c>
      <c r="J702" s="179" t="n">
        <v>7746865468</v>
      </c>
      <c r="K702" s="179" t="n">
        <v>15493730936</v>
      </c>
      <c r="L702" s="179" t="n">
        <v>23240596403</v>
      </c>
    </row>
    <row r="703" ht="15" customHeight="1" s="95">
      <c r="A703" s="143" t="n">
        <v>44532</v>
      </c>
      <c r="B703" s="146" t="n">
        <v>1.000783</v>
      </c>
      <c r="C703" s="179" t="n">
        <v>38906533548</v>
      </c>
      <c r="D703" s="179" t="n">
        <v>38876077153</v>
      </c>
      <c r="E703" s="146" t="n">
        <v>1.000239</v>
      </c>
      <c r="F703" s="179" t="n">
        <v>75043097238</v>
      </c>
      <c r="G703" s="179" t="n">
        <v>75025151944</v>
      </c>
      <c r="H703" s="179">
        <f>IFERROR(D703+G703,D703)</f>
        <v/>
      </c>
      <c r="I703" s="184">
        <f>IFERROR(D703/H703,"")</f>
        <v/>
      </c>
      <c r="J703" s="179" t="n">
        <v>7775215431</v>
      </c>
      <c r="K703" s="179" t="n">
        <v>15550430861</v>
      </c>
      <c r="L703" s="179" t="n">
        <v>23325646292</v>
      </c>
    </row>
    <row r="704" ht="15" customHeight="1" s="95">
      <c r="A704" s="143" t="n">
        <v>44533</v>
      </c>
      <c r="B704" s="146" t="n">
        <v>0.998185</v>
      </c>
      <c r="C704" s="179" t="n">
        <v>39004175585</v>
      </c>
      <c r="D704" s="179" t="n">
        <v>39075107102</v>
      </c>
      <c r="E704" s="146" t="n">
        <v>0.997743</v>
      </c>
      <c r="F704" s="179" t="n">
        <v>74875807714</v>
      </c>
      <c r="G704" s="179" t="n">
        <v>75045155039</v>
      </c>
      <c r="H704" s="179">
        <f>IFERROR(D704+G704,D704)</f>
        <v/>
      </c>
      <c r="I704" s="184">
        <f>IFERROR(D704/H704,"")</f>
        <v/>
      </c>
      <c r="J704" s="179" t="n">
        <v>7815021420</v>
      </c>
      <c r="K704" s="179" t="n">
        <v>15630042841</v>
      </c>
      <c r="L704" s="179" t="n">
        <v>23445064261</v>
      </c>
    </row>
    <row r="705" ht="15" customHeight="1" s="95">
      <c r="A705" s="143" t="n">
        <v>44534</v>
      </c>
      <c r="B705" s="146" t="n">
        <v>1.002066</v>
      </c>
      <c r="C705" s="179" t="n">
        <v>39133439701</v>
      </c>
      <c r="D705" s="179" t="n">
        <v>39052744222</v>
      </c>
      <c r="E705" s="146" t="n">
        <v>1.000516</v>
      </c>
      <c r="F705" s="179" t="n">
        <v>75168454209</v>
      </c>
      <c r="G705" s="179" t="n">
        <v>75129655034</v>
      </c>
      <c r="H705" s="179">
        <f>IFERROR(D705+G705,D705)</f>
        <v/>
      </c>
      <c r="I705" s="184">
        <f>IFERROR(D705/H705,"")</f>
        <v/>
      </c>
      <c r="J705" s="179" t="n">
        <v>7810548844</v>
      </c>
      <c r="K705" s="179" t="n">
        <v>15621097689</v>
      </c>
      <c r="L705" s="179" t="n">
        <v>23431646533</v>
      </c>
    </row>
    <row r="706" ht="15" customHeight="1" s="95">
      <c r="A706" s="143" t="n">
        <v>44535</v>
      </c>
      <c r="B706" s="146" t="n">
        <v>0.999132</v>
      </c>
      <c r="C706" s="179" t="n">
        <v>39939629109</v>
      </c>
      <c r="D706" s="179" t="n">
        <v>39974321039</v>
      </c>
      <c r="E706" s="146" t="n">
        <v>1.000746</v>
      </c>
      <c r="F706" s="179" t="n">
        <v>75212215910</v>
      </c>
      <c r="G706" s="179" t="n">
        <v>75156114375</v>
      </c>
      <c r="H706" s="179">
        <f>IFERROR(D706+G706,D706)</f>
        <v/>
      </c>
      <c r="I706" s="184">
        <f>IFERROR(D706/H706,"")</f>
        <v/>
      </c>
      <c r="J706" s="179" t="n">
        <v>7994864208</v>
      </c>
      <c r="K706" s="179" t="n">
        <v>15989728416</v>
      </c>
      <c r="L706" s="179" t="n">
        <v>23984592623</v>
      </c>
    </row>
    <row r="707" ht="15" customHeight="1" s="95">
      <c r="A707" s="143" t="n">
        <v>44536</v>
      </c>
      <c r="B707" s="146" t="n">
        <v>1.001202</v>
      </c>
      <c r="C707" s="179" t="n">
        <v>40967183292</v>
      </c>
      <c r="D707" s="179" t="n">
        <v>40918008500</v>
      </c>
      <c r="E707" s="146" t="n">
        <v>1.001361</v>
      </c>
      <c r="F707" s="179" t="n">
        <v>76606478055</v>
      </c>
      <c r="G707" s="179" t="n">
        <v>76502325882</v>
      </c>
      <c r="H707" s="179">
        <f>IFERROR(D707+G707,D707)</f>
        <v/>
      </c>
      <c r="I707" s="184">
        <f>IFERROR(D707/H707,"")</f>
        <v/>
      </c>
      <c r="J707" s="179" t="n">
        <v>8183601700</v>
      </c>
      <c r="K707" s="179" t="n">
        <v>16367203400</v>
      </c>
      <c r="L707" s="179" t="n">
        <v>24550805100</v>
      </c>
    </row>
    <row r="708" ht="15" customHeight="1" s="95">
      <c r="A708" s="143" t="n">
        <v>44537</v>
      </c>
      <c r="B708" s="146" t="n">
        <v>1.000922</v>
      </c>
      <c r="C708" s="179" t="n">
        <v>40867622505</v>
      </c>
      <c r="D708" s="179" t="n">
        <v>40829968488</v>
      </c>
      <c r="E708" s="146" t="n">
        <v>0.99982</v>
      </c>
      <c r="F708" s="179" t="n">
        <v>76491283330</v>
      </c>
      <c r="G708" s="179" t="n">
        <v>76505035002</v>
      </c>
      <c r="H708" s="179">
        <f>IFERROR(D708+G708,D708)</f>
        <v/>
      </c>
      <c r="I708" s="184">
        <f>IFERROR(D708/H708,"")</f>
        <v/>
      </c>
      <c r="J708" s="179" t="n">
        <v>8165993698</v>
      </c>
      <c r="K708" s="179" t="n">
        <v>16331987395</v>
      </c>
      <c r="L708" s="179" t="n">
        <v>24497981093</v>
      </c>
    </row>
    <row r="709" ht="15" customHeight="1" s="95">
      <c r="A709" s="143" t="n">
        <v>44538</v>
      </c>
      <c r="B709" s="146" t="n">
        <v>1.002005</v>
      </c>
      <c r="C709" s="179" t="n">
        <v>41032241128</v>
      </c>
      <c r="D709" s="179" t="n">
        <v>40950135673</v>
      </c>
      <c r="E709" s="146" t="n">
        <v>1.001478</v>
      </c>
      <c r="F709" s="179" t="n">
        <v>77389032829</v>
      </c>
      <c r="G709" s="179" t="n">
        <v>77274841129</v>
      </c>
      <c r="H709" s="179">
        <f>IFERROR(D709+G709,D709)</f>
        <v/>
      </c>
      <c r="I709" s="184">
        <f>IFERROR(D709/H709,"")</f>
        <v/>
      </c>
      <c r="J709" s="179" t="n">
        <v>8190027135</v>
      </c>
      <c r="K709" s="179" t="n">
        <v>16380054269</v>
      </c>
      <c r="L709" s="179" t="n">
        <v>24570081404</v>
      </c>
    </row>
    <row r="710" ht="15" customHeight="1" s="95">
      <c r="A710" s="143" t="n">
        <v>44539</v>
      </c>
      <c r="B710" s="146" t="n">
        <v>1.0001</v>
      </c>
      <c r="C710" s="179" t="n">
        <v>41035045582</v>
      </c>
      <c r="D710" s="179" t="n">
        <v>41030960258</v>
      </c>
      <c r="E710" s="146" t="n">
        <v>0.999846</v>
      </c>
      <c r="F710" s="179" t="n">
        <v>77339876908</v>
      </c>
      <c r="G710" s="179" t="n">
        <v>77351814790</v>
      </c>
      <c r="H710" s="179">
        <f>IFERROR(D710+G710,D710)</f>
        <v/>
      </c>
      <c r="I710" s="184">
        <f>IFERROR(D710/H710,"")</f>
        <v/>
      </c>
      <c r="J710" s="179" t="n">
        <v>8206192052</v>
      </c>
      <c r="K710" s="179" t="n">
        <v>16412384103</v>
      </c>
      <c r="L710" s="179" t="n">
        <v>24618576155</v>
      </c>
    </row>
    <row r="711" ht="15" customHeight="1" s="95">
      <c r="A711" s="143" t="n">
        <v>44540</v>
      </c>
      <c r="B711" s="146" t="n">
        <v>0.998575</v>
      </c>
      <c r="C711" s="179" t="n">
        <v>41020856786</v>
      </c>
      <c r="D711" s="179" t="n">
        <v>41079407074</v>
      </c>
      <c r="E711" s="146" t="n">
        <v>0.998098</v>
      </c>
      <c r="F711" s="179" t="n">
        <v>77154353572</v>
      </c>
      <c r="G711" s="179" t="n">
        <v>77301350304</v>
      </c>
      <c r="H711" s="179">
        <f>IFERROR(D711+G711,D711)</f>
        <v/>
      </c>
      <c r="I711" s="184">
        <f>IFERROR(D711/H711,"")</f>
        <v/>
      </c>
      <c r="J711" s="179" t="n">
        <v>8215881415</v>
      </c>
      <c r="K711" s="179" t="n">
        <v>16431762830</v>
      </c>
      <c r="L711" s="179" t="n">
        <v>24647644244</v>
      </c>
    </row>
    <row r="712" ht="15" customHeight="1" s="95">
      <c r="A712" s="143" t="n">
        <v>44541</v>
      </c>
      <c r="B712" s="146" t="n">
        <v>0.996124</v>
      </c>
      <c r="C712" s="179" t="n">
        <v>41171844113</v>
      </c>
      <c r="D712" s="179" t="n">
        <v>41332040650</v>
      </c>
      <c r="E712" s="146" t="n">
        <v>0.996447</v>
      </c>
      <c r="F712" s="179" t="n">
        <v>76862460767</v>
      </c>
      <c r="G712" s="179" t="n">
        <v>77136524050</v>
      </c>
      <c r="H712" s="179">
        <f>IFERROR(D712+G712,D712)</f>
        <v/>
      </c>
      <c r="I712" s="184">
        <f>IFERROR(D712/H712,"")</f>
        <v/>
      </c>
      <c r="J712" s="179" t="n">
        <v>8266408130</v>
      </c>
      <c r="K712" s="179" t="n">
        <v>16532816260</v>
      </c>
      <c r="L712" s="179" t="n">
        <v>24799224390</v>
      </c>
    </row>
    <row r="713" ht="15" customHeight="1" s="95">
      <c r="A713" s="143" t="n">
        <v>44542</v>
      </c>
      <c r="B713" s="146" t="n">
        <v>0.997664</v>
      </c>
      <c r="C713" s="179" t="n">
        <v>41541216677</v>
      </c>
      <c r="D713" s="179" t="n">
        <v>41638474904</v>
      </c>
      <c r="E713" s="146" t="n">
        <v>1.000131</v>
      </c>
      <c r="F713" s="179" t="n">
        <v>77193390367</v>
      </c>
      <c r="G713" s="179" t="n">
        <v>77183290049</v>
      </c>
      <c r="H713" s="179">
        <f>IFERROR(D713+G713,D713)</f>
        <v/>
      </c>
      <c r="I713" s="184">
        <f>IFERROR(D713/H713,"")</f>
        <v/>
      </c>
      <c r="J713" s="179" t="n">
        <v>8327694981</v>
      </c>
      <c r="K713" s="179" t="n">
        <v>16655389962</v>
      </c>
      <c r="L713" s="179" t="n">
        <v>24983084942</v>
      </c>
    </row>
    <row r="714" ht="15" customHeight="1" s="95">
      <c r="A714" s="143" t="n">
        <v>44543</v>
      </c>
      <c r="B714" s="146" t="n">
        <v>0.999232</v>
      </c>
      <c r="C714" s="179" t="n">
        <v>41537930465</v>
      </c>
      <c r="D714" s="179" t="n">
        <v>41569873541</v>
      </c>
      <c r="E714" s="146" t="n">
        <v>0.999385</v>
      </c>
      <c r="F714" s="179" t="n">
        <v>77362822148</v>
      </c>
      <c r="G714" s="179" t="n">
        <v>77410432967</v>
      </c>
      <c r="H714" s="179">
        <f>IFERROR(D714+G714,D714)</f>
        <v/>
      </c>
      <c r="I714" s="184">
        <f>IFERROR(D714/H714,"")</f>
        <v/>
      </c>
      <c r="J714" s="179" t="n">
        <v>8313974708</v>
      </c>
      <c r="K714" s="179" t="n">
        <v>16627949416</v>
      </c>
      <c r="L714" s="179" t="n">
        <v>24941924125</v>
      </c>
    </row>
    <row r="715" ht="15" customHeight="1" s="95">
      <c r="A715" s="143" t="n">
        <v>44544</v>
      </c>
      <c r="B715" s="146" t="n">
        <v>0.998432</v>
      </c>
      <c r="C715" s="179" t="n">
        <v>41466978388</v>
      </c>
      <c r="D715" s="179" t="n">
        <v>41532106685</v>
      </c>
      <c r="E715" s="146" t="n">
        <v>0.997494</v>
      </c>
      <c r="F715" s="179" t="n">
        <v>77266043808</v>
      </c>
      <c r="G715" s="179" t="n">
        <v>77460190049</v>
      </c>
      <c r="H715" s="179">
        <f>IFERROR(D715+G715,D715)</f>
        <v/>
      </c>
      <c r="I715" s="184">
        <f>IFERROR(D715/H715,"")</f>
        <v/>
      </c>
      <c r="J715" s="179" t="n">
        <v>8306421337</v>
      </c>
      <c r="K715" s="179" t="n">
        <v>16612842674</v>
      </c>
      <c r="L715" s="179" t="n">
        <v>24919264011</v>
      </c>
    </row>
    <row r="716" ht="15" customHeight="1" s="95">
      <c r="A716" s="143" t="n">
        <v>44545</v>
      </c>
      <c r="B716" s="146" t="n">
        <v>1.001547</v>
      </c>
      <c r="C716" s="179" t="n">
        <v>41783776329</v>
      </c>
      <c r="D716" s="179" t="n">
        <v>41719231941</v>
      </c>
      <c r="E716" s="146" t="n">
        <v>1.002129</v>
      </c>
      <c r="F716" s="179" t="n">
        <v>77456641505</v>
      </c>
      <c r="G716" s="179" t="n">
        <v>77292100745</v>
      </c>
      <c r="H716" s="179">
        <f>IFERROR(D716+G716,D716)</f>
        <v/>
      </c>
      <c r="I716" s="184">
        <f>IFERROR(D716/H716,"")</f>
        <v/>
      </c>
      <c r="J716" s="179" t="n">
        <v>8343846388</v>
      </c>
      <c r="K716" s="179" t="n">
        <v>16687692776</v>
      </c>
      <c r="L716" s="179" t="n">
        <v>25031539165</v>
      </c>
    </row>
    <row r="717" ht="15" customHeight="1" s="95">
      <c r="A717" s="143" t="n">
        <v>44546</v>
      </c>
      <c r="B717" s="146" t="n">
        <v>0.999502</v>
      </c>
      <c r="C717" s="179" t="n">
        <v>41660928280</v>
      </c>
      <c r="D717" s="179" t="n">
        <v>41681673647</v>
      </c>
      <c r="E717" s="146" t="n">
        <v>1.000253</v>
      </c>
      <c r="F717" s="179" t="n">
        <v>77674023096</v>
      </c>
      <c r="G717" s="179" t="n">
        <v>77654355292</v>
      </c>
      <c r="H717" s="179">
        <f>IFERROR(D717+G717,D717)</f>
        <v/>
      </c>
      <c r="I717" s="184">
        <f>IFERROR(D717/H717,"")</f>
        <v/>
      </c>
      <c r="J717" s="179" t="n">
        <v>8336334729</v>
      </c>
      <c r="K717" s="179" t="n">
        <v>16672669459</v>
      </c>
      <c r="L717" s="179" t="n">
        <v>25009004188</v>
      </c>
    </row>
    <row r="718" ht="15" customHeight="1" s="95">
      <c r="A718" s="143" t="n">
        <v>44547</v>
      </c>
      <c r="B718" s="146" t="n">
        <v>1.000425</v>
      </c>
      <c r="C718" s="179" t="n">
        <v>41803303102</v>
      </c>
      <c r="D718" s="179" t="n">
        <v>41785539804</v>
      </c>
      <c r="E718" s="146" t="n">
        <v>0.99946</v>
      </c>
      <c r="F718" s="179" t="n">
        <v>77032025806</v>
      </c>
      <c r="G718" s="179" t="n">
        <v>77073680852</v>
      </c>
      <c r="H718" s="179">
        <f>IFERROR(D718+G718,D718)</f>
        <v/>
      </c>
      <c r="I718" s="184">
        <f>IFERROR(D718/H718,"")</f>
        <v/>
      </c>
      <c r="J718" s="179" t="n">
        <v>8357107961</v>
      </c>
      <c r="K718" s="179" t="n">
        <v>16714215922</v>
      </c>
      <c r="L718" s="179" t="n">
        <v>25071323882</v>
      </c>
    </row>
    <row r="719" ht="15" customHeight="1" s="95">
      <c r="A719" s="143" t="n">
        <v>44548</v>
      </c>
      <c r="B719" s="146" t="n">
        <v>0.999762</v>
      </c>
      <c r="C719" s="179" t="n">
        <v>41909636704</v>
      </c>
      <c r="D719" s="179" t="n">
        <v>41919595660</v>
      </c>
      <c r="E719" s="146" t="n">
        <v>0.998387</v>
      </c>
      <c r="F719" s="179" t="n">
        <v>77305287658</v>
      </c>
      <c r="G719" s="179" t="n">
        <v>77430162926</v>
      </c>
      <c r="H719" s="179">
        <f>IFERROR(D719+G719,D719)</f>
        <v/>
      </c>
      <c r="I719" s="184">
        <f>IFERROR(D719/H719,"")</f>
        <v/>
      </c>
      <c r="J719" s="179" t="n">
        <v>8383919132</v>
      </c>
      <c r="K719" s="179" t="n">
        <v>16767838264</v>
      </c>
      <c r="L719" s="179" t="n">
        <v>25151757396</v>
      </c>
    </row>
    <row r="720" ht="15" customHeight="1" s="95">
      <c r="A720" s="143" t="n">
        <v>44549</v>
      </c>
      <c r="B720" s="146" t="n">
        <v>1.000468</v>
      </c>
      <c r="C720" s="179" t="n">
        <v>42095692703</v>
      </c>
      <c r="D720" s="179" t="n">
        <v>42075987322</v>
      </c>
      <c r="E720" s="146" t="n">
        <v>0.999905</v>
      </c>
      <c r="F720" s="179" t="n">
        <v>77309517759</v>
      </c>
      <c r="G720" s="179" t="n">
        <v>77316869537</v>
      </c>
      <c r="H720" s="179">
        <f>IFERROR(D720+G720,D720)</f>
        <v/>
      </c>
      <c r="I720" s="184">
        <f>IFERROR(D720/H720,"")</f>
        <v/>
      </c>
      <c r="J720" s="179" t="n">
        <v>8415197464</v>
      </c>
      <c r="K720" s="179" t="n">
        <v>16830394929</v>
      </c>
      <c r="L720" s="179" t="n">
        <v>25245592393</v>
      </c>
    </row>
    <row r="721" ht="15" customHeight="1" s="95">
      <c r="A721" s="143" t="n">
        <v>44550</v>
      </c>
      <c r="B721" s="146" t="n">
        <v>0.998758</v>
      </c>
      <c r="C721" s="179" t="n">
        <v>41991393513</v>
      </c>
      <c r="D721" s="179" t="n">
        <v>42043600847</v>
      </c>
      <c r="E721" s="146" t="n">
        <v>0.998637</v>
      </c>
      <c r="F721" s="179" t="n">
        <v>77211484120</v>
      </c>
      <c r="G721" s="179" t="n">
        <v>77316894977</v>
      </c>
      <c r="H721" s="179">
        <f>IFERROR(D721+G721,D721)</f>
        <v/>
      </c>
      <c r="I721" s="184">
        <f>IFERROR(D721/H721,"")</f>
        <v/>
      </c>
      <c r="J721" s="179" t="n">
        <v>8408720169</v>
      </c>
      <c r="K721" s="179" t="n">
        <v>16817440339</v>
      </c>
      <c r="L721" s="179" t="n">
        <v>25226160508</v>
      </c>
    </row>
    <row r="722" ht="15" customHeight="1" s="95">
      <c r="A722" s="143" t="n">
        <v>44551</v>
      </c>
      <c r="B722" s="146" t="n">
        <v>1.00318</v>
      </c>
      <c r="C722" s="179" t="n">
        <v>42454852429</v>
      </c>
      <c r="D722" s="179" t="n">
        <v>42320267679</v>
      </c>
      <c r="E722" s="146" t="n">
        <v>1.003115</v>
      </c>
      <c r="F722" s="179" t="n">
        <v>77830601891</v>
      </c>
      <c r="G722" s="179" t="n">
        <v>77588878763</v>
      </c>
      <c r="H722" s="179">
        <f>IFERROR(D722+G722,D722)</f>
        <v/>
      </c>
      <c r="I722" s="184">
        <f>IFERROR(D722/H722,"")</f>
        <v/>
      </c>
      <c r="J722" s="179" t="n">
        <v>8464053536</v>
      </c>
      <c r="K722" s="179" t="n">
        <v>16928107072</v>
      </c>
      <c r="L722" s="179" t="n">
        <v>25392160607</v>
      </c>
    </row>
    <row r="723" ht="15" customHeight="1" s="95">
      <c r="A723" s="143" t="n">
        <v>44552</v>
      </c>
      <c r="B723" s="146" t="n">
        <v>1.002036</v>
      </c>
      <c r="C723" s="179" t="n">
        <v>42454865817</v>
      </c>
      <c r="D723" s="179" t="n">
        <v>42368620626</v>
      </c>
      <c r="E723" s="146" t="n">
        <v>1.002308</v>
      </c>
      <c r="F723" s="179" t="n">
        <v>77545654776</v>
      </c>
      <c r="G723" s="179" t="n">
        <v>77367103939</v>
      </c>
      <c r="H723" s="179">
        <f>IFERROR(D723+G723,D723)</f>
        <v/>
      </c>
      <c r="I723" s="184">
        <f>IFERROR(D723/H723,"")</f>
        <v/>
      </c>
      <c r="J723" s="179" t="n">
        <v>8473724125</v>
      </c>
      <c r="K723" s="179" t="n">
        <v>16947448250</v>
      </c>
      <c r="L723" s="179" t="n">
        <v>25421172376</v>
      </c>
    </row>
    <row r="724" ht="15" customHeight="1" s="95">
      <c r="A724" s="143" t="n">
        <v>44553</v>
      </c>
      <c r="B724" s="146" t="n">
        <v>1.002205</v>
      </c>
      <c r="C724" s="179" t="n">
        <v>42599602248</v>
      </c>
      <c r="D724" s="179" t="n">
        <v>42505871637</v>
      </c>
      <c r="E724" s="146" t="n">
        <v>1.00136</v>
      </c>
      <c r="F724" s="179" t="n">
        <v>77453048547</v>
      </c>
      <c r="G724" s="179" t="n">
        <v>77347884983</v>
      </c>
      <c r="H724" s="179">
        <f>IFERROR(D724+G724,D724)</f>
        <v/>
      </c>
      <c r="I724" s="184">
        <f>IFERROR(D724/H724,"")</f>
        <v/>
      </c>
      <c r="J724" s="179" t="n">
        <v>8501174327</v>
      </c>
      <c r="K724" s="179" t="n">
        <v>17002348655</v>
      </c>
      <c r="L724" s="179" t="n">
        <v>25503522982</v>
      </c>
    </row>
    <row r="725" ht="15" customHeight="1" s="95">
      <c r="A725" s="143" t="n">
        <v>44554</v>
      </c>
      <c r="B725" s="146" t="n">
        <v>1.003703</v>
      </c>
      <c r="C725" s="179" t="n">
        <v>42669217458</v>
      </c>
      <c r="D725" s="179" t="n">
        <v>42511783910</v>
      </c>
      <c r="E725" s="146" t="n">
        <v>1.002994</v>
      </c>
      <c r="F725" s="179" t="n">
        <v>77464257576</v>
      </c>
      <c r="G725" s="179" t="n">
        <v>77233024934</v>
      </c>
      <c r="H725" s="179">
        <f>IFERROR(D725+G725,D725)</f>
        <v/>
      </c>
      <c r="I725" s="184">
        <f>IFERROR(D725/H725,"")</f>
        <v/>
      </c>
      <c r="J725" s="179" t="n">
        <v>8502356782</v>
      </c>
      <c r="K725" s="179" t="n">
        <v>17004713564</v>
      </c>
      <c r="L725" s="179" t="n">
        <v>25507070346</v>
      </c>
    </row>
    <row r="726" ht="15" customHeight="1" s="95">
      <c r="A726" s="143" t="n">
        <v>44555</v>
      </c>
      <c r="B726" s="146" t="n">
        <v>1.002118</v>
      </c>
      <c r="C726" s="179" t="n">
        <v>42505317485</v>
      </c>
      <c r="D726" s="179" t="n">
        <v>42415486549</v>
      </c>
      <c r="E726" s="146" t="n">
        <v>1.003064</v>
      </c>
      <c r="F726" s="179" t="n">
        <v>77872284861</v>
      </c>
      <c r="G726" s="179" t="n">
        <v>77634427560</v>
      </c>
      <c r="H726" s="179">
        <f>IFERROR(D726+G726,D726)</f>
        <v/>
      </c>
      <c r="I726" s="184">
        <f>IFERROR(D726/H726,"")</f>
        <v/>
      </c>
      <c r="J726" s="179" t="n">
        <v>8483097310</v>
      </c>
      <c r="K726" s="179" t="n">
        <v>16966194620</v>
      </c>
      <c r="L726" s="179" t="n">
        <v>25449291929</v>
      </c>
    </row>
    <row r="727" ht="15" customHeight="1" s="95">
      <c r="A727" s="143" t="n">
        <v>44556</v>
      </c>
      <c r="B727" s="146" t="n">
        <v>0.999994</v>
      </c>
      <c r="C727" s="179" t="n">
        <v>42562441813</v>
      </c>
      <c r="D727" s="179" t="n">
        <v>42562703362</v>
      </c>
      <c r="E727" s="146" t="n">
        <v>1.001166</v>
      </c>
      <c r="F727" s="179" t="n">
        <v>78082501156</v>
      </c>
      <c r="G727" s="179" t="n">
        <v>77991578542</v>
      </c>
      <c r="H727" s="179">
        <f>IFERROR(D727+G727,D727)</f>
        <v/>
      </c>
      <c r="I727" s="184">
        <f>IFERROR(D727/H727,"")</f>
        <v/>
      </c>
      <c r="J727" s="179" t="n">
        <v>8512540672</v>
      </c>
      <c r="K727" s="179" t="n">
        <v>17025081345</v>
      </c>
      <c r="L727" s="179" t="n">
        <v>25537622017</v>
      </c>
    </row>
    <row r="728" ht="15" customHeight="1" s="95">
      <c r="A728" s="143" t="n">
        <v>44557</v>
      </c>
      <c r="B728" s="146" t="n">
        <v>1.000044</v>
      </c>
      <c r="C728" s="179" t="n">
        <v>42453109634</v>
      </c>
      <c r="D728" s="179" t="n">
        <v>42451225363</v>
      </c>
      <c r="E728" s="146" t="n">
        <v>1.001877</v>
      </c>
      <c r="F728" s="179" t="n">
        <v>78137948111</v>
      </c>
      <c r="G728" s="179" t="n">
        <v>77991555925</v>
      </c>
      <c r="H728" s="179">
        <f>IFERROR(D728+G728,D728)</f>
        <v/>
      </c>
      <c r="I728" s="184">
        <f>IFERROR(D728/H728,"")</f>
        <v/>
      </c>
      <c r="J728" s="179" t="n">
        <v>8490245073</v>
      </c>
      <c r="K728" s="179" t="n">
        <v>16980490145</v>
      </c>
      <c r="L728" s="179" t="n">
        <v>25470735218</v>
      </c>
    </row>
    <row r="729" ht="15" customHeight="1" s="95">
      <c r="A729" s="143" t="n">
        <v>44558</v>
      </c>
      <c r="B729" s="146" t="n">
        <v>0.999994</v>
      </c>
      <c r="C729" s="179" t="n">
        <v>42127140808</v>
      </c>
      <c r="D729" s="179" t="n">
        <v>42127380471</v>
      </c>
      <c r="E729" s="146" t="n">
        <v>1.000568</v>
      </c>
      <c r="F729" s="179" t="n">
        <v>78035844533</v>
      </c>
      <c r="G729" s="179" t="n">
        <v>77991555925</v>
      </c>
      <c r="H729" s="179">
        <f>IFERROR(D729+G729,D729)</f>
        <v/>
      </c>
      <c r="I729" s="184">
        <f>IFERROR(D729/H729,"")</f>
        <v/>
      </c>
      <c r="J729" s="179" t="n">
        <v>8425476094</v>
      </c>
      <c r="K729" s="179" t="n">
        <v>16850952188</v>
      </c>
      <c r="L729" s="179" t="n">
        <v>25276428283</v>
      </c>
    </row>
    <row r="730" ht="15" customHeight="1" s="95">
      <c r="A730" s="143" t="n">
        <v>44559</v>
      </c>
      <c r="B730" s="146" t="n">
        <v>0.999965</v>
      </c>
      <c r="C730" s="179" t="n">
        <v>42155697582</v>
      </c>
      <c r="D730" s="179" t="n">
        <v>42157176428</v>
      </c>
      <c r="E730" s="146" t="n">
        <v>1.00046</v>
      </c>
      <c r="F730" s="179" t="n">
        <v>78185516708</v>
      </c>
      <c r="G730" s="179" t="n">
        <v>78149556327</v>
      </c>
      <c r="H730" s="179">
        <f>IFERROR(D730+G730,D730)</f>
        <v/>
      </c>
      <c r="I730" s="184">
        <f>IFERROR(D730/H730,"")</f>
        <v/>
      </c>
      <c r="J730" s="179" t="n">
        <v>8431435286</v>
      </c>
      <c r="K730" s="179" t="n">
        <v>16862870571</v>
      </c>
      <c r="L730" s="179" t="n">
        <v>25294305857</v>
      </c>
    </row>
    <row r="731" ht="15" customHeight="1" s="95">
      <c r="A731" s="143" t="n">
        <v>44560</v>
      </c>
      <c r="B731" s="146" t="n">
        <v>1.005249</v>
      </c>
      <c r="C731" s="179" t="n">
        <v>42097583288</v>
      </c>
      <c r="D731" s="179" t="n">
        <v>41877761877</v>
      </c>
      <c r="E731" s="146" t="n">
        <v>1.002275</v>
      </c>
      <c r="F731" s="179" t="n">
        <v>78072057579</v>
      </c>
      <c r="G731" s="179" t="n">
        <v>77894814367</v>
      </c>
      <c r="H731" s="179">
        <f>IFERROR(D731+G731,D731)</f>
        <v/>
      </c>
      <c r="I731" s="184">
        <f>IFERROR(D731/H731,"")</f>
        <v/>
      </c>
      <c r="J731" s="179" t="n">
        <v>8375552375</v>
      </c>
      <c r="K731" s="179" t="n">
        <v>16751104751</v>
      </c>
      <c r="L731" s="179" t="n">
        <v>25126657126</v>
      </c>
    </row>
    <row r="732" ht="15" customHeight="1" s="95">
      <c r="A732" s="143" t="n">
        <v>44561</v>
      </c>
      <c r="B732" s="146" t="n">
        <v>1.003239</v>
      </c>
      <c r="C732" s="179" t="n">
        <v>42428767390</v>
      </c>
      <c r="D732" s="179" t="n">
        <v>42291776625</v>
      </c>
      <c r="E732" s="146" t="n">
        <v>1.001336</v>
      </c>
      <c r="F732" s="179" t="n">
        <v>78441569755</v>
      </c>
      <c r="G732" s="179" t="n">
        <v>78336882507</v>
      </c>
      <c r="H732" s="179">
        <f>IFERROR(D732+G732,D732)</f>
        <v/>
      </c>
      <c r="I732" s="184">
        <f>IFERROR(D732/H732,"")</f>
        <v/>
      </c>
      <c r="J732" s="179" t="n">
        <v>8458355325</v>
      </c>
      <c r="K732" s="179" t="n">
        <v>16916710650</v>
      </c>
      <c r="L732" s="179" t="n">
        <v>25375065975</v>
      </c>
    </row>
    <row r="733" ht="15" customHeight="1" s="95">
      <c r="A733" s="143" t="n">
        <v>44562</v>
      </c>
      <c r="B733" s="146" t="n">
        <v>1.000431</v>
      </c>
      <c r="C733" s="179" t="n">
        <v>42213673134</v>
      </c>
      <c r="D733" s="179" t="n">
        <v>42195502949</v>
      </c>
      <c r="E733" s="146" t="n">
        <v>0.998582</v>
      </c>
      <c r="F733" s="179" t="n">
        <v>78396945715</v>
      </c>
      <c r="G733" s="179" t="n">
        <v>78508254186</v>
      </c>
      <c r="H733" s="179">
        <f>IFERROR(D733+G733,D733)</f>
        <v/>
      </c>
      <c r="I733" s="184">
        <f>IFERROR(D733/H733,"")</f>
        <v/>
      </c>
      <c r="J733" s="179" t="n">
        <v>8439100590</v>
      </c>
      <c r="K733" s="179" t="n">
        <v>16878201180</v>
      </c>
      <c r="L733" s="179" t="n">
        <v>25317301769</v>
      </c>
    </row>
    <row r="734" ht="15" customHeight="1" s="95">
      <c r="A734" s="143" t="n">
        <v>44563</v>
      </c>
      <c r="B734" s="146" t="n">
        <v>1.004966</v>
      </c>
      <c r="C734" s="179" t="n">
        <v>42549565817</v>
      </c>
      <c r="D734" s="179" t="n">
        <v>42339302528</v>
      </c>
      <c r="E734" s="146" t="n">
        <v>1.005624</v>
      </c>
      <c r="F734" s="179" t="n">
        <v>78778422990</v>
      </c>
      <c r="G734" s="179" t="n">
        <v>78337882507</v>
      </c>
      <c r="H734" s="179">
        <f>IFERROR(D734+G734,D734)</f>
        <v/>
      </c>
      <c r="I734" s="184">
        <f>IFERROR(D734/H734,"")</f>
        <v/>
      </c>
      <c r="J734" s="179" t="n">
        <v>8467860506</v>
      </c>
      <c r="K734" s="179" t="n">
        <v>16935721011</v>
      </c>
      <c r="L734" s="179" t="n">
        <v>25403581517</v>
      </c>
    </row>
    <row r="735" ht="15" customHeight="1" s="95">
      <c r="A735" s="143" t="n">
        <v>44564</v>
      </c>
      <c r="B735" s="146" t="n">
        <v>1.000328</v>
      </c>
      <c r="C735" s="179" t="n">
        <v>42641327348</v>
      </c>
      <c r="D735" s="179" t="n">
        <v>42627345776</v>
      </c>
      <c r="E735" s="146" t="n">
        <v>1.000483</v>
      </c>
      <c r="F735" s="179" t="n">
        <v>78481342990</v>
      </c>
      <c r="G735" s="179" t="n">
        <v>78443420223</v>
      </c>
      <c r="H735" s="179">
        <f>IFERROR(D735+G735,D735)</f>
        <v/>
      </c>
      <c r="I735" s="184">
        <f>IFERROR(D735/H735,"")</f>
        <v/>
      </c>
      <c r="J735" s="179" t="n">
        <v>8525469155</v>
      </c>
      <c r="K735" s="179" t="n">
        <v>17050938310</v>
      </c>
      <c r="L735" s="179" t="n">
        <v>25576407466</v>
      </c>
    </row>
    <row r="736" ht="15" customHeight="1" s="95">
      <c r="A736" s="143" t="n">
        <v>44565</v>
      </c>
      <c r="B736" s="146" t="n">
        <v>1.000829</v>
      </c>
      <c r="C736" s="179" t="n">
        <v>42687912490</v>
      </c>
      <c r="D736" s="179" t="n">
        <v>42652537895</v>
      </c>
      <c r="E736" s="146" t="n">
        <v>1.000963</v>
      </c>
      <c r="F736" s="179" t="n">
        <v>78388221317</v>
      </c>
      <c r="G736" s="179" t="n">
        <v>78312808883</v>
      </c>
      <c r="H736" s="179">
        <f>IFERROR(D736+G736,D736)</f>
        <v/>
      </c>
      <c r="I736" s="184">
        <f>IFERROR(D736/H736,"")</f>
        <v/>
      </c>
      <c r="J736" s="179" t="n">
        <v>8530507579</v>
      </c>
      <c r="K736" s="179" t="n">
        <v>17061015158</v>
      </c>
      <c r="L736" s="179" t="n">
        <v>25591522737</v>
      </c>
    </row>
    <row r="737" ht="15" customHeight="1" s="95">
      <c r="A737" s="143" t="n">
        <v>44566</v>
      </c>
      <c r="B737" s="146" t="n">
        <v>0.999808</v>
      </c>
      <c r="C737" s="179" t="n">
        <v>42785333024</v>
      </c>
      <c r="D737" s="179" t="n">
        <v>42793558478</v>
      </c>
      <c r="E737" s="146" t="n">
        <v>0.998683</v>
      </c>
      <c r="F737" s="179" t="n">
        <v>78502373120</v>
      </c>
      <c r="G737" s="179" t="n">
        <v>78605861820</v>
      </c>
      <c r="H737" s="179">
        <f>IFERROR(D737+G737,D737)</f>
        <v/>
      </c>
      <c r="I737" s="184">
        <f>IFERROR(D737/H737,"")</f>
        <v/>
      </c>
      <c r="J737" s="179" t="n">
        <v>8558711696</v>
      </c>
      <c r="K737" s="179" t="n">
        <v>17117423391</v>
      </c>
      <c r="L737" s="179" t="n">
        <v>25676135087</v>
      </c>
    </row>
    <row r="738" ht="15" customHeight="1" s="95">
      <c r="A738" s="143" t="n">
        <v>44567</v>
      </c>
      <c r="B738" s="146" t="n">
        <v>1.001545</v>
      </c>
      <c r="C738" s="179" t="n">
        <v>42961099325</v>
      </c>
      <c r="D738" s="179" t="n">
        <v>42894828717</v>
      </c>
      <c r="E738" s="146" t="n">
        <v>1.003024</v>
      </c>
      <c r="F738" s="179" t="n">
        <v>78772213379</v>
      </c>
      <c r="G738" s="179" t="n">
        <v>78534693310</v>
      </c>
      <c r="H738" s="179">
        <f>IFERROR(D738+G738,D738)</f>
        <v/>
      </c>
      <c r="I738" s="184">
        <f>IFERROR(D738/H738,"")</f>
        <v/>
      </c>
      <c r="J738" s="179" t="n">
        <v>8578965743</v>
      </c>
      <c r="K738" s="179" t="n">
        <v>17157931487</v>
      </c>
      <c r="L738" s="179" t="n">
        <v>25736897230</v>
      </c>
    </row>
    <row r="739" ht="15" customHeight="1" s="95">
      <c r="A739" s="143" t="n">
        <v>44568</v>
      </c>
      <c r="B739" s="146" t="n">
        <v>1.000598</v>
      </c>
      <c r="C739" s="179" t="n">
        <v>43225368240</v>
      </c>
      <c r="D739" s="179" t="n">
        <v>43199546412</v>
      </c>
      <c r="E739" s="146" t="n">
        <v>1.001171</v>
      </c>
      <c r="F739" s="179" t="n">
        <v>78639572254</v>
      </c>
      <c r="G739" s="179" t="n">
        <v>78547558380</v>
      </c>
      <c r="H739" s="179">
        <f>IFERROR(D739+G739,D739)</f>
        <v/>
      </c>
      <c r="I739" s="184">
        <f>IFERROR(D739/H739,"")</f>
        <v/>
      </c>
      <c r="J739" s="179" t="n">
        <v>8639909282</v>
      </c>
      <c r="K739" s="179" t="n">
        <v>17279818565</v>
      </c>
      <c r="L739" s="179" t="n">
        <v>25919727847</v>
      </c>
    </row>
    <row r="740" ht="15" customHeight="1" s="95">
      <c r="A740" s="143" t="n">
        <v>44569</v>
      </c>
      <c r="B740" s="146" t="n">
        <v>1.002207</v>
      </c>
      <c r="C740" s="179" t="n">
        <v>39844918409</v>
      </c>
      <c r="D740" s="179" t="n">
        <v>39757163556</v>
      </c>
      <c r="E740" s="146" t="n">
        <v>1.002095</v>
      </c>
      <c r="F740" s="179" t="n">
        <v>78498478179</v>
      </c>
      <c r="G740" s="179" t="n">
        <v>78334382987</v>
      </c>
      <c r="H740" s="179">
        <f>IFERROR(D740+G740,D740)</f>
        <v/>
      </c>
      <c r="I740" s="184">
        <f>IFERROR(D740/H740,"")</f>
        <v/>
      </c>
      <c r="J740" s="179" t="n">
        <v>7951432711</v>
      </c>
      <c r="K740" s="179" t="n">
        <v>15902865422</v>
      </c>
      <c r="L740" s="179" t="n">
        <v>23854298134</v>
      </c>
    </row>
    <row r="741" ht="15" customHeight="1" s="95">
      <c r="A741" s="143" t="n">
        <v>44570</v>
      </c>
      <c r="B741" s="146" t="n">
        <v>0.999403</v>
      </c>
      <c r="C741" s="179" t="n">
        <v>43582658994</v>
      </c>
      <c r="D741" s="179" t="n">
        <v>43608695792</v>
      </c>
      <c r="E741" s="146" t="n">
        <v>0.9976930000000001</v>
      </c>
      <c r="F741" s="179" t="n">
        <v>78296609765</v>
      </c>
      <c r="G741" s="179" t="n">
        <v>78477650683</v>
      </c>
      <c r="H741" s="179">
        <f>IFERROR(D741+G741,D741)</f>
        <v/>
      </c>
      <c r="I741" s="184">
        <f>IFERROR(D741/H741,"")</f>
        <v/>
      </c>
      <c r="J741" s="179" t="n">
        <v>8721739158</v>
      </c>
      <c r="K741" s="179" t="n">
        <v>17443478317</v>
      </c>
      <c r="L741" s="179" t="n">
        <v>26165217475</v>
      </c>
    </row>
    <row r="742" ht="15" customHeight="1" s="95">
      <c r="A742" s="143" t="n">
        <v>44571</v>
      </c>
      <c r="B742" s="146" t="n">
        <v>1.000593</v>
      </c>
      <c r="C742" s="179" t="n">
        <v>43635931591</v>
      </c>
      <c r="D742" s="179" t="n">
        <v>43610055692</v>
      </c>
      <c r="E742" s="146" t="n">
        <v>0.999476</v>
      </c>
      <c r="F742" s="179" t="n">
        <v>78054241928</v>
      </c>
      <c r="G742" s="179" t="n">
        <v>78095189722</v>
      </c>
      <c r="H742" s="179">
        <f>IFERROR(D742+G742,D742)</f>
        <v/>
      </c>
      <c r="I742" s="184">
        <f>IFERROR(D742/H742,"")</f>
        <v/>
      </c>
      <c r="J742" s="179" t="n">
        <v>8722011138</v>
      </c>
      <c r="K742" s="179" t="n">
        <v>17444022277</v>
      </c>
      <c r="L742" s="179" t="n">
        <v>26166033415</v>
      </c>
    </row>
    <row r="743" ht="15" customHeight="1" s="95">
      <c r="A743" s="143" t="n">
        <v>44572</v>
      </c>
      <c r="B743" s="146" t="n">
        <v>1.000715</v>
      </c>
      <c r="C743" s="179" t="n">
        <v>43987565688</v>
      </c>
      <c r="D743" s="179" t="n">
        <v>43956120123</v>
      </c>
      <c r="E743" s="146" t="n">
        <v>1.001096</v>
      </c>
      <c r="F743" s="179" t="n">
        <v>78481657326</v>
      </c>
      <c r="G743" s="179" t="n">
        <v>78395702882</v>
      </c>
      <c r="H743" s="179">
        <f>IFERROR(D743+G743,D743)</f>
        <v/>
      </c>
      <c r="I743" s="184">
        <f>IFERROR(D743/H743,"")</f>
        <v/>
      </c>
      <c r="J743" s="179" t="n">
        <v>8791224025</v>
      </c>
      <c r="K743" s="179" t="n">
        <v>17582448049</v>
      </c>
      <c r="L743" s="179" t="n">
        <v>26373672074</v>
      </c>
    </row>
    <row r="744" ht="15" customHeight="1" s="95">
      <c r="A744" s="143" t="n">
        <v>44573</v>
      </c>
      <c r="B744" s="146" t="n">
        <v>0.9998590000000001</v>
      </c>
      <c r="C744" s="179" t="n">
        <v>44166089916</v>
      </c>
      <c r="D744" s="179" t="n">
        <v>44172315532</v>
      </c>
      <c r="E744" s="146" t="n">
        <v>1.000418</v>
      </c>
      <c r="F744" s="179" t="n">
        <v>78555065237</v>
      </c>
      <c r="G744" s="179" t="n">
        <v>78522210491</v>
      </c>
      <c r="H744" s="179">
        <f>IFERROR(D744+G744,D744)</f>
        <v/>
      </c>
      <c r="I744" s="184">
        <f>IFERROR(D744/H744,"")</f>
        <v/>
      </c>
      <c r="J744" s="179" t="n">
        <v>8834463106</v>
      </c>
      <c r="K744" s="179" t="n">
        <v>17668926213</v>
      </c>
      <c r="L744" s="179" t="n">
        <v>26503389319</v>
      </c>
    </row>
    <row r="745" ht="15" customHeight="1" s="95">
      <c r="A745" s="143" t="n">
        <v>44574</v>
      </c>
      <c r="B745" s="146" t="n">
        <v>1.001409</v>
      </c>
      <c r="C745" s="179" t="n">
        <v>44774203526</v>
      </c>
      <c r="D745" s="179" t="n">
        <v>44711217630</v>
      </c>
      <c r="E745" s="146" t="n">
        <v>1.000972</v>
      </c>
      <c r="F745" s="179" t="n">
        <v>78482021769</v>
      </c>
      <c r="G745" s="179" t="n">
        <v>78405776526</v>
      </c>
      <c r="H745" s="179">
        <f>IFERROR(D745+G745,D745)</f>
        <v/>
      </c>
      <c r="I745" s="184">
        <f>IFERROR(D745/H745,"")</f>
        <v/>
      </c>
      <c r="J745" s="179" t="n">
        <v>8942243526</v>
      </c>
      <c r="K745" s="179" t="n">
        <v>17884487052</v>
      </c>
      <c r="L745" s="179" t="n">
        <v>26826730578</v>
      </c>
    </row>
    <row r="746" ht="15" customHeight="1" s="95">
      <c r="A746" s="143" t="n">
        <v>44575</v>
      </c>
      <c r="B746" s="146" t="n">
        <v>1.000221</v>
      </c>
      <c r="C746" s="179" t="n">
        <v>45035577584</v>
      </c>
      <c r="D746" s="179" t="n">
        <v>45025605136</v>
      </c>
      <c r="E746" s="146" t="n">
        <v>0.999479</v>
      </c>
      <c r="F746" s="179" t="n">
        <v>78355483482</v>
      </c>
      <c r="G746" s="179" t="n">
        <v>78396366147</v>
      </c>
      <c r="H746" s="179">
        <f>IFERROR(D746+G746,D746)</f>
        <v/>
      </c>
      <c r="I746" s="184">
        <f>IFERROR(D746/H746,"")</f>
        <v/>
      </c>
      <c r="J746" s="179" t="n">
        <v>9005121027</v>
      </c>
      <c r="K746" s="179" t="n">
        <v>18010242054</v>
      </c>
      <c r="L746" s="179" t="n">
        <v>27015363082</v>
      </c>
    </row>
    <row r="747" ht="15" customHeight="1" s="95">
      <c r="A747" s="143" t="n">
        <v>44576</v>
      </c>
      <c r="B747" s="146" t="n">
        <v>1.000858</v>
      </c>
      <c r="C747" s="179" t="n">
        <v>45137094665</v>
      </c>
      <c r="D747" s="179" t="n">
        <v>45098416808</v>
      </c>
      <c r="E747" s="146" t="n">
        <v>1.000894</v>
      </c>
      <c r="F747" s="179" t="n">
        <v>78464443412</v>
      </c>
      <c r="G747" s="179" t="n">
        <v>78394369307</v>
      </c>
      <c r="H747" s="179">
        <f>IFERROR(D747+G747,D747)</f>
        <v/>
      </c>
      <c r="I747" s="184">
        <f>IFERROR(D747/H747,"")</f>
        <v/>
      </c>
      <c r="J747" s="179" t="n">
        <v>9019683362</v>
      </c>
      <c r="K747" s="179" t="n">
        <v>18039366723</v>
      </c>
      <c r="L747" s="179" t="n">
        <v>27059050085</v>
      </c>
    </row>
    <row r="748" ht="15" customHeight="1" s="95">
      <c r="A748" s="143" t="n">
        <v>44577</v>
      </c>
      <c r="B748" s="146" t="n">
        <v>1.000121</v>
      </c>
      <c r="C748" s="179" t="n">
        <v>45237354153</v>
      </c>
      <c r="D748" s="179" t="n">
        <v>45231870378</v>
      </c>
      <c r="E748" s="146" t="n">
        <v>0.999764</v>
      </c>
      <c r="F748" s="179" t="n">
        <v>78324639022</v>
      </c>
      <c r="G748" s="179" t="n">
        <v>78343099637</v>
      </c>
      <c r="H748" s="179">
        <f>IFERROR(D748+G748,D748)</f>
        <v/>
      </c>
      <c r="I748" s="184">
        <f>IFERROR(D748/H748,"")</f>
        <v/>
      </c>
      <c r="J748" s="179" t="n">
        <v>9046374076</v>
      </c>
      <c r="K748" s="179" t="n">
        <v>18092748151</v>
      </c>
      <c r="L748" s="179" t="n">
        <v>27139122227</v>
      </c>
    </row>
    <row r="749" ht="15" customHeight="1" s="95">
      <c r="A749" s="143" t="n">
        <v>44578</v>
      </c>
      <c r="B749" s="146" t="n">
        <v>0.99973</v>
      </c>
      <c r="C749" s="179" t="n">
        <v>45430902660</v>
      </c>
      <c r="D749" s="179" t="n">
        <v>45443154365</v>
      </c>
      <c r="E749" s="146" t="n">
        <v>1.000304</v>
      </c>
      <c r="F749" s="179" t="n">
        <v>78423364533</v>
      </c>
      <c r="G749" s="179" t="n">
        <v>78399569301</v>
      </c>
      <c r="H749" s="179">
        <f>IFERROR(D749+G749,D749)</f>
        <v/>
      </c>
      <c r="I749" s="184">
        <f>IFERROR(D749/H749,"")</f>
        <v/>
      </c>
      <c r="J749" s="179" t="n">
        <v>9088630873</v>
      </c>
      <c r="K749" s="179" t="n">
        <v>18177261746</v>
      </c>
      <c r="L749" s="179" t="n">
        <v>27265892619</v>
      </c>
    </row>
    <row r="750" ht="15" customHeight="1" s="95">
      <c r="A750" s="143" t="n">
        <v>44579</v>
      </c>
      <c r="B750" s="146" t="n">
        <v>1.002406</v>
      </c>
      <c r="C750" s="179" t="n">
        <v>45637274266</v>
      </c>
      <c r="D750" s="179" t="n">
        <v>45527726208</v>
      </c>
      <c r="E750" s="146" t="n">
        <v>1.002109</v>
      </c>
      <c r="F750" s="179" t="n">
        <v>78444685549</v>
      </c>
      <c r="G750" s="179" t="n">
        <v>78279562090</v>
      </c>
      <c r="H750" s="179">
        <f>IFERROR(D750+G750,D750)</f>
        <v/>
      </c>
      <c r="I750" s="184">
        <f>IFERROR(D750/H750,"")</f>
        <v/>
      </c>
      <c r="J750" s="179" t="n">
        <v>9105545242</v>
      </c>
      <c r="K750" s="179" t="n">
        <v>18211090483</v>
      </c>
      <c r="L750" s="179" t="n">
        <v>27316635725</v>
      </c>
    </row>
    <row r="751" ht="15" customHeight="1" s="95">
      <c r="A751" s="143" t="n">
        <v>44580</v>
      </c>
      <c r="B751" s="146" t="n">
        <v>0.999601</v>
      </c>
      <c r="C751" s="179" t="n">
        <v>45764592269</v>
      </c>
      <c r="D751" s="179" t="n">
        <v>45782856277</v>
      </c>
      <c r="E751" s="146" t="n">
        <v>1.000022</v>
      </c>
      <c r="F751" s="179" t="n">
        <v>78383467334</v>
      </c>
      <c r="G751" s="179" t="n">
        <v>78381744975</v>
      </c>
      <c r="H751" s="179">
        <f>IFERROR(D751+G751,D751)</f>
        <v/>
      </c>
      <c r="I751" s="184">
        <f>IFERROR(D751/H751,"")</f>
        <v/>
      </c>
      <c r="J751" s="179" t="n">
        <v>9156571255</v>
      </c>
      <c r="K751" s="179" t="n">
        <v>18313142511</v>
      </c>
      <c r="L751" s="179" t="n">
        <v>27469713766</v>
      </c>
    </row>
    <row r="752" ht="15" customHeight="1" s="95">
      <c r="A752" s="143" t="n">
        <v>44581</v>
      </c>
      <c r="B752" s="146" t="n">
        <v>0.998793</v>
      </c>
      <c r="C752" s="179" t="n">
        <v>46058070986</v>
      </c>
      <c r="D752" s="179" t="n">
        <v>46113738807</v>
      </c>
      <c r="E752" s="146" t="n">
        <v>0.998961</v>
      </c>
      <c r="F752" s="179" t="n">
        <v>78380618748</v>
      </c>
      <c r="G752" s="179" t="n">
        <v>78462127363</v>
      </c>
      <c r="H752" s="179">
        <f>IFERROR(D752+G752,D752)</f>
        <v/>
      </c>
      <c r="I752" s="184">
        <f>IFERROR(D752/H752,"")</f>
        <v/>
      </c>
      <c r="J752" s="179" t="n">
        <v>9222747761</v>
      </c>
      <c r="K752" s="179" t="n">
        <v>18445495523</v>
      </c>
      <c r="L752" s="179" t="n">
        <v>27668243284</v>
      </c>
    </row>
    <row r="753" ht="15" customHeight="1" s="95">
      <c r="A753" s="143" t="n">
        <v>44582</v>
      </c>
      <c r="B753" s="146" t="n">
        <v>1.000206</v>
      </c>
      <c r="C753" s="179" t="n">
        <v>46428142403</v>
      </c>
      <c r="D753" s="179" t="n">
        <v>46418563787</v>
      </c>
      <c r="E753" s="146" t="n">
        <v>1.000075</v>
      </c>
      <c r="F753" s="179" t="n">
        <v>78282598756</v>
      </c>
      <c r="G753" s="179" t="n">
        <v>78276747430</v>
      </c>
      <c r="H753" s="179">
        <f>IFERROR(D753+G753,D753)</f>
        <v/>
      </c>
      <c r="I753" s="184">
        <f>IFERROR(D753/H753,"")</f>
        <v/>
      </c>
      <c r="J753" s="179" t="n">
        <v>9283712757</v>
      </c>
      <c r="K753" s="179" t="n">
        <v>18567425515</v>
      </c>
      <c r="L753" s="179" t="n">
        <v>27851138272</v>
      </c>
    </row>
    <row r="754" ht="15" customHeight="1" s="95">
      <c r="A754" s="143" t="n">
        <v>44583</v>
      </c>
      <c r="B754" s="146" t="n">
        <v>1.002902</v>
      </c>
      <c r="C754" s="179" t="n">
        <v>42732777581</v>
      </c>
      <c r="D754" s="179" t="n">
        <v>42609140982</v>
      </c>
      <c r="E754" s="146" t="n">
        <v>0.999264</v>
      </c>
      <c r="F754" s="179" t="n">
        <v>78144826788</v>
      </c>
      <c r="G754" s="179" t="n">
        <v>78202404812</v>
      </c>
      <c r="H754" s="179">
        <f>IFERROR(D754+G754,D754)</f>
        <v/>
      </c>
      <c r="I754" s="184">
        <f>IFERROR(D754/H754,"")</f>
        <v/>
      </c>
      <c r="J754" s="179" t="n">
        <v>8521828196</v>
      </c>
      <c r="K754" s="179" t="n">
        <v>17043656393</v>
      </c>
      <c r="L754" s="179" t="n">
        <v>25565484589</v>
      </c>
    </row>
    <row r="755" ht="15" customHeight="1" s="95">
      <c r="A755" s="143" t="n">
        <v>44584</v>
      </c>
      <c r="B755" s="146" t="n">
        <v>1.00408</v>
      </c>
      <c r="C755" s="179" t="n">
        <v>43399887532</v>
      </c>
      <c r="D755" s="179" t="n">
        <v>43223546699</v>
      </c>
      <c r="E755" s="146" t="n">
        <v>1.002512</v>
      </c>
      <c r="F755" s="179" t="n">
        <v>78448336904</v>
      </c>
      <c r="G755" s="179" t="n">
        <v>78251766151</v>
      </c>
      <c r="H755" s="179">
        <f>IFERROR(D755+G755,D755)</f>
        <v/>
      </c>
      <c r="I755" s="184">
        <f>IFERROR(D755/H755,"")</f>
        <v/>
      </c>
      <c r="J755" s="179" t="n">
        <v>8644709340</v>
      </c>
      <c r="K755" s="179" t="n">
        <v>17289418680</v>
      </c>
      <c r="L755" s="179" t="n">
        <v>25934128019</v>
      </c>
    </row>
    <row r="756" ht="15" customHeight="1" s="95">
      <c r="A756" s="143" t="n">
        <v>44585</v>
      </c>
      <c r="B756" s="146" t="n">
        <v>1.005095</v>
      </c>
      <c r="C756" s="179" t="n">
        <v>47960656737</v>
      </c>
      <c r="D756" s="179" t="n">
        <v>47717528443</v>
      </c>
      <c r="E756" s="146" t="n">
        <v>0.99998</v>
      </c>
      <c r="F756" s="179" t="n">
        <v>78310182894</v>
      </c>
      <c r="G756" s="179" t="n">
        <v>78311766178</v>
      </c>
      <c r="H756" s="179">
        <f>IFERROR(D756+G756,D756)</f>
        <v/>
      </c>
      <c r="I756" s="184">
        <f>IFERROR(D756/H756,"")</f>
        <v/>
      </c>
      <c r="J756" s="179" t="n">
        <v>9543505689</v>
      </c>
      <c r="K756" s="179" t="n">
        <v>19087011377</v>
      </c>
      <c r="L756" s="179" t="n">
        <v>28630517066</v>
      </c>
    </row>
    <row r="757" ht="15" customHeight="1" s="95">
      <c r="A757" s="143" t="n">
        <v>44586</v>
      </c>
      <c r="B757" s="146" t="n">
        <v>1.000986</v>
      </c>
      <c r="C757" s="179" t="n">
        <v>48227447406</v>
      </c>
      <c r="D757" s="179" t="n">
        <v>48179948142</v>
      </c>
      <c r="E757" s="146" t="n">
        <v>1.005232</v>
      </c>
      <c r="F757" s="179" t="n">
        <v>78669518055</v>
      </c>
      <c r="G757" s="179" t="n">
        <v>78260066178</v>
      </c>
      <c r="H757" s="179">
        <f>IFERROR(D757+G757,D757)</f>
        <v/>
      </c>
      <c r="I757" s="184">
        <f>IFERROR(D757/H757,"")</f>
        <v/>
      </c>
      <c r="J757" s="179" t="n">
        <v>9635989628</v>
      </c>
      <c r="K757" s="179" t="n">
        <v>19271979257</v>
      </c>
      <c r="L757" s="179" t="n">
        <v>28907968885</v>
      </c>
    </row>
    <row r="758" ht="15" customHeight="1" s="95">
      <c r="A758" s="143" t="n">
        <v>44587</v>
      </c>
      <c r="B758" s="146" t="n">
        <v>1.002755</v>
      </c>
      <c r="C758" s="179" t="n">
        <v>48751308899</v>
      </c>
      <c r="D758" s="179" t="n">
        <v>48617386973</v>
      </c>
      <c r="E758" s="146" t="n">
        <v>1.001428</v>
      </c>
      <c r="F758" s="179" t="n">
        <v>78269272661</v>
      </c>
      <c r="G758" s="179" t="n">
        <v>78157666178</v>
      </c>
      <c r="H758" s="179">
        <f>IFERROR(D758+G758,D758)</f>
        <v/>
      </c>
      <c r="I758" s="184">
        <f>IFERROR(D758/H758,"")</f>
        <v/>
      </c>
      <c r="J758" s="179" t="n">
        <v>9723477395</v>
      </c>
      <c r="K758" s="179" t="n">
        <v>19446954789</v>
      </c>
      <c r="L758" s="179" t="n">
        <v>29170432184</v>
      </c>
    </row>
    <row r="759" ht="15" customHeight="1" s="95">
      <c r="A759" s="143" t="n">
        <v>44588</v>
      </c>
      <c r="B759" s="146" t="n">
        <v>1.000836</v>
      </c>
      <c r="C759" s="179" t="n">
        <v>49162186989</v>
      </c>
      <c r="D759" s="179" t="n">
        <v>49121103227</v>
      </c>
      <c r="E759" s="146" t="n">
        <v>1.00163</v>
      </c>
      <c r="F759" s="179" t="n">
        <v>78752828371</v>
      </c>
      <c r="G759" s="179" t="n">
        <v>78624658195</v>
      </c>
      <c r="H759" s="179">
        <f>IFERROR(D759+G759,D759)</f>
        <v/>
      </c>
      <c r="I759" s="184">
        <f>IFERROR(D759/H759,"")</f>
        <v/>
      </c>
      <c r="J759" s="179" t="n">
        <v>9824220645</v>
      </c>
      <c r="K759" s="179" t="n">
        <v>19648441291</v>
      </c>
      <c r="L759" s="179" t="n">
        <v>29472661936</v>
      </c>
    </row>
    <row r="760" ht="15" customHeight="1" s="95">
      <c r="A760" s="143" t="n">
        <v>44589</v>
      </c>
      <c r="B760" s="146" t="n">
        <v>1.002595</v>
      </c>
      <c r="C760" s="179" t="n">
        <v>49593244049</v>
      </c>
      <c r="D760" s="179" t="n">
        <v>49464886650</v>
      </c>
      <c r="E760" s="146" t="n">
        <v>1.007038</v>
      </c>
      <c r="F760" s="179" t="n">
        <v>78718773465</v>
      </c>
      <c r="G760" s="179" t="n">
        <v>78168627986</v>
      </c>
      <c r="H760" s="179">
        <f>IFERROR(D760+G760,D760)</f>
        <v/>
      </c>
      <c r="I760" s="184">
        <f>IFERROR(D760/H760,"")</f>
        <v/>
      </c>
      <c r="J760" s="179" t="n">
        <v>9892977330</v>
      </c>
      <c r="K760" s="179" t="n">
        <v>19785954660</v>
      </c>
      <c r="L760" s="179" t="n">
        <v>29678931990</v>
      </c>
    </row>
    <row r="761" ht="15" customHeight="1" s="95">
      <c r="A761" s="143" t="n">
        <v>44590</v>
      </c>
      <c r="B761" s="146" t="n">
        <v>1.000351</v>
      </c>
      <c r="C761" s="179" t="n">
        <v>49629722995</v>
      </c>
      <c r="D761" s="179" t="n">
        <v>49612328835</v>
      </c>
      <c r="E761" s="146" t="n">
        <v>1.001835</v>
      </c>
      <c r="F761" s="179" t="n">
        <v>78249351192</v>
      </c>
      <c r="G761" s="179" t="n">
        <v>78106060152</v>
      </c>
      <c r="H761" s="179">
        <f>IFERROR(D761+G761,D761)</f>
        <v/>
      </c>
      <c r="I761" s="184">
        <f>IFERROR(D761/H761,"")</f>
        <v/>
      </c>
      <c r="J761" s="179" t="n">
        <v>9922465767</v>
      </c>
      <c r="K761" s="179" t="n">
        <v>19844931534</v>
      </c>
      <c r="L761" s="179" t="n">
        <v>29767397301</v>
      </c>
    </row>
    <row r="762" ht="15" customHeight="1" s="95">
      <c r="A762" s="143" t="n">
        <v>44591</v>
      </c>
      <c r="B762" s="146" t="n">
        <v>1.003121</v>
      </c>
      <c r="C762" s="179" t="n">
        <v>49822470987</v>
      </c>
      <c r="D762" s="179" t="n">
        <v>49667454165</v>
      </c>
      <c r="E762" s="146" t="n">
        <v>1.003156</v>
      </c>
      <c r="F762" s="179" t="n">
        <v>78366901630</v>
      </c>
      <c r="G762" s="179" t="n">
        <v>78120366650</v>
      </c>
      <c r="H762" s="179">
        <f>IFERROR(D762+G762,D762)</f>
        <v/>
      </c>
      <c r="I762" s="184">
        <f>IFERROR(D762/H762,"")</f>
        <v/>
      </c>
      <c r="J762" s="179" t="n">
        <v>9933490833</v>
      </c>
      <c r="K762" s="179" t="n">
        <v>19866981666</v>
      </c>
      <c r="L762" s="179" t="n">
        <v>29800472499</v>
      </c>
    </row>
    <row r="763" ht="15" customHeight="1" s="95">
      <c r="A763" s="143" t="n">
        <v>44592</v>
      </c>
      <c r="B763" s="146" t="n">
        <v>1.000713</v>
      </c>
      <c r="C763" s="179" t="n">
        <v>49794511800</v>
      </c>
      <c r="D763" s="179" t="n">
        <v>49759032278</v>
      </c>
      <c r="E763" s="146" t="n">
        <v>1.00187</v>
      </c>
      <c r="F763" s="179" t="n">
        <v>78198382292</v>
      </c>
      <c r="G763" s="179" t="n">
        <v>78052404349</v>
      </c>
      <c r="H763" s="179">
        <f>IFERROR(D763+G763,D763)</f>
        <v/>
      </c>
      <c r="I763" s="184">
        <f>IFERROR(D763/H763,"")</f>
        <v/>
      </c>
      <c r="J763" s="179" t="n">
        <v>9951806456</v>
      </c>
      <c r="K763" s="179" t="n">
        <v>19903612911</v>
      </c>
      <c r="L763" s="179" t="n">
        <v>29855419367</v>
      </c>
    </row>
    <row r="764" ht="15" customHeight="1" s="95">
      <c r="A764" s="143" t="n">
        <v>44593</v>
      </c>
      <c r="B764" s="146" t="n">
        <v>1.001094</v>
      </c>
      <c r="C764" s="179" t="n">
        <v>49918615203</v>
      </c>
      <c r="D764" s="179" t="n">
        <v>49864042047</v>
      </c>
      <c r="E764" s="146" t="n">
        <v>1.001617</v>
      </c>
      <c r="F764" s="179" t="n">
        <v>78062781790</v>
      </c>
      <c r="G764" s="179" t="n">
        <v>77936725479</v>
      </c>
      <c r="H764" s="179">
        <f>IFERROR(D764+G764,D764)</f>
        <v/>
      </c>
      <c r="I764" s="184">
        <f>IFERROR(D764/H764,"")</f>
        <v/>
      </c>
      <c r="J764" s="179" t="n">
        <v>9972808409</v>
      </c>
      <c r="K764" s="179" t="n">
        <v>19945616819</v>
      </c>
      <c r="L764" s="179" t="n">
        <v>29918425228</v>
      </c>
    </row>
    <row r="765" ht="15" customHeight="1" s="95">
      <c r="A765" s="143" t="n">
        <v>44594</v>
      </c>
      <c r="B765" s="146" t="n">
        <v>1.000651</v>
      </c>
      <c r="C765" s="179" t="n">
        <v>50255165741</v>
      </c>
      <c r="D765" s="179" t="n">
        <v>50222451430</v>
      </c>
      <c r="E765" s="146" t="n">
        <v>1.001445</v>
      </c>
      <c r="F765" s="179" t="n">
        <v>78016936424</v>
      </c>
      <c r="G765" s="179" t="n">
        <v>77904396764</v>
      </c>
      <c r="H765" s="179">
        <f>IFERROR(D765+G765,D765)</f>
        <v/>
      </c>
      <c r="I765" s="184">
        <f>IFERROR(D765/H765,"")</f>
        <v/>
      </c>
      <c r="J765" s="179" t="n">
        <v>10044490286</v>
      </c>
      <c r="K765" s="179" t="n">
        <v>20088980572</v>
      </c>
      <c r="L765" s="179" t="n">
        <v>30133470858</v>
      </c>
    </row>
    <row r="766" ht="15" customHeight="1" s="95">
      <c r="A766" s="143" t="n">
        <v>44595</v>
      </c>
      <c r="B766" s="146" t="n">
        <v>1.000891</v>
      </c>
      <c r="C766" s="179" t="n">
        <v>50530744243</v>
      </c>
      <c r="D766" s="179" t="n">
        <v>50485770703</v>
      </c>
      <c r="E766" s="146" t="n">
        <v>1.001936</v>
      </c>
      <c r="F766" s="179" t="n">
        <v>78038075903</v>
      </c>
      <c r="G766" s="179" t="n">
        <v>77887272975</v>
      </c>
      <c r="H766" s="179">
        <f>IFERROR(D766+G766,D766)</f>
        <v/>
      </c>
      <c r="I766" s="184">
        <f>IFERROR(D766/H766,"")</f>
        <v/>
      </c>
      <c r="J766" s="179" t="n">
        <v>10097154141</v>
      </c>
      <c r="K766" s="179" t="n">
        <v>20194308281</v>
      </c>
      <c r="L766" s="179" t="n">
        <v>30291462422</v>
      </c>
    </row>
    <row r="767" ht="15" customHeight="1" s="95">
      <c r="A767" s="143" t="n">
        <v>44596</v>
      </c>
      <c r="B767" s="146" t="n">
        <v>1.001821</v>
      </c>
      <c r="C767" s="179" t="n">
        <v>50891956574</v>
      </c>
      <c r="D767" s="179" t="n">
        <v>50799474644</v>
      </c>
      <c r="E767" s="146" t="n">
        <v>1.001402</v>
      </c>
      <c r="F767" s="179" t="n">
        <v>78064010105</v>
      </c>
      <c r="G767" s="179" t="n">
        <v>77954701019</v>
      </c>
      <c r="H767" s="179">
        <f>IFERROR(D767+G767,D767)</f>
        <v/>
      </c>
      <c r="I767" s="184">
        <f>IFERROR(D767/H767,"")</f>
        <v/>
      </c>
      <c r="J767" s="179" t="n">
        <v>10159894929</v>
      </c>
      <c r="K767" s="179" t="n">
        <v>20319789858</v>
      </c>
      <c r="L767" s="179" t="n">
        <v>30479684786</v>
      </c>
    </row>
    <row r="768" ht="15" customHeight="1" s="95">
      <c r="A768" s="143" t="n">
        <v>44597</v>
      </c>
      <c r="B768" s="146" t="n">
        <v>1.010925</v>
      </c>
      <c r="C768" s="179" t="n">
        <v>51126955862</v>
      </c>
      <c r="D768" s="179" t="n">
        <v>50574443623</v>
      </c>
      <c r="E768" s="146" t="n">
        <v>1.00553</v>
      </c>
      <c r="F768" s="179" t="n">
        <v>78063205577</v>
      </c>
      <c r="G768" s="179" t="n">
        <v>77633928553</v>
      </c>
      <c r="H768" s="179">
        <f>IFERROR(D768+G768,D768)</f>
        <v/>
      </c>
      <c r="I768" s="184">
        <f>IFERROR(D768/H768,"")</f>
        <v/>
      </c>
      <c r="J768" s="179" t="n">
        <v>10114888725</v>
      </c>
      <c r="K768" s="179" t="n">
        <v>20229777449</v>
      </c>
      <c r="L768" s="179" t="n">
        <v>30344666174</v>
      </c>
    </row>
    <row r="769" ht="15" customHeight="1" s="95">
      <c r="A769" s="143" t="n">
        <v>44598</v>
      </c>
      <c r="B769" s="146" t="n">
        <v>0.998481</v>
      </c>
      <c r="C769" s="179" t="n">
        <v>51125781968</v>
      </c>
      <c r="D769" s="179" t="n">
        <v>51203573423</v>
      </c>
      <c r="E769" s="146" t="n">
        <v>1.000456</v>
      </c>
      <c r="F769" s="179" t="n">
        <v>78062854577</v>
      </c>
      <c r="G769" s="179" t="n">
        <v>78027306009</v>
      </c>
      <c r="H769" s="179">
        <f>IFERROR(D769+G769,D769)</f>
        <v/>
      </c>
      <c r="I769" s="184">
        <f>IFERROR(D769/H769,"")</f>
        <v/>
      </c>
      <c r="J769" s="179" t="n">
        <v>10240714685</v>
      </c>
      <c r="K769" s="179" t="n">
        <v>20481429369</v>
      </c>
      <c r="L769" s="179" t="n">
        <v>30722144054</v>
      </c>
    </row>
    <row r="770" ht="15" customHeight="1" s="95">
      <c r="A770" s="143" t="n">
        <v>44599</v>
      </c>
      <c r="B770" s="146" t="n">
        <v>1.001614</v>
      </c>
      <c r="C770" s="179" t="n">
        <v>51171401396</v>
      </c>
      <c r="D770" s="179" t="n">
        <v>51088944435</v>
      </c>
      <c r="E770" s="146" t="n">
        <v>1.000352</v>
      </c>
      <c r="F770" s="179" t="n">
        <v>78163472783</v>
      </c>
      <c r="G770" s="179" t="n">
        <v>78135942987</v>
      </c>
      <c r="H770" s="179">
        <f>IFERROR(D770+G770,D770)</f>
        <v/>
      </c>
      <c r="I770" s="184">
        <f>IFERROR(D770/H770,"")</f>
        <v/>
      </c>
      <c r="J770" s="179" t="n">
        <v>10217788887</v>
      </c>
      <c r="K770" s="179" t="n">
        <v>20435577774</v>
      </c>
      <c r="L770" s="179" t="n">
        <v>30653366661</v>
      </c>
    </row>
    <row r="771" ht="15" customHeight="1" s="95">
      <c r="A771" s="143" t="n">
        <v>44600</v>
      </c>
      <c r="B771" s="146" t="n">
        <v>0.999134</v>
      </c>
      <c r="C771" s="179" t="n">
        <v>51376105825</v>
      </c>
      <c r="D771" s="179" t="n">
        <v>51420611747</v>
      </c>
      <c r="E771" s="146" t="n">
        <v>1.001299</v>
      </c>
      <c r="F771" s="179" t="n">
        <v>78096593702</v>
      </c>
      <c r="G771" s="179" t="n">
        <v>77995296355</v>
      </c>
      <c r="H771" s="179">
        <f>IFERROR(D771+G771,D771)</f>
        <v/>
      </c>
      <c r="I771" s="184">
        <f>IFERROR(D771/H771,"")</f>
        <v/>
      </c>
      <c r="J771" s="179" t="n">
        <v>10284122349</v>
      </c>
      <c r="K771" s="179" t="n">
        <v>20568244699</v>
      </c>
      <c r="L771" s="179" t="n">
        <v>30852367048</v>
      </c>
    </row>
    <row r="772" ht="15" customHeight="1" s="95">
      <c r="A772" s="143" t="n">
        <v>44601</v>
      </c>
      <c r="B772" s="146" t="n">
        <v>1.000992</v>
      </c>
      <c r="C772" s="179" t="n">
        <v>51617308589</v>
      </c>
      <c r="D772" s="179" t="n">
        <v>51566174571</v>
      </c>
      <c r="E772" s="146" t="n">
        <v>1.001455</v>
      </c>
      <c r="F772" s="179" t="n">
        <v>78040221424</v>
      </c>
      <c r="G772" s="179" t="n">
        <v>77926851088</v>
      </c>
      <c r="H772" s="179">
        <f>IFERROR(D772+G772,D772)</f>
        <v/>
      </c>
      <c r="I772" s="184">
        <f>IFERROR(D772/H772,"")</f>
        <v/>
      </c>
      <c r="J772" s="179" t="n">
        <v>10313234914</v>
      </c>
      <c r="K772" s="179" t="n">
        <v>20626469828</v>
      </c>
      <c r="L772" s="179" t="n">
        <v>30939704743</v>
      </c>
    </row>
    <row r="773" ht="15" customHeight="1" s="95">
      <c r="A773" s="143" t="n">
        <v>44602</v>
      </c>
      <c r="B773" s="146" t="n">
        <v>1.001332</v>
      </c>
      <c r="C773" s="179" t="n">
        <v>51900324270</v>
      </c>
      <c r="D773" s="179" t="n">
        <v>51831265343</v>
      </c>
      <c r="E773" s="146" t="n">
        <v>1.001174</v>
      </c>
      <c r="F773" s="179" t="n">
        <v>78012911279</v>
      </c>
      <c r="G773" s="179" t="n">
        <v>77921407620</v>
      </c>
      <c r="H773" s="179">
        <f>IFERROR(D773+G773,D773)</f>
        <v/>
      </c>
      <c r="I773" s="184">
        <f>IFERROR(D773/H773,"")</f>
        <v/>
      </c>
      <c r="J773" s="179" t="n">
        <v>10366253069</v>
      </c>
      <c r="K773" s="179" t="n">
        <v>20732506137</v>
      </c>
      <c r="L773" s="179" t="n">
        <v>31098759206</v>
      </c>
    </row>
    <row r="774" ht="15" customHeight="1" s="95">
      <c r="A774" s="143" t="n">
        <v>44603</v>
      </c>
      <c r="B774" s="146" t="n">
        <v>1.001947</v>
      </c>
      <c r="C774" s="179" t="n">
        <v>52054797409</v>
      </c>
      <c r="D774" s="179" t="n">
        <v>51953620989</v>
      </c>
      <c r="E774" s="146" t="n">
        <v>1.001657</v>
      </c>
      <c r="F774" s="179" t="n">
        <v>78515301961</v>
      </c>
      <c r="G774" s="179" t="n">
        <v>78385451173</v>
      </c>
      <c r="H774" s="179">
        <f>IFERROR(D774+G774,D774)</f>
        <v/>
      </c>
      <c r="I774" s="184">
        <f>IFERROR(D774/H774,"")</f>
        <v/>
      </c>
      <c r="J774" s="179" t="n">
        <v>10390724198</v>
      </c>
      <c r="K774" s="179" t="n">
        <v>20781448396</v>
      </c>
      <c r="L774" s="179" t="n">
        <v>31172172593</v>
      </c>
    </row>
    <row r="775" ht="15" customHeight="1" s="95">
      <c r="A775" s="143" t="n">
        <v>44604</v>
      </c>
      <c r="B775" s="146" t="n">
        <v>1.00032</v>
      </c>
      <c r="C775" s="179" t="n">
        <v>52250598201</v>
      </c>
      <c r="D775" s="179" t="n">
        <v>52233906969</v>
      </c>
      <c r="E775" s="146" t="n">
        <v>1.002045</v>
      </c>
      <c r="F775" s="179" t="n">
        <v>78510632875</v>
      </c>
      <c r="G775" s="179" t="n">
        <v>78350409218</v>
      </c>
      <c r="H775" s="179">
        <f>IFERROR(D775+G775,D775)</f>
        <v/>
      </c>
      <c r="I775" s="184">
        <f>IFERROR(D775/H775,"")</f>
        <v/>
      </c>
      <c r="J775" s="179" t="n">
        <v>10446781394</v>
      </c>
      <c r="K775" s="179" t="n">
        <v>20893562788</v>
      </c>
      <c r="L775" s="179" t="n">
        <v>31340344181</v>
      </c>
    </row>
    <row r="776" ht="15" customHeight="1" s="95">
      <c r="A776" s="143" t="n">
        <v>44605</v>
      </c>
      <c r="B776" s="146" t="n">
        <v>1.000899</v>
      </c>
      <c r="C776" s="179" t="n">
        <v>52335045827</v>
      </c>
      <c r="D776" s="179" t="n">
        <v>52288033144</v>
      </c>
      <c r="E776" s="146" t="n">
        <v>1.002001</v>
      </c>
      <c r="F776" s="179" t="n">
        <v>78531121017</v>
      </c>
      <c r="G776" s="179" t="n">
        <v>78374304712</v>
      </c>
      <c r="H776" s="179">
        <f>IFERROR(D776+G776,D776)</f>
        <v/>
      </c>
      <c r="I776" s="184">
        <f>IFERROR(D776/H776,"")</f>
        <v/>
      </c>
      <c r="J776" s="179" t="n">
        <v>10457606629</v>
      </c>
      <c r="K776" s="179" t="n">
        <v>20915213258</v>
      </c>
      <c r="L776" s="179" t="n">
        <v>31372819886</v>
      </c>
    </row>
    <row r="777" ht="15" customHeight="1" s="95">
      <c r="A777" s="143" t="n">
        <v>44606</v>
      </c>
      <c r="B777" s="146" t="n">
        <v>1.000207</v>
      </c>
      <c r="C777" s="179" t="n">
        <v>52473422561</v>
      </c>
      <c r="D777" s="179" t="n">
        <v>52462538816</v>
      </c>
      <c r="E777" s="146" t="n">
        <v>1.00116</v>
      </c>
      <c r="F777" s="179" t="n">
        <v>78636273860</v>
      </c>
      <c r="G777" s="179" t="n">
        <v>78545161877</v>
      </c>
      <c r="H777" s="179">
        <f>IFERROR(D777+G777,D777)</f>
        <v/>
      </c>
      <c r="I777" s="184">
        <f>IFERROR(D777/H777,"")</f>
        <v/>
      </c>
      <c r="J777" s="179" t="n">
        <v>10492507763</v>
      </c>
      <c r="K777" s="179" t="n">
        <v>20985015526</v>
      </c>
      <c r="L777" s="179" t="n">
        <v>31477523290</v>
      </c>
    </row>
    <row r="778" ht="15" customHeight="1" s="95">
      <c r="A778" s="143" t="n">
        <v>44607</v>
      </c>
      <c r="B778" s="146" t="n">
        <v>0.999953</v>
      </c>
      <c r="C778" s="179" t="n">
        <v>52507811955</v>
      </c>
      <c r="D778" s="179" t="n">
        <v>52510280179</v>
      </c>
      <c r="E778" s="146" t="n">
        <v>1.001156</v>
      </c>
      <c r="F778" s="179" t="n">
        <v>78558940144</v>
      </c>
      <c r="G778" s="179" t="n">
        <v>78468233485</v>
      </c>
      <c r="H778" s="179">
        <f>IFERROR(D778+G778,D778)</f>
        <v/>
      </c>
      <c r="I778" s="184">
        <f>IFERROR(D778/H778,"")</f>
        <v/>
      </c>
      <c r="J778" s="179" t="n">
        <v>10502056036</v>
      </c>
      <c r="K778" s="179" t="n">
        <v>21004112072</v>
      </c>
      <c r="L778" s="179" t="n">
        <v>31506168107</v>
      </c>
    </row>
    <row r="779" ht="15" customHeight="1" s="95">
      <c r="A779" s="143" t="n">
        <v>44608</v>
      </c>
      <c r="B779" s="146" t="n">
        <v>1.000037</v>
      </c>
      <c r="C779" s="179" t="n">
        <v>52544445044</v>
      </c>
      <c r="D779" s="179" t="n">
        <v>52542487643</v>
      </c>
      <c r="E779" s="146" t="n">
        <v>0.999551</v>
      </c>
      <c r="F779" s="179" t="n">
        <v>78623518666</v>
      </c>
      <c r="G779" s="179" t="n">
        <v>78658836664</v>
      </c>
      <c r="H779" s="179">
        <f>IFERROR(D779+G779,D779)</f>
        <v/>
      </c>
      <c r="I779" s="184">
        <f>IFERROR(D779/H779,"")</f>
        <v/>
      </c>
      <c r="J779" s="179" t="n">
        <v>10508497529</v>
      </c>
      <c r="K779" s="179" t="n">
        <v>21016995057</v>
      </c>
      <c r="L779" s="179" t="n">
        <v>31525492586</v>
      </c>
    </row>
    <row r="780" ht="15" customHeight="1" s="95">
      <c r="A780" s="143" t="n">
        <v>44609</v>
      </c>
      <c r="B780" s="146" t="n">
        <v>0.998995</v>
      </c>
      <c r="C780" s="179" t="n">
        <v>52583527242</v>
      </c>
      <c r="D780" s="179" t="n">
        <v>52636453117</v>
      </c>
      <c r="E780" s="146" t="n">
        <v>1.000757</v>
      </c>
      <c r="F780" s="179" t="n">
        <v>78732790424</v>
      </c>
      <c r="G780" s="179" t="n">
        <v>78673261876</v>
      </c>
      <c r="H780" s="179">
        <f>IFERROR(D780+G780,D780)</f>
        <v/>
      </c>
      <c r="I780" s="184">
        <f>IFERROR(D780/H780,"")</f>
        <v/>
      </c>
      <c r="J780" s="179" t="n">
        <v>10527290623</v>
      </c>
      <c r="K780" s="179" t="n">
        <v>21054581247</v>
      </c>
      <c r="L780" s="179" t="n">
        <v>31581871870</v>
      </c>
    </row>
    <row r="781" ht="15" customHeight="1" s="95">
      <c r="A781" s="143" t="n">
        <v>44610</v>
      </c>
      <c r="B781" s="146" t="n">
        <v>0.999304</v>
      </c>
      <c r="C781" s="179" t="n">
        <v>52570695423</v>
      </c>
      <c r="D781" s="179" t="n">
        <v>52607292696</v>
      </c>
      <c r="E781" s="146" t="n">
        <v>1.001063</v>
      </c>
      <c r="F781" s="179" t="n">
        <v>78772769797</v>
      </c>
      <c r="G781" s="179" t="n">
        <v>78689100970</v>
      </c>
      <c r="H781" s="179">
        <f>IFERROR(D781+G781,D781)</f>
        <v/>
      </c>
      <c r="I781" s="184">
        <f>IFERROR(D781/H781,"")</f>
        <v/>
      </c>
      <c r="J781" s="179" t="n">
        <v>10521458539</v>
      </c>
      <c r="K781" s="179" t="n">
        <v>21042917078</v>
      </c>
      <c r="L781" s="179" t="n">
        <v>31564375618</v>
      </c>
    </row>
    <row r="782" ht="15" customHeight="1" s="95">
      <c r="A782" s="143" t="n">
        <v>44611</v>
      </c>
      <c r="B782" s="146" t="n">
        <v>1.000704</v>
      </c>
      <c r="C782" s="179" t="n">
        <v>52556151807</v>
      </c>
      <c r="D782" s="179" t="n">
        <v>52519203895</v>
      </c>
      <c r="E782" s="146" t="n">
        <v>1.000417</v>
      </c>
      <c r="F782" s="179" t="n">
        <v>78727591077</v>
      </c>
      <c r="G782" s="179" t="n">
        <v>78694751544</v>
      </c>
      <c r="H782" s="179">
        <f>IFERROR(D782+G782,D782)</f>
        <v/>
      </c>
      <c r="I782" s="184">
        <f>IFERROR(D782/H782,"")</f>
        <v/>
      </c>
      <c r="J782" s="179" t="n">
        <v>10503840779</v>
      </c>
      <c r="K782" s="179" t="n">
        <v>21007681558</v>
      </c>
      <c r="L782" s="179" t="n">
        <v>31511522337</v>
      </c>
    </row>
    <row r="783" ht="15" customHeight="1" s="95">
      <c r="A783" s="143" t="n">
        <v>44612</v>
      </c>
      <c r="B783" s="146" t="n">
        <v>1.002452</v>
      </c>
      <c r="C783" s="179" t="n">
        <v>52684758315</v>
      </c>
      <c r="D783" s="179" t="n">
        <v>52555893748</v>
      </c>
      <c r="E783" s="146" t="n">
        <v>1.002344</v>
      </c>
      <c r="F783" s="179" t="n">
        <v>79138436958</v>
      </c>
      <c r="G783" s="179" t="n">
        <v>78953373757</v>
      </c>
      <c r="H783" s="179">
        <f>IFERROR(D783+G783,D783)</f>
        <v/>
      </c>
      <c r="I783" s="184">
        <f>IFERROR(D783/H783,"")</f>
        <v/>
      </c>
      <c r="J783" s="179" t="n">
        <v>10511178750</v>
      </c>
      <c r="K783" s="179" t="n">
        <v>21022357499</v>
      </c>
      <c r="L783" s="179" t="n">
        <v>31533536249</v>
      </c>
    </row>
    <row r="784" ht="15" customHeight="1" s="95">
      <c r="A784" s="143" t="n">
        <v>44613</v>
      </c>
      <c r="B784" s="146" t="n">
        <v>1.001625</v>
      </c>
      <c r="C784" s="179" t="n">
        <v>52682266468</v>
      </c>
      <c r="D784" s="179" t="n">
        <v>52596812915</v>
      </c>
      <c r="E784" s="146" t="n">
        <v>1.001046</v>
      </c>
      <c r="F784" s="179" t="n">
        <v>79163080614</v>
      </c>
      <c r="G784" s="179" t="n">
        <v>79080359439</v>
      </c>
      <c r="H784" s="179">
        <f>IFERROR(D784+G784,D784)</f>
        <v/>
      </c>
      <c r="I784" s="184">
        <f>IFERROR(D784/H784,"")</f>
        <v/>
      </c>
      <c r="J784" s="179" t="n">
        <v>10519362583</v>
      </c>
      <c r="K784" s="179" t="n">
        <v>21038725166</v>
      </c>
      <c r="L784" s="179" t="n">
        <v>31558087749</v>
      </c>
    </row>
    <row r="785" ht="15" customHeight="1" s="95">
      <c r="A785" s="143" t="n">
        <v>44614</v>
      </c>
      <c r="B785" s="146" t="n">
        <v>1.001662</v>
      </c>
      <c r="C785" s="179" t="n">
        <v>52707824143</v>
      </c>
      <c r="D785" s="179" t="n">
        <v>52620370163</v>
      </c>
      <c r="E785" s="146" t="n">
        <v>1.001924</v>
      </c>
      <c r="F785" s="179" t="n">
        <v>79390647858</v>
      </c>
      <c r="G785" s="179" t="n">
        <v>79238191057</v>
      </c>
      <c r="H785" s="179">
        <f>IFERROR(D785+G785,D785)</f>
        <v/>
      </c>
      <c r="I785" s="184">
        <f>IFERROR(D785/H785,"")</f>
        <v/>
      </c>
      <c r="J785" s="179" t="n">
        <v>10524074033</v>
      </c>
      <c r="K785" s="179" t="n">
        <v>21048148065</v>
      </c>
      <c r="L785" s="179" t="n">
        <v>31572222098</v>
      </c>
    </row>
    <row r="786" ht="15" customHeight="1" s="95">
      <c r="A786" s="143" t="n">
        <v>44615</v>
      </c>
      <c r="B786" s="146" t="n">
        <v>0.999722</v>
      </c>
      <c r="C786" s="179" t="n">
        <v>52829973427</v>
      </c>
      <c r="D786" s="179" t="n">
        <v>52844673261</v>
      </c>
      <c r="E786" s="146" t="n">
        <v>0.9995270000000001</v>
      </c>
      <c r="F786" s="179" t="n">
        <v>79377609210</v>
      </c>
      <c r="G786" s="179" t="n">
        <v>79415206825</v>
      </c>
      <c r="H786" s="179">
        <f>IFERROR(D786+G786,D786)</f>
        <v/>
      </c>
      <c r="I786" s="184">
        <f>IFERROR(D786/H786,"")</f>
        <v/>
      </c>
      <c r="J786" s="179" t="n">
        <v>10568934652</v>
      </c>
      <c r="K786" s="179" t="n">
        <v>21137869304</v>
      </c>
      <c r="L786" s="179" t="n">
        <v>31706803957</v>
      </c>
    </row>
    <row r="787" ht="15" customHeight="1" s="95">
      <c r="A787" s="143" t="n">
        <v>44616</v>
      </c>
      <c r="B787" s="146" t="n">
        <v>1.000497</v>
      </c>
      <c r="C787" s="179" t="n">
        <v>52870303585</v>
      </c>
      <c r="D787" s="179" t="n">
        <v>52844057675</v>
      </c>
      <c r="E787" s="146" t="n">
        <v>1.00196</v>
      </c>
      <c r="F787" s="179" t="n">
        <v>79629945704</v>
      </c>
      <c r="G787" s="179" t="n">
        <v>79474203154</v>
      </c>
      <c r="H787" s="179">
        <f>IFERROR(D787+G787,D787)</f>
        <v/>
      </c>
      <c r="I787" s="184">
        <f>IFERROR(D787/H787,"")</f>
        <v/>
      </c>
      <c r="J787" s="179" t="n">
        <v>10568811535</v>
      </c>
      <c r="K787" s="179" t="n">
        <v>21137623070</v>
      </c>
      <c r="L787" s="179" t="n">
        <v>31706434605</v>
      </c>
    </row>
    <row r="788" ht="15" customHeight="1" s="95">
      <c r="A788" s="143" t="n">
        <v>44617</v>
      </c>
      <c r="B788" s="146" t="n">
        <v>1.000824</v>
      </c>
      <c r="C788" s="179" t="n">
        <v>53249174589</v>
      </c>
      <c r="D788" s="179" t="n">
        <v>53205310881</v>
      </c>
      <c r="E788" s="146" t="n">
        <v>1.001156</v>
      </c>
      <c r="F788" s="179" t="n">
        <v>79631571239</v>
      </c>
      <c r="G788" s="179" t="n">
        <v>79539629466</v>
      </c>
      <c r="H788" s="179">
        <f>IFERROR(D788+G788,D788)</f>
        <v/>
      </c>
      <c r="I788" s="184">
        <f>IFERROR(D788/H788,"")</f>
        <v/>
      </c>
      <c r="J788" s="179" t="n">
        <v>10641062176</v>
      </c>
      <c r="K788" s="179" t="n">
        <v>21282124352</v>
      </c>
      <c r="L788" s="179" t="n">
        <v>31923186529</v>
      </c>
    </row>
    <row r="789" ht="15" customHeight="1" s="95">
      <c r="A789" s="143" t="n">
        <v>44618</v>
      </c>
      <c r="B789" s="146" t="n">
        <v>1.001373</v>
      </c>
      <c r="C789" s="179" t="n">
        <v>53155258428</v>
      </c>
      <c r="D789" s="179" t="n">
        <v>53082393975</v>
      </c>
      <c r="E789" s="146" t="n">
        <v>1.002486</v>
      </c>
      <c r="F789" s="179" t="n">
        <v>79474403712</v>
      </c>
      <c r="G789" s="179" t="n">
        <v>79277307463</v>
      </c>
      <c r="H789" s="179">
        <f>IFERROR(D789+G789,D789)</f>
        <v/>
      </c>
      <c r="I789" s="184">
        <f>IFERROR(D789/H789,"")</f>
        <v/>
      </c>
      <c r="J789" s="179" t="n">
        <v>10616478795</v>
      </c>
      <c r="K789" s="179" t="n">
        <v>21232957590</v>
      </c>
      <c r="L789" s="179" t="n">
        <v>31849436385</v>
      </c>
    </row>
    <row r="790" ht="15" customHeight="1" s="95">
      <c r="A790" s="143" t="n">
        <v>44619</v>
      </c>
      <c r="B790" s="146" t="n">
        <v>1.00258</v>
      </c>
      <c r="C790" s="179" t="n">
        <v>53354079813</v>
      </c>
      <c r="D790" s="179" t="n">
        <v>53216793052</v>
      </c>
      <c r="E790" s="146" t="n">
        <v>1.002472</v>
      </c>
      <c r="F790" s="179" t="n">
        <v>79679402405</v>
      </c>
      <c r="G790" s="179" t="n">
        <v>79482960037</v>
      </c>
      <c r="H790" s="179">
        <f>IFERROR(D790+G790,D790)</f>
        <v/>
      </c>
      <c r="I790" s="184">
        <f>IFERROR(D790/H790,"")</f>
        <v/>
      </c>
      <c r="J790" s="179" t="n">
        <v>10643358610</v>
      </c>
      <c r="K790" s="179" t="n">
        <v>21286717221</v>
      </c>
      <c r="L790" s="179" t="n">
        <v>31930075831</v>
      </c>
    </row>
    <row r="791" ht="15" customHeight="1" s="95">
      <c r="A791" s="143" t="n">
        <v>44620</v>
      </c>
      <c r="B791" s="146" t="n">
        <v>1.002436</v>
      </c>
      <c r="C791" s="179" t="n">
        <v>53569960347</v>
      </c>
      <c r="D791" s="179" t="n">
        <v>53439802038</v>
      </c>
      <c r="E791" s="146" t="n">
        <v>1.002536</v>
      </c>
      <c r="F791" s="179" t="n">
        <v>79854422104</v>
      </c>
      <c r="G791" s="179" t="n">
        <v>79652420172</v>
      </c>
      <c r="H791" s="179">
        <f>IFERROR(D791+G791,D791)</f>
        <v/>
      </c>
      <c r="I791" s="184">
        <f>IFERROR(D791/H791,"")</f>
        <v/>
      </c>
      <c r="J791" s="179" t="n">
        <v>10687960408</v>
      </c>
      <c r="K791" s="179" t="n">
        <v>21375920815</v>
      </c>
      <c r="L791" s="179" t="n">
        <v>32063881223</v>
      </c>
    </row>
    <row r="792" ht="15" customHeight="1" s="95">
      <c r="A792" s="143" t="n">
        <v>44621</v>
      </c>
      <c r="B792" s="146" t="n">
        <v>1.000501</v>
      </c>
      <c r="C792" s="179" t="n">
        <v>53458489274</v>
      </c>
      <c r="D792" s="179" t="n">
        <v>53431742549</v>
      </c>
      <c r="E792" s="146" t="n">
        <v>1.000104</v>
      </c>
      <c r="F792" s="179" t="n">
        <v>79537958059</v>
      </c>
      <c r="G792" s="179" t="n">
        <v>79529687005</v>
      </c>
      <c r="H792" s="179">
        <f>IFERROR(D792+G792,D792)</f>
        <v/>
      </c>
      <c r="I792" s="184">
        <f>IFERROR(D792/H792,"")</f>
        <v/>
      </c>
      <c r="J792" s="179" t="n">
        <v>10686348510</v>
      </c>
      <c r="K792" s="179" t="n">
        <v>21372697020</v>
      </c>
      <c r="L792" s="179" t="n">
        <v>32059045529</v>
      </c>
    </row>
    <row r="793" ht="15" customHeight="1" s="95">
      <c r="A793" s="143" t="n">
        <v>44622</v>
      </c>
      <c r="B793" s="146" t="n">
        <v>1.000514</v>
      </c>
      <c r="C793" s="179" t="n">
        <v>53535209641</v>
      </c>
      <c r="D793" s="179" t="n">
        <v>53507711409</v>
      </c>
      <c r="E793" s="146" t="n">
        <v>0.99939</v>
      </c>
      <c r="F793" s="179" t="n">
        <v>79425591343</v>
      </c>
      <c r="G793" s="179" t="n">
        <v>79474042475</v>
      </c>
      <c r="H793" s="179">
        <f>IFERROR(D793+G793,D793)</f>
        <v/>
      </c>
      <c r="I793" s="184">
        <f>IFERROR(D793/H793,"")</f>
        <v/>
      </c>
      <c r="J793" s="179" t="n">
        <v>10701542282</v>
      </c>
      <c r="K793" s="179" t="n">
        <v>21403084564</v>
      </c>
      <c r="L793" s="179" t="n">
        <v>32104626845</v>
      </c>
    </row>
    <row r="794" ht="15" customHeight="1" s="95">
      <c r="A794" s="143" t="n">
        <v>44623</v>
      </c>
      <c r="B794" s="146" t="n">
        <v>0.999655</v>
      </c>
      <c r="C794" s="179" t="n">
        <v>53460734124</v>
      </c>
      <c r="D794" s="179" t="n">
        <v>53479164603</v>
      </c>
      <c r="E794" s="146" t="n">
        <v>1.001225</v>
      </c>
      <c r="F794" s="179" t="n">
        <v>79854759317</v>
      </c>
      <c r="G794" s="179" t="n">
        <v>79757056429</v>
      </c>
      <c r="H794" s="179">
        <f>IFERROR(D794+G794,D794)</f>
        <v/>
      </c>
      <c r="I794" s="184">
        <f>IFERROR(D794/H794,"")</f>
        <v/>
      </c>
      <c r="J794" s="179" t="n">
        <v>10695832921</v>
      </c>
      <c r="K794" s="179" t="n">
        <v>21391665841</v>
      </c>
      <c r="L794" s="179" t="n">
        <v>32087498762</v>
      </c>
    </row>
    <row r="795" ht="15" customHeight="1" s="95">
      <c r="A795" s="143" t="n">
        <v>44624</v>
      </c>
      <c r="B795" s="146" t="n">
        <v>0.9993069999999999</v>
      </c>
      <c r="C795" s="179" t="n">
        <v>53414694791</v>
      </c>
      <c r="D795" s="179" t="n">
        <v>53451719876</v>
      </c>
      <c r="E795" s="146" t="n">
        <v>1.000903</v>
      </c>
      <c r="F795" s="179" t="n">
        <v>79609484426</v>
      </c>
      <c r="G795" s="179" t="n">
        <v>79537689905</v>
      </c>
      <c r="H795" s="179">
        <f>IFERROR(D795+G795,D795)</f>
        <v/>
      </c>
      <c r="I795" s="184">
        <f>IFERROR(D795/H795,"")</f>
        <v/>
      </c>
      <c r="J795" s="179" t="n">
        <v>10690343975</v>
      </c>
      <c r="K795" s="179" t="n">
        <v>21380687950</v>
      </c>
      <c r="L795" s="179" t="n">
        <v>32071031926</v>
      </c>
    </row>
    <row r="796" ht="15" customHeight="1" s="95">
      <c r="A796" s="143" t="n">
        <v>44625</v>
      </c>
      <c r="B796" s="146" t="n">
        <v>1.000158</v>
      </c>
      <c r="C796" s="179" t="n">
        <v>52845480300</v>
      </c>
      <c r="D796" s="179" t="n">
        <v>52837118745</v>
      </c>
      <c r="E796" s="146" t="n">
        <v>1.001543</v>
      </c>
      <c r="F796" s="179" t="n">
        <v>79843809462</v>
      </c>
      <c r="G796" s="179" t="n">
        <v>79720793162</v>
      </c>
      <c r="H796" s="179">
        <f>IFERROR(D796+G796,D796)</f>
        <v/>
      </c>
      <c r="I796" s="184">
        <f>IFERROR(D796/H796,"")</f>
        <v/>
      </c>
      <c r="J796" s="179" t="n">
        <v>10567423749</v>
      </c>
      <c r="K796" s="179" t="n">
        <v>21134847498</v>
      </c>
      <c r="L796" s="179" t="n">
        <v>31702271247</v>
      </c>
    </row>
    <row r="797" ht="15" customHeight="1" s="95">
      <c r="A797" s="143" t="n">
        <v>44626</v>
      </c>
      <c r="B797" s="146" t="n">
        <v>1.001171</v>
      </c>
      <c r="C797" s="179" t="n">
        <v>52941838088</v>
      </c>
      <c r="D797" s="179" t="n">
        <v>52879935394</v>
      </c>
      <c r="E797" s="146" t="n">
        <v>1.001638</v>
      </c>
      <c r="F797" s="179" t="n">
        <v>79862020237</v>
      </c>
      <c r="G797" s="179" t="n">
        <v>79731393109</v>
      </c>
      <c r="H797" s="179">
        <f>IFERROR(D797+G797,D797)</f>
        <v/>
      </c>
      <c r="I797" s="184">
        <f>IFERROR(D797/H797,"")</f>
        <v/>
      </c>
      <c r="J797" s="179" t="n">
        <v>10575987079</v>
      </c>
      <c r="K797" s="179" t="n">
        <v>21151974158</v>
      </c>
      <c r="L797" s="179" t="n">
        <v>31727961236</v>
      </c>
    </row>
    <row r="798" ht="15" customHeight="1" s="95">
      <c r="A798" s="143" t="n">
        <v>44627</v>
      </c>
      <c r="B798" s="146" t="n">
        <v>0.999929</v>
      </c>
      <c r="C798" s="179" t="n">
        <v>52806695838</v>
      </c>
      <c r="D798" s="179" t="n">
        <v>52810427430</v>
      </c>
      <c r="E798" s="146" t="n">
        <v>1.000957</v>
      </c>
      <c r="F798" s="179" t="n">
        <v>80091190392</v>
      </c>
      <c r="G798" s="179" t="n">
        <v>80014594493</v>
      </c>
      <c r="H798" s="179">
        <f>IFERROR(D798+G798,D798)</f>
        <v/>
      </c>
      <c r="I798" s="184">
        <f>IFERROR(D798/H798,"")</f>
        <v/>
      </c>
      <c r="J798" s="179" t="n">
        <v>10562085486</v>
      </c>
      <c r="K798" s="179" t="n">
        <v>21124170972</v>
      </c>
      <c r="L798" s="179" t="n">
        <v>31686256458</v>
      </c>
    </row>
    <row r="799" ht="15" customHeight="1" s="95">
      <c r="A799" s="143" t="n">
        <v>44628</v>
      </c>
      <c r="B799" s="146" t="n">
        <v>0.998569</v>
      </c>
      <c r="C799" s="179" t="n">
        <v>52183496666</v>
      </c>
      <c r="D799" s="179" t="n">
        <v>52258294173</v>
      </c>
      <c r="E799" s="146" t="n">
        <v>1.000055</v>
      </c>
      <c r="F799" s="179" t="n">
        <v>79896920564</v>
      </c>
      <c r="G799" s="179" t="n">
        <v>79892519569</v>
      </c>
      <c r="H799" s="179">
        <f>IFERROR(D799+G799,D799)</f>
        <v/>
      </c>
      <c r="I799" s="184">
        <f>IFERROR(D799/H799,"")</f>
        <v/>
      </c>
      <c r="J799" s="179" t="n">
        <v>10451658835</v>
      </c>
      <c r="K799" s="179" t="n">
        <v>20903317669</v>
      </c>
      <c r="L799" s="179" t="n">
        <v>31354976504</v>
      </c>
    </row>
    <row r="800" ht="15" customHeight="1" s="95">
      <c r="A800" s="143" t="n">
        <v>44629</v>
      </c>
      <c r="B800" s="146" t="n">
        <v>1.000085</v>
      </c>
      <c r="C800" s="179" t="n">
        <v>52392565506</v>
      </c>
      <c r="D800" s="179" t="n">
        <v>52388117462</v>
      </c>
      <c r="E800" s="146" t="n">
        <v>1.000163</v>
      </c>
      <c r="F800" s="179" t="n">
        <v>80070927070</v>
      </c>
      <c r="G800" s="179" t="n">
        <v>80057915856</v>
      </c>
      <c r="H800" s="179">
        <f>IFERROR(D800+G800,D800)</f>
        <v/>
      </c>
      <c r="I800" s="184">
        <f>IFERROR(D800/H800,"")</f>
        <v/>
      </c>
      <c r="J800" s="179" t="n">
        <v>10477623492</v>
      </c>
      <c r="K800" s="179" t="n">
        <v>20955246985</v>
      </c>
      <c r="L800" s="179" t="n">
        <v>31432870477</v>
      </c>
    </row>
    <row r="801" ht="15" customHeight="1" s="95">
      <c r="A801" s="143" t="n">
        <v>44630</v>
      </c>
      <c r="B801" s="146" t="n">
        <v>0.999974</v>
      </c>
      <c r="C801" s="179" t="n">
        <v>52382602555</v>
      </c>
      <c r="D801" s="179" t="n">
        <v>52383957555</v>
      </c>
      <c r="E801" s="146" t="n">
        <v>1.000196</v>
      </c>
      <c r="F801" s="179" t="n">
        <v>80044018129</v>
      </c>
      <c r="G801" s="179" t="n">
        <v>80028316059</v>
      </c>
      <c r="H801" s="179">
        <f>IFERROR(D801+G801,D801)</f>
        <v/>
      </c>
      <c r="I801" s="184">
        <f>IFERROR(D801/H801,"")</f>
        <v/>
      </c>
      <c r="J801" s="179" t="n">
        <v>10476791511</v>
      </c>
      <c r="K801" s="179" t="n">
        <v>20953583022</v>
      </c>
      <c r="L801" s="179" t="n">
        <v>31430374533</v>
      </c>
    </row>
    <row r="802" ht="15" customHeight="1" s="95">
      <c r="A802" s="143" t="n">
        <v>44631</v>
      </c>
      <c r="B802" s="146" t="n">
        <v>1.000323</v>
      </c>
      <c r="C802" s="179" t="n">
        <v>52536873749</v>
      </c>
      <c r="D802" s="179" t="n">
        <v>52519905355</v>
      </c>
      <c r="E802" s="146" t="n">
        <v>1.000991</v>
      </c>
      <c r="F802" s="179" t="n">
        <v>80042053179</v>
      </c>
      <c r="G802" s="179" t="n">
        <v>79962772224</v>
      </c>
      <c r="H802" s="179">
        <f>IFERROR(D802+G802,D802)</f>
        <v/>
      </c>
      <c r="I802" s="184">
        <f>IFERROR(D802/H802,"")</f>
        <v/>
      </c>
      <c r="J802" s="179" t="n">
        <v>10503981071</v>
      </c>
      <c r="K802" s="179" t="n">
        <v>21007962142</v>
      </c>
      <c r="L802" s="179" t="n">
        <v>31511943213</v>
      </c>
    </row>
    <row r="803" ht="15" customHeight="1" s="95">
      <c r="A803" s="143" t="n">
        <v>44632</v>
      </c>
      <c r="B803" s="146" t="n">
        <v>0.999251</v>
      </c>
      <c r="C803" s="179" t="n">
        <v>52458033804</v>
      </c>
      <c r="D803" s="179" t="n">
        <v>52497362595</v>
      </c>
      <c r="E803" s="146" t="n">
        <v>0.999572</v>
      </c>
      <c r="F803" s="179" t="n">
        <v>80132712133</v>
      </c>
      <c r="G803" s="179" t="n">
        <v>80167052102</v>
      </c>
      <c r="H803" s="179">
        <f>IFERROR(D803+G803,D803)</f>
        <v/>
      </c>
      <c r="I803" s="184">
        <f>IFERROR(D803/H803,"")</f>
        <v/>
      </c>
      <c r="J803" s="179" t="n">
        <v>10499472519</v>
      </c>
      <c r="K803" s="179" t="n">
        <v>20998945038</v>
      </c>
      <c r="L803" s="179" t="n">
        <v>31498417557</v>
      </c>
    </row>
    <row r="804" ht="15" customHeight="1" s="95">
      <c r="A804" s="143" t="n">
        <v>44633</v>
      </c>
      <c r="B804" s="146" t="n">
        <v>1.000345</v>
      </c>
      <c r="C804" s="179" t="n">
        <v>52421564168</v>
      </c>
      <c r="D804" s="179" t="n">
        <v>52403472974</v>
      </c>
      <c r="E804" s="146" t="n">
        <v>0.9999670000000001</v>
      </c>
      <c r="F804" s="179" t="n">
        <v>80116438307</v>
      </c>
      <c r="G804" s="179" t="n">
        <v>80119121849</v>
      </c>
      <c r="H804" s="179">
        <f>IFERROR(D804+G804,D804)</f>
        <v/>
      </c>
      <c r="I804" s="184">
        <f>IFERROR(D804/H804,"")</f>
        <v/>
      </c>
      <c r="J804" s="179" t="n">
        <v>10480694595</v>
      </c>
      <c r="K804" s="179" t="n">
        <v>20961389190</v>
      </c>
      <c r="L804" s="179" t="n">
        <v>31442083784</v>
      </c>
    </row>
    <row r="805" ht="15" customHeight="1" s="95">
      <c r="A805" s="143" t="n">
        <v>44634</v>
      </c>
      <c r="B805" s="146" t="n">
        <v>1.001094</v>
      </c>
      <c r="C805" s="179" t="n">
        <v>52430189477</v>
      </c>
      <c r="D805" s="179" t="n">
        <v>52372886661</v>
      </c>
      <c r="E805" s="146" t="n">
        <v>1.00071</v>
      </c>
      <c r="F805" s="179" t="n">
        <v>80129528500</v>
      </c>
      <c r="G805" s="179" t="n">
        <v>80072716129</v>
      </c>
      <c r="H805" s="179">
        <f>IFERROR(D805+G805,D805)</f>
        <v/>
      </c>
      <c r="I805" s="184">
        <f>IFERROR(D805/H805,"")</f>
        <v/>
      </c>
      <c r="J805" s="179" t="n">
        <v>10474577332</v>
      </c>
      <c r="K805" s="179" t="n">
        <v>20949154664</v>
      </c>
      <c r="L805" s="179" t="n">
        <v>31423731997</v>
      </c>
    </row>
    <row r="806" ht="15" customHeight="1" s="95">
      <c r="A806" s="143" t="n">
        <v>44635</v>
      </c>
      <c r="B806" s="146" t="n">
        <v>1.00072</v>
      </c>
      <c r="C806" s="179" t="n">
        <v>52442627222</v>
      </c>
      <c r="D806" s="179" t="n">
        <v>52404884169</v>
      </c>
      <c r="E806" s="146" t="n">
        <v>0.999705</v>
      </c>
      <c r="F806" s="179" t="n">
        <v>80072305020</v>
      </c>
      <c r="G806" s="179" t="n">
        <v>80095932463</v>
      </c>
      <c r="H806" s="179">
        <f>IFERROR(D806+G806,D806)</f>
        <v/>
      </c>
      <c r="I806" s="184">
        <f>IFERROR(D806/H806,"")</f>
        <v/>
      </c>
      <c r="J806" s="179" t="n">
        <v>10480976834</v>
      </c>
      <c r="K806" s="179" t="n">
        <v>20961953668</v>
      </c>
      <c r="L806" s="179" t="n">
        <v>31442930501</v>
      </c>
    </row>
    <row r="807" ht="15" customHeight="1" s="95">
      <c r="A807" s="143" t="n">
        <v>44636</v>
      </c>
      <c r="B807" s="146" t="n">
        <v>0.99985</v>
      </c>
      <c r="C807" s="179" t="n">
        <v>52304672903</v>
      </c>
      <c r="D807" s="179" t="n">
        <v>52312495218</v>
      </c>
      <c r="E807" s="146" t="n">
        <v>1.00027</v>
      </c>
      <c r="F807" s="179" t="n">
        <v>80062438312</v>
      </c>
      <c r="G807" s="179" t="n">
        <v>80040812228</v>
      </c>
      <c r="H807" s="179">
        <f>IFERROR(D807+G807,D807)</f>
        <v/>
      </c>
      <c r="I807" s="184">
        <f>IFERROR(D807/H807,"")</f>
        <v/>
      </c>
      <c r="J807" s="179" t="n">
        <v>10462499044</v>
      </c>
      <c r="K807" s="179" t="n">
        <v>20924998087</v>
      </c>
      <c r="L807" s="179" t="n">
        <v>31387497131</v>
      </c>
    </row>
    <row r="808" ht="15" customHeight="1" s="95">
      <c r="A808" s="143" t="n">
        <v>44637</v>
      </c>
      <c r="B808" s="146" t="n">
        <v>0.999927</v>
      </c>
      <c r="C808" s="179" t="n">
        <v>52316342174</v>
      </c>
      <c r="D808" s="179" t="n">
        <v>52320173713</v>
      </c>
      <c r="E808" s="146" t="n">
        <v>1.000896</v>
      </c>
      <c r="F808" s="179" t="n">
        <v>80082861270</v>
      </c>
      <c r="G808" s="179" t="n">
        <v>80011173697</v>
      </c>
      <c r="H808" s="179">
        <f>IFERROR(D808+G808,D808)</f>
        <v/>
      </c>
      <c r="I808" s="184">
        <f>IFERROR(D808/H808,"")</f>
        <v/>
      </c>
      <c r="J808" s="179" t="n">
        <v>10464034743</v>
      </c>
      <c r="K808" s="179" t="n">
        <v>20928069485</v>
      </c>
      <c r="L808" s="179" t="n">
        <v>31392104228</v>
      </c>
    </row>
    <row r="809" ht="15" customHeight="1" s="95">
      <c r="A809" s="143" t="n">
        <v>44638</v>
      </c>
      <c r="B809" s="146" t="n">
        <v>1.000662</v>
      </c>
      <c r="C809" s="179" t="n">
        <v>52799091235</v>
      </c>
      <c r="D809" s="179" t="n">
        <v>52764174912</v>
      </c>
      <c r="E809" s="146" t="n">
        <v>1.001183</v>
      </c>
      <c r="F809" s="179" t="n">
        <v>80158683653</v>
      </c>
      <c r="G809" s="179" t="n">
        <v>80063977191</v>
      </c>
      <c r="H809" s="179">
        <f>IFERROR(D809+G809,D809)</f>
        <v/>
      </c>
      <c r="I809" s="184">
        <f>IFERROR(D809/H809,"")</f>
        <v/>
      </c>
      <c r="J809" s="179" t="n">
        <v>10552834982</v>
      </c>
      <c r="K809" s="179" t="n">
        <v>21105669965</v>
      </c>
      <c r="L809" s="179" t="n">
        <v>31658504947</v>
      </c>
    </row>
    <row r="810" ht="15" customHeight="1" s="95">
      <c r="A810" s="143" t="n">
        <v>44639</v>
      </c>
      <c r="B810" s="146" t="n">
        <v>1.000181</v>
      </c>
      <c r="C810" s="179" t="n">
        <v>52830384957</v>
      </c>
      <c r="D810" s="179" t="n">
        <v>52820826663</v>
      </c>
      <c r="E810" s="146" t="n">
        <v>1.001324</v>
      </c>
      <c r="F810" s="179" t="n">
        <v>80532285250</v>
      </c>
      <c r="G810" s="179" t="n">
        <v>80425816318</v>
      </c>
      <c r="H810" s="179">
        <f>IFERROR(D810+G810,D810)</f>
        <v/>
      </c>
      <c r="I810" s="184">
        <f>IFERROR(D810/H810,"")</f>
        <v/>
      </c>
      <c r="J810" s="179" t="n">
        <v>10564165333</v>
      </c>
      <c r="K810" s="179" t="n">
        <v>21128330665</v>
      </c>
      <c r="L810" s="179" t="n">
        <v>31692495998</v>
      </c>
    </row>
    <row r="811" ht="15" customHeight="1" s="95">
      <c r="A811" s="143" t="n">
        <v>44640</v>
      </c>
      <c r="B811" s="146" t="n">
        <v>0.9998899999999999</v>
      </c>
      <c r="C811" s="179" t="n">
        <v>52865924687</v>
      </c>
      <c r="D811" s="179" t="n">
        <v>52871732480</v>
      </c>
      <c r="E811" s="146" t="n">
        <v>1.000234</v>
      </c>
      <c r="F811" s="179" t="n">
        <v>80740243739</v>
      </c>
      <c r="G811" s="179" t="n">
        <v>80721377190</v>
      </c>
      <c r="H811" s="179">
        <f>IFERROR(D811+G811,D811)</f>
        <v/>
      </c>
      <c r="I811" s="184">
        <f>IFERROR(D811/H811,"")</f>
        <v/>
      </c>
      <c r="J811" s="179" t="n">
        <v>10574346496</v>
      </c>
      <c r="K811" s="179" t="n">
        <v>21148692992</v>
      </c>
      <c r="L811" s="179" t="n">
        <v>31723039488</v>
      </c>
    </row>
    <row r="812" ht="15" customHeight="1" s="95">
      <c r="A812" s="143" t="n">
        <v>44641</v>
      </c>
      <c r="B812" s="146" t="n">
        <v>0.999539</v>
      </c>
      <c r="C812" s="179" t="n">
        <v>52986600672</v>
      </c>
      <c r="D812" s="179" t="n">
        <v>53011052122</v>
      </c>
      <c r="E812" s="146" t="n">
        <v>0.999706</v>
      </c>
      <c r="F812" s="179" t="n">
        <v>80827449076</v>
      </c>
      <c r="G812" s="179" t="n">
        <v>80851246466</v>
      </c>
      <c r="H812" s="179">
        <f>IFERROR(D812+G812,D812)</f>
        <v/>
      </c>
      <c r="I812" s="184">
        <f>IFERROR(D812/H812,"")</f>
        <v/>
      </c>
      <c r="J812" s="179" t="n">
        <v>10602210424</v>
      </c>
      <c r="K812" s="179" t="n">
        <v>21204420849</v>
      </c>
      <c r="L812" s="179" t="n">
        <v>31806631273</v>
      </c>
    </row>
    <row r="813" ht="15" customHeight="1" s="95">
      <c r="A813" s="143" t="n">
        <v>44642</v>
      </c>
      <c r="B813" s="146" t="n">
        <v>0.999039</v>
      </c>
      <c r="C813" s="179" t="n">
        <v>53033013665</v>
      </c>
      <c r="D813" s="179" t="n">
        <v>53084029024</v>
      </c>
      <c r="E813" s="146" t="n">
        <v>1.000216</v>
      </c>
      <c r="F813" s="179" t="n">
        <v>80724926154</v>
      </c>
      <c r="G813" s="179" t="n">
        <v>80707480685</v>
      </c>
      <c r="H813" s="179">
        <f>IFERROR(D813+G813,D813)</f>
        <v/>
      </c>
      <c r="I813" s="184">
        <f>IFERROR(D813/H813,"")</f>
        <v/>
      </c>
      <c r="J813" s="179" t="n">
        <v>10616805805</v>
      </c>
      <c r="K813" s="179" t="n">
        <v>21233611610</v>
      </c>
      <c r="L813" s="179" t="n">
        <v>31850417414</v>
      </c>
    </row>
    <row r="814" ht="15" customHeight="1" s="95">
      <c r="A814" s="143" t="n">
        <v>44643</v>
      </c>
      <c r="B814" s="146" t="n">
        <v>0.999553</v>
      </c>
      <c r="C814" s="179" t="n">
        <v>52648557137</v>
      </c>
      <c r="D814" s="179" t="n">
        <v>52672124919</v>
      </c>
      <c r="E814" s="146" t="n">
        <v>0.99961</v>
      </c>
      <c r="F814" s="179" t="n">
        <v>80845440414</v>
      </c>
      <c r="G814" s="179" t="n">
        <v>80877002867</v>
      </c>
      <c r="H814" s="179">
        <f>IFERROR(D814+G814,D814)</f>
        <v/>
      </c>
      <c r="I814" s="184">
        <f>IFERROR(D814/H814,"")</f>
        <v/>
      </c>
      <c r="J814" s="179" t="n">
        <v>10534424984</v>
      </c>
      <c r="K814" s="179" t="n">
        <v>21068849968</v>
      </c>
      <c r="L814" s="179" t="n">
        <v>31603274951</v>
      </c>
    </row>
    <row r="815" ht="15" customHeight="1" s="95">
      <c r="A815" s="143" t="n">
        <v>44644</v>
      </c>
      <c r="B815" s="146" t="n">
        <v>0.998885</v>
      </c>
      <c r="C815" s="179" t="n">
        <v>52312387349</v>
      </c>
      <c r="D815" s="179" t="n">
        <v>52370798172</v>
      </c>
      <c r="E815" s="146" t="n">
        <v>0.998348</v>
      </c>
      <c r="F815" s="179" t="n">
        <v>80751116254</v>
      </c>
      <c r="G815" s="179" t="n">
        <v>80884735689</v>
      </c>
      <c r="H815" s="179">
        <f>IFERROR(D815+G815,D815)</f>
        <v/>
      </c>
      <c r="I815" s="184">
        <f>IFERROR(D815/H815,"")</f>
        <v/>
      </c>
      <c r="J815" s="179" t="n">
        <v>10474159634</v>
      </c>
      <c r="K815" s="179" t="n">
        <v>20948319269</v>
      </c>
      <c r="L815" s="179" t="n">
        <v>31422478903</v>
      </c>
    </row>
    <row r="816" ht="15" customHeight="1" s="95">
      <c r="A816" s="143" t="n">
        <v>44645</v>
      </c>
      <c r="B816" s="146" t="n">
        <v>1.000262</v>
      </c>
      <c r="C816" s="179" t="n">
        <v>52500264884</v>
      </c>
      <c r="D816" s="179" t="n">
        <v>52486530399</v>
      </c>
      <c r="E816" s="146" t="n">
        <v>0.999615</v>
      </c>
      <c r="F816" s="179" t="n">
        <v>80927589776</v>
      </c>
      <c r="G816" s="179" t="n">
        <v>80958735861</v>
      </c>
      <c r="H816" s="179">
        <f>IFERROR(D816+G816,D816)</f>
        <v/>
      </c>
      <c r="I816" s="184">
        <f>IFERROR(D816/H816,"")</f>
        <v/>
      </c>
      <c r="J816" s="179" t="n">
        <v>10497306080</v>
      </c>
      <c r="K816" s="179" t="n">
        <v>20994612160</v>
      </c>
      <c r="L816" s="179" t="n">
        <v>31491918239</v>
      </c>
    </row>
    <row r="817" ht="15" customHeight="1" s="95">
      <c r="A817" s="143" t="n">
        <v>44646</v>
      </c>
      <c r="B817" s="146" t="n">
        <v>0.999169</v>
      </c>
      <c r="C817" s="179" t="n">
        <v>51872642831</v>
      </c>
      <c r="D817" s="179" t="n">
        <v>51915765641</v>
      </c>
      <c r="E817" s="146" t="n">
        <v>0.999733</v>
      </c>
      <c r="F817" s="179" t="n">
        <v>81291023434</v>
      </c>
      <c r="G817" s="179" t="n">
        <v>81312735958</v>
      </c>
      <c r="H817" s="179">
        <f>IFERROR(D817+G817,D817)</f>
        <v/>
      </c>
      <c r="I817" s="184">
        <f>IFERROR(D817/H817,"")</f>
        <v/>
      </c>
      <c r="J817" s="179" t="n">
        <v>10383153128</v>
      </c>
      <c r="K817" s="179" t="n">
        <v>20766306256</v>
      </c>
      <c r="L817" s="179" t="n">
        <v>31149459385</v>
      </c>
    </row>
    <row r="818" ht="15" customHeight="1" s="95">
      <c r="A818" s="143" t="n">
        <v>44647</v>
      </c>
      <c r="B818" s="146" t="n">
        <v>0.9992760000000001</v>
      </c>
      <c r="C818" s="179" t="n">
        <v>51968286154</v>
      </c>
      <c r="D818" s="179" t="n">
        <v>52005938001</v>
      </c>
      <c r="E818" s="146" t="n">
        <v>0.999516</v>
      </c>
      <c r="F818" s="179" t="n">
        <v>81304845676</v>
      </c>
      <c r="G818" s="179" t="n">
        <v>81344241436</v>
      </c>
      <c r="H818" s="179">
        <f>IFERROR(D818+G818,D818)</f>
        <v/>
      </c>
      <c r="I818" s="184">
        <f>IFERROR(D818/H818,"")</f>
        <v/>
      </c>
      <c r="J818" s="179" t="n">
        <v>10401187600</v>
      </c>
      <c r="K818" s="179" t="n">
        <v>20802375200</v>
      </c>
      <c r="L818" s="179" t="n">
        <v>31203562801</v>
      </c>
    </row>
    <row r="819" ht="15" customHeight="1" s="95">
      <c r="A819" s="143" t="n">
        <v>44648</v>
      </c>
      <c r="B819" s="146" t="n">
        <v>1.00066</v>
      </c>
      <c r="C819" s="179" t="n">
        <v>51983272483</v>
      </c>
      <c r="D819" s="179" t="n">
        <v>51948980137</v>
      </c>
      <c r="E819" s="146" t="n">
        <v>0.9987819999999999</v>
      </c>
      <c r="F819" s="179" t="n">
        <v>81196385910</v>
      </c>
      <c r="G819" s="179" t="n">
        <v>81295379466</v>
      </c>
      <c r="H819" s="179">
        <f>IFERROR(D819+G819,D819)</f>
        <v/>
      </c>
      <c r="I819" s="184">
        <f>IFERROR(D819/H819,"")</f>
        <v/>
      </c>
      <c r="J819" s="179" t="n">
        <v>10389796027</v>
      </c>
      <c r="K819" s="179" t="n">
        <v>20779592055</v>
      </c>
      <c r="L819" s="179" t="n">
        <v>31169388082</v>
      </c>
    </row>
    <row r="820" ht="15" customHeight="1" s="95">
      <c r="A820" s="143" t="n">
        <v>44649</v>
      </c>
      <c r="B820" s="146" t="n">
        <v>0.999308</v>
      </c>
      <c r="C820" s="179" t="n">
        <v>52033109393</v>
      </c>
      <c r="D820" s="179" t="n">
        <v>52069165622</v>
      </c>
      <c r="E820" s="146" t="n">
        <v>0.99771</v>
      </c>
      <c r="F820" s="179" t="n">
        <v>81349955673</v>
      </c>
      <c r="G820" s="179" t="n">
        <v>81536659110</v>
      </c>
      <c r="H820" s="179">
        <f>IFERROR(D820+G820,D820)</f>
        <v/>
      </c>
      <c r="I820" s="184">
        <f>IFERROR(D820/H820,"")</f>
        <v/>
      </c>
      <c r="J820" s="179" t="n">
        <v>10413833124</v>
      </c>
      <c r="K820" s="179" t="n">
        <v>20827666249</v>
      </c>
      <c r="L820" s="179" t="n">
        <v>31241499373</v>
      </c>
    </row>
    <row r="821" ht="15" customHeight="1" s="95">
      <c r="A821" s="143" t="n">
        <v>44650</v>
      </c>
      <c r="B821" s="146" t="n">
        <v>1.001091</v>
      </c>
      <c r="C821" s="179" t="n">
        <v>51996541150</v>
      </c>
      <c r="D821" s="179" t="n">
        <v>51939880507</v>
      </c>
      <c r="E821" s="146" t="n">
        <v>0.999742</v>
      </c>
      <c r="F821" s="179" t="n">
        <v>81664851060</v>
      </c>
      <c r="G821" s="179" t="n">
        <v>81685965082</v>
      </c>
      <c r="H821" s="179">
        <f>IFERROR(D821+G821,D821)</f>
        <v/>
      </c>
      <c r="I821" s="184">
        <f>IFERROR(D821/H821,"")</f>
        <v/>
      </c>
      <c r="J821" s="179" t="n">
        <v>10387976101</v>
      </c>
      <c r="K821" s="179" t="n">
        <v>20775952203</v>
      </c>
      <c r="L821" s="179" t="n">
        <v>31163928304</v>
      </c>
    </row>
    <row r="822" ht="15" customHeight="1" s="95">
      <c r="A822" s="143" t="n">
        <v>44651</v>
      </c>
      <c r="B822" s="146" t="n">
        <v>1.00786</v>
      </c>
      <c r="C822" s="179" t="n">
        <v>52132452506</v>
      </c>
      <c r="D822" s="179" t="n">
        <v>51725868168</v>
      </c>
      <c r="E822" s="146" t="n">
        <v>0.999394</v>
      </c>
      <c r="F822" s="179" t="n">
        <v>81930453189</v>
      </c>
      <c r="G822" s="179" t="n">
        <v>81980128503</v>
      </c>
      <c r="H822" s="179">
        <f>IFERROR(D822+G822,D822)</f>
        <v/>
      </c>
      <c r="I822" s="184">
        <f>IFERROR(D822/H822,"")</f>
        <v/>
      </c>
      <c r="J822" s="179" t="n">
        <v>10345173634</v>
      </c>
      <c r="K822" s="179" t="n">
        <v>20690347267</v>
      </c>
      <c r="L822" s="179" t="n">
        <v>31035520901</v>
      </c>
    </row>
    <row r="823" ht="15" customHeight="1" s="95">
      <c r="A823" s="143" t="n">
        <v>44652</v>
      </c>
      <c r="B823" s="146" t="n">
        <v>1.00754</v>
      </c>
      <c r="C823" s="179" t="n">
        <v>51709881548</v>
      </c>
      <c r="D823" s="179" t="n">
        <v>51322913433</v>
      </c>
      <c r="E823" s="146" t="n">
        <v>1.000808</v>
      </c>
      <c r="F823" s="179" t="n">
        <v>82044965080</v>
      </c>
      <c r="G823" s="179" t="n">
        <v>81978743041</v>
      </c>
      <c r="H823" s="179">
        <f>IFERROR(D823+G823,D823)</f>
        <v/>
      </c>
      <c r="I823" s="184">
        <f>IFERROR(D823/H823,"")</f>
        <v/>
      </c>
      <c r="J823" s="179" t="n">
        <v>10264582687</v>
      </c>
      <c r="K823" s="179" t="n">
        <v>20529165373</v>
      </c>
      <c r="L823" s="179" t="n">
        <v>30793748060</v>
      </c>
    </row>
    <row r="824" ht="15" customHeight="1" s="95">
      <c r="A824" s="143" t="n">
        <v>44653</v>
      </c>
      <c r="B824" s="146" t="n">
        <v>1.005591</v>
      </c>
      <c r="C824" s="179" t="n">
        <v>51950236854</v>
      </c>
      <c r="D824" s="179" t="n">
        <v>51661392392</v>
      </c>
      <c r="E824" s="146" t="n">
        <v>1.00028</v>
      </c>
      <c r="F824" s="179" t="n">
        <v>82105881308</v>
      </c>
      <c r="G824" s="179" t="n">
        <v>82082930524</v>
      </c>
      <c r="H824" s="179">
        <f>IFERROR(D824+G824,D824)</f>
        <v/>
      </c>
      <c r="I824" s="184">
        <f>IFERROR(D824/H824,"")</f>
        <v/>
      </c>
      <c r="J824" s="179" t="n">
        <v>10332278478</v>
      </c>
      <c r="K824" s="179" t="n">
        <v>20664556957</v>
      </c>
      <c r="L824" s="179" t="n">
        <v>30996835435</v>
      </c>
    </row>
    <row r="825" ht="15" customHeight="1" s="95">
      <c r="A825" s="143" t="n">
        <v>44654</v>
      </c>
      <c r="B825" s="146" t="n">
        <v>1.003268</v>
      </c>
      <c r="C825" s="179" t="n">
        <v>51852952209</v>
      </c>
      <c r="D825" s="179" t="n">
        <v>51684041653</v>
      </c>
      <c r="E825" s="146" t="n">
        <v>0.999645</v>
      </c>
      <c r="F825" s="179" t="n">
        <v>82272678352</v>
      </c>
      <c r="G825" s="179" t="n">
        <v>82301930534</v>
      </c>
      <c r="H825" s="179">
        <f>IFERROR(D825+G825,D825)</f>
        <v/>
      </c>
      <c r="I825" s="184">
        <f>IFERROR(D825/H825,"")</f>
        <v/>
      </c>
      <c r="J825" s="179" t="n">
        <v>10336808331</v>
      </c>
      <c r="K825" s="179" t="n">
        <v>20673616661</v>
      </c>
      <c r="L825" s="179" t="n">
        <v>31010424992</v>
      </c>
    </row>
    <row r="826" ht="15" customHeight="1" s="95">
      <c r="A826" s="143" t="n">
        <v>44655</v>
      </c>
      <c r="B826" s="146" t="n">
        <v>1.001091</v>
      </c>
      <c r="C826" s="179" t="n">
        <v>51625573576</v>
      </c>
      <c r="D826" s="179" t="n">
        <v>51569285836</v>
      </c>
      <c r="E826" s="146" t="n">
        <v>1.000689</v>
      </c>
      <c r="F826" s="179" t="n">
        <v>82388674420</v>
      </c>
      <c r="G826" s="179" t="n">
        <v>82331930545</v>
      </c>
      <c r="H826" s="179">
        <f>IFERROR(D826+G826,D826)</f>
        <v/>
      </c>
      <c r="I826" s="184">
        <f>IFERROR(D826/H826,"")</f>
        <v/>
      </c>
      <c r="J826" s="179" t="n">
        <v>10313857167</v>
      </c>
      <c r="K826" s="179" t="n">
        <v>20627714334</v>
      </c>
      <c r="L826" s="179" t="n">
        <v>30941571502</v>
      </c>
    </row>
    <row r="827" ht="15" customHeight="1" s="95">
      <c r="A827" s="143" t="n">
        <v>44656</v>
      </c>
      <c r="B827" s="146" t="n">
        <v>1.000402</v>
      </c>
      <c r="C827" s="179" t="n">
        <v>51611805895</v>
      </c>
      <c r="D827" s="179" t="n">
        <v>51591082381</v>
      </c>
      <c r="E827" s="146" t="n">
        <v>1.000596</v>
      </c>
      <c r="F827" s="179" t="n">
        <v>82449008615</v>
      </c>
      <c r="G827" s="179" t="n">
        <v>82399890738</v>
      </c>
      <c r="H827" s="179">
        <f>IFERROR(D827+G827,D827)</f>
        <v/>
      </c>
      <c r="I827" s="184">
        <f>IFERROR(D827/H827,"")</f>
        <v/>
      </c>
      <c r="J827" s="179" t="n">
        <v>10318216476</v>
      </c>
      <c r="K827" s="179" t="n">
        <v>20636432952</v>
      </c>
      <c r="L827" s="179" t="n">
        <v>30954649429</v>
      </c>
    </row>
    <row r="828" ht="15" customHeight="1" s="95">
      <c r="A828" s="143" t="n">
        <v>44657</v>
      </c>
      <c r="B828" s="146" t="n">
        <v>0.997994</v>
      </c>
      <c r="C828" s="179" t="n">
        <v>51298300548</v>
      </c>
      <c r="D828" s="179" t="n">
        <v>51401430788</v>
      </c>
      <c r="E828" s="146" t="n">
        <v>1.000875</v>
      </c>
      <c r="F828" s="179" t="n">
        <v>82412689459</v>
      </c>
      <c r="G828" s="179" t="n">
        <v>82340680832</v>
      </c>
      <c r="H828" s="179">
        <f>IFERROR(D828+G828,D828)</f>
        <v/>
      </c>
      <c r="I828" s="184">
        <f>IFERROR(D828/H828,"")</f>
        <v/>
      </c>
      <c r="J828" s="179" t="n">
        <v>10280286158</v>
      </c>
      <c r="K828" s="179" t="n">
        <v>20560572315</v>
      </c>
      <c r="L828" s="179" t="n">
        <v>30840858473</v>
      </c>
    </row>
    <row r="829" ht="15" customHeight="1" s="95">
      <c r="A829" s="143" t="n">
        <v>44658</v>
      </c>
      <c r="B829" s="146" t="n">
        <v>1.001492</v>
      </c>
      <c r="C829" s="179" t="n">
        <v>50746204263</v>
      </c>
      <c r="D829" s="179" t="n">
        <v>50670605720</v>
      </c>
      <c r="E829" s="146" t="n">
        <v>0.999769</v>
      </c>
      <c r="F829" s="179" t="n">
        <v>82422893105</v>
      </c>
      <c r="G829" s="179" t="n">
        <v>82441930581</v>
      </c>
      <c r="H829" s="179">
        <f>IFERROR(D829+G829,D829)</f>
        <v/>
      </c>
      <c r="I829" s="184">
        <f>IFERROR(D829/H829,"")</f>
        <v/>
      </c>
      <c r="J829" s="179" t="n">
        <v>10134121144</v>
      </c>
      <c r="K829" s="179" t="n">
        <v>20268242288</v>
      </c>
      <c r="L829" s="179" t="n">
        <v>30402363432</v>
      </c>
    </row>
    <row r="830" ht="15" customHeight="1" s="95">
      <c r="A830" s="143" t="n">
        <v>44659</v>
      </c>
      <c r="B830" s="146" t="n">
        <v>0.996532</v>
      </c>
      <c r="C830" s="179" t="n">
        <v>50918438012</v>
      </c>
      <c r="D830" s="179" t="n">
        <v>51095661400</v>
      </c>
      <c r="E830" s="146" t="n">
        <v>1.000215</v>
      </c>
      <c r="F830" s="179" t="n">
        <v>82509660677</v>
      </c>
      <c r="G830" s="179" t="n">
        <v>82491930581</v>
      </c>
      <c r="H830" s="179">
        <f>IFERROR(D830+G830,D830)</f>
        <v/>
      </c>
      <c r="I830" s="184">
        <f>IFERROR(D830/H830,"")</f>
        <v/>
      </c>
      <c r="J830" s="179" t="n">
        <v>10219132280</v>
      </c>
      <c r="K830" s="179" t="n">
        <v>20438264560</v>
      </c>
      <c r="L830" s="179" t="n">
        <v>30657396840</v>
      </c>
    </row>
    <row r="831" ht="15" customHeight="1" s="95">
      <c r="A831" s="143" t="n">
        <v>44660</v>
      </c>
      <c r="B831" s="146" t="n">
        <v>0.998337</v>
      </c>
      <c r="C831" s="179" t="n">
        <v>50844820961</v>
      </c>
      <c r="D831" s="179" t="n">
        <v>50929498113</v>
      </c>
      <c r="E831" s="146" t="n">
        <v>1.000854</v>
      </c>
      <c r="F831" s="179" t="n">
        <v>82582177981</v>
      </c>
      <c r="G831" s="179" t="n">
        <v>82511676965</v>
      </c>
      <c r="H831" s="179">
        <f>IFERROR(D831+G831,D831)</f>
        <v/>
      </c>
      <c r="I831" s="184">
        <f>IFERROR(D831/H831,"")</f>
        <v/>
      </c>
      <c r="J831" s="179" t="n">
        <v>10185899623</v>
      </c>
      <c r="K831" s="179" t="n">
        <v>20371799245</v>
      </c>
      <c r="L831" s="179" t="n">
        <v>30557698868</v>
      </c>
    </row>
    <row r="832" ht="15" customHeight="1" s="95">
      <c r="A832" s="143" t="n">
        <v>44661</v>
      </c>
      <c r="B832" s="146" t="n">
        <v>1.001304</v>
      </c>
      <c r="C832" s="179" t="n">
        <v>50831613833</v>
      </c>
      <c r="D832" s="179" t="n">
        <v>50765440346</v>
      </c>
      <c r="E832" s="146" t="n">
        <v>1.000629</v>
      </c>
      <c r="F832" s="179" t="n">
        <v>82608650898</v>
      </c>
      <c r="G832" s="179" t="n">
        <v>82556709625</v>
      </c>
      <c r="H832" s="179">
        <f>IFERROR(D832+G832,D832)</f>
        <v/>
      </c>
      <c r="I832" s="184">
        <f>IFERROR(D832/H832,"")</f>
        <v/>
      </c>
      <c r="J832" s="179" t="n">
        <v>10153088069</v>
      </c>
      <c r="K832" s="179" t="n">
        <v>20306176138</v>
      </c>
      <c r="L832" s="179" t="n">
        <v>30459264208</v>
      </c>
    </row>
    <row r="833" ht="15" customHeight="1" s="95">
      <c r="A833" s="143" t="n">
        <v>44662</v>
      </c>
      <c r="B833" s="146" t="n">
        <v>0.997737</v>
      </c>
      <c r="C833" s="179" t="n">
        <v>50938471710</v>
      </c>
      <c r="D833" s="179" t="n">
        <v>51054023158</v>
      </c>
      <c r="E833" s="146" t="n">
        <v>1.000924</v>
      </c>
      <c r="F833" s="179" t="n">
        <v>82714703437</v>
      </c>
      <c r="G833" s="179" t="n">
        <v>82638383793</v>
      </c>
      <c r="H833" s="179">
        <f>IFERROR(D833+G833,D833)</f>
        <v/>
      </c>
      <c r="I833" s="184">
        <f>IFERROR(D833/H833,"")</f>
        <v/>
      </c>
      <c r="J833" s="179" t="n">
        <v>10210804632</v>
      </c>
      <c r="K833" s="179" t="n">
        <v>20421609263</v>
      </c>
      <c r="L833" s="179" t="n">
        <v>30632413895</v>
      </c>
    </row>
    <row r="834" ht="15" customHeight="1" s="95">
      <c r="A834" s="143" t="n">
        <v>44663</v>
      </c>
      <c r="B834" s="146" t="n">
        <v>0.997844</v>
      </c>
      <c r="C834" s="179" t="n">
        <v>50626993742</v>
      </c>
      <c r="D834" s="179" t="n">
        <v>50736383484</v>
      </c>
      <c r="E834" s="146" t="n">
        <v>1.000951</v>
      </c>
      <c r="F834" s="179" t="n">
        <v>82634863680</v>
      </c>
      <c r="G834" s="179" t="n">
        <v>82556350394</v>
      </c>
      <c r="H834" s="179">
        <f>IFERROR(D834+G834,D834)</f>
        <v/>
      </c>
      <c r="I834" s="184">
        <f>IFERROR(D834/H834,"")</f>
        <v/>
      </c>
      <c r="J834" s="179" t="n">
        <v>10147276697</v>
      </c>
      <c r="K834" s="179" t="n">
        <v>20294553394</v>
      </c>
      <c r="L834" s="179" t="n">
        <v>30441830090</v>
      </c>
    </row>
    <row r="835" ht="15" customHeight="1" s="95">
      <c r="A835" s="143" t="n">
        <v>44664</v>
      </c>
      <c r="B835" s="146" t="n">
        <v>0.997509</v>
      </c>
      <c r="C835" s="179" t="n">
        <v>50557027126</v>
      </c>
      <c r="D835" s="179" t="n">
        <v>50683254513</v>
      </c>
      <c r="E835" s="146" t="n">
        <v>1.001522</v>
      </c>
      <c r="F835" s="179" t="n">
        <v>82881751671</v>
      </c>
      <c r="G835" s="179" t="n">
        <v>82755816392</v>
      </c>
      <c r="H835" s="179">
        <f>IFERROR(D835+G835,D835)</f>
        <v/>
      </c>
      <c r="I835" s="184">
        <f>IFERROR(D835/H835,"")</f>
        <v/>
      </c>
      <c r="J835" s="179" t="n">
        <v>10136650903</v>
      </c>
      <c r="K835" s="179" t="n">
        <v>20273301805</v>
      </c>
      <c r="L835" s="179" t="n">
        <v>30409952708</v>
      </c>
    </row>
    <row r="836" ht="15" customHeight="1" s="95">
      <c r="A836" s="143" t="n">
        <v>44665</v>
      </c>
      <c r="B836" s="146" t="n">
        <v>1.000058</v>
      </c>
      <c r="C836" s="179" t="n">
        <v>50352516151</v>
      </c>
      <c r="D836" s="179" t="n">
        <v>50349603305</v>
      </c>
      <c r="E836" s="146" t="n">
        <v>1.001569</v>
      </c>
      <c r="F836" s="179" t="n">
        <v>82736682156</v>
      </c>
      <c r="G836" s="179" t="n">
        <v>82607056996</v>
      </c>
      <c r="H836" s="179">
        <f>IFERROR(D836+G836,D836)</f>
        <v/>
      </c>
      <c r="I836" s="184">
        <f>IFERROR(D836/H836,"")</f>
        <v/>
      </c>
      <c r="J836" s="179" t="n">
        <v>10069920661</v>
      </c>
      <c r="K836" s="179" t="n">
        <v>20139841322</v>
      </c>
      <c r="L836" s="179" t="n">
        <v>30209761983</v>
      </c>
    </row>
    <row r="837" ht="15" customHeight="1" s="95">
      <c r="A837" s="143" t="n">
        <v>44666</v>
      </c>
      <c r="B837" s="146" t="n">
        <v>0.999433</v>
      </c>
      <c r="C837" s="179" t="n">
        <v>50227458392</v>
      </c>
      <c r="D837" s="179" t="n">
        <v>50255964263</v>
      </c>
      <c r="E837" s="146" t="n">
        <v>1.001229</v>
      </c>
      <c r="F837" s="179" t="n">
        <v>82795954521</v>
      </c>
      <c r="G837" s="179" t="n">
        <v>82694361443</v>
      </c>
      <c r="H837" s="179">
        <f>IFERROR(D837+G837,D837)</f>
        <v/>
      </c>
      <c r="I837" s="184">
        <f>IFERROR(D837/H837,"")</f>
        <v/>
      </c>
      <c r="J837" s="179" t="n">
        <v>10051192853</v>
      </c>
      <c r="K837" s="179" t="n">
        <v>20102385705</v>
      </c>
      <c r="L837" s="179" t="n">
        <v>30153578558</v>
      </c>
    </row>
    <row r="838" ht="15" customHeight="1" s="95">
      <c r="A838" s="143" t="n">
        <v>44667</v>
      </c>
      <c r="B838" s="146" t="n">
        <v>0.999959</v>
      </c>
      <c r="C838" s="179" t="n">
        <v>50134682250</v>
      </c>
      <c r="D838" s="179" t="n">
        <v>50136752555</v>
      </c>
      <c r="E838" s="146" t="n">
        <v>1.000518</v>
      </c>
      <c r="F838" s="179" t="n">
        <v>82766275585</v>
      </c>
      <c r="G838" s="179" t="n">
        <v>82723403311</v>
      </c>
      <c r="H838" s="179">
        <f>IFERROR(D838+G838,D838)</f>
        <v/>
      </c>
      <c r="I838" s="184">
        <f>IFERROR(D838/H838,"")</f>
        <v/>
      </c>
      <c r="J838" s="179" t="n">
        <v>10027350511</v>
      </c>
      <c r="K838" s="179" t="n">
        <v>20054701022</v>
      </c>
      <c r="L838" s="179" t="n">
        <v>30082051533</v>
      </c>
    </row>
    <row r="839" ht="15" customHeight="1" s="95">
      <c r="A839" s="143" t="n">
        <v>44668</v>
      </c>
      <c r="B839" s="146" t="n">
        <v>0.997828</v>
      </c>
      <c r="C839" s="179" t="n">
        <v>50054012926</v>
      </c>
      <c r="D839" s="179" t="n">
        <v>50162966778</v>
      </c>
      <c r="E839" s="146" t="n">
        <v>1.000958</v>
      </c>
      <c r="F839" s="179" t="n">
        <v>82797938661</v>
      </c>
      <c r="G839" s="179" t="n">
        <v>82718657155</v>
      </c>
      <c r="H839" s="179">
        <f>IFERROR(D839+G839,D839)</f>
        <v/>
      </c>
      <c r="I839" s="184">
        <f>IFERROR(D839/H839,"")</f>
        <v/>
      </c>
      <c r="J839" s="179" t="n">
        <v>10032593356</v>
      </c>
      <c r="K839" s="179" t="n">
        <v>20065186711</v>
      </c>
      <c r="L839" s="179" t="n">
        <v>30097780067</v>
      </c>
    </row>
    <row r="840" ht="15" customHeight="1" s="95">
      <c r="A840" s="143" t="n">
        <v>44669</v>
      </c>
      <c r="B840" s="146" t="n">
        <v>0.999845</v>
      </c>
      <c r="C840" s="179" t="n">
        <v>50048713207</v>
      </c>
      <c r="D840" s="179" t="n">
        <v>50056447202</v>
      </c>
      <c r="E840" s="146" t="n">
        <v>1.000892</v>
      </c>
      <c r="F840" s="179" t="n">
        <v>82811298303</v>
      </c>
      <c r="G840" s="179" t="n">
        <v>82737501616</v>
      </c>
      <c r="H840" s="179">
        <f>IFERROR(D840+G840,D840)</f>
        <v/>
      </c>
      <c r="I840" s="184">
        <f>IFERROR(D840/H840,"")</f>
        <v/>
      </c>
      <c r="J840" s="179" t="n">
        <v>10011289440</v>
      </c>
      <c r="K840" s="179" t="n">
        <v>20022578881</v>
      </c>
      <c r="L840" s="179" t="n">
        <v>30033868321</v>
      </c>
    </row>
    <row r="841" ht="15" customHeight="1" s="95">
      <c r="A841" s="143" t="n">
        <v>44670</v>
      </c>
      <c r="B841" s="146" t="n">
        <v>0.99917</v>
      </c>
      <c r="C841" s="179" t="n">
        <v>49860188963</v>
      </c>
      <c r="D841" s="179" t="n">
        <v>49901586868</v>
      </c>
      <c r="E841" s="146" t="n">
        <v>1.000781</v>
      </c>
      <c r="F841" s="179" t="n">
        <v>82792973864</v>
      </c>
      <c r="G841" s="179" t="n">
        <v>82728361432</v>
      </c>
      <c r="H841" s="179">
        <f>IFERROR(D841+G841,D841)</f>
        <v/>
      </c>
      <c r="I841" s="184">
        <f>IFERROR(D841/H841,"")</f>
        <v/>
      </c>
      <c r="J841" s="179" t="n">
        <v>9980317374</v>
      </c>
      <c r="K841" s="179" t="n">
        <v>19960634747</v>
      </c>
      <c r="L841" s="179" t="n">
        <v>29940952121</v>
      </c>
    </row>
    <row r="842" ht="15" customHeight="1" s="95">
      <c r="A842" s="143" t="n">
        <v>44671</v>
      </c>
      <c r="B842" s="146" t="n">
        <v>0.999411</v>
      </c>
      <c r="C842" s="179" t="n">
        <v>50018475091</v>
      </c>
      <c r="D842" s="179" t="n">
        <v>50047962127</v>
      </c>
      <c r="E842" s="146" t="n">
        <v>0.9996660000000001</v>
      </c>
      <c r="F842" s="179" t="n">
        <v>82787027489</v>
      </c>
      <c r="G842" s="179" t="n">
        <v>82814699746</v>
      </c>
      <c r="H842" s="179">
        <f>IFERROR(D842+G842,D842)</f>
        <v/>
      </c>
      <c r="I842" s="184">
        <f>IFERROR(D842/H842,"")</f>
        <v/>
      </c>
      <c r="J842" s="179" t="n">
        <v>10009592425</v>
      </c>
      <c r="K842" s="179" t="n">
        <v>20019184851</v>
      </c>
      <c r="L842" s="179" t="n">
        <v>30028777276</v>
      </c>
    </row>
    <row r="843" ht="15" customHeight="1" s="95">
      <c r="A843" s="143" t="n">
        <v>44672</v>
      </c>
      <c r="B843" s="146" t="n">
        <v>0.998802</v>
      </c>
      <c r="C843" s="179" t="n">
        <v>49863548514</v>
      </c>
      <c r="D843" s="179" t="n">
        <v>49923358476</v>
      </c>
      <c r="E843" s="146" t="n">
        <v>0.999995</v>
      </c>
      <c r="F843" s="179" t="n">
        <v>83021908771</v>
      </c>
      <c r="G843" s="179" t="n">
        <v>83022355331</v>
      </c>
      <c r="H843" s="179">
        <f>IFERROR(D843+G843,D843)</f>
        <v/>
      </c>
      <c r="I843" s="184">
        <f>IFERROR(D843/H843,"")</f>
        <v/>
      </c>
      <c r="J843" s="179" t="n">
        <v>9984671695</v>
      </c>
      <c r="K843" s="179" t="n">
        <v>19969343390</v>
      </c>
      <c r="L843" s="179" t="n">
        <v>29954015086</v>
      </c>
    </row>
    <row r="844" ht="15" customHeight="1" s="95">
      <c r="A844" s="143" t="n">
        <v>44673</v>
      </c>
      <c r="B844" s="146" t="n">
        <v>0.999343</v>
      </c>
      <c r="C844" s="179" t="n">
        <v>49861799099</v>
      </c>
      <c r="D844" s="179" t="n">
        <v>49894581392</v>
      </c>
      <c r="E844" s="146" t="n">
        <v>1.000616</v>
      </c>
      <c r="F844" s="179" t="n">
        <v>83120398074</v>
      </c>
      <c r="G844" s="179" t="n">
        <v>83069200512</v>
      </c>
      <c r="H844" s="179">
        <f>IFERROR(D844+G844,D844)</f>
        <v/>
      </c>
      <c r="I844" s="184">
        <f>IFERROR(D844/H844,"")</f>
        <v/>
      </c>
      <c r="J844" s="179" t="n">
        <v>9978916278</v>
      </c>
      <c r="K844" s="179" t="n">
        <v>19957832557</v>
      </c>
      <c r="L844" s="179" t="n">
        <v>29936748835</v>
      </c>
    </row>
    <row r="845" ht="15" customHeight="1" s="95">
      <c r="A845" s="143" t="n">
        <v>44674</v>
      </c>
      <c r="B845" s="146" t="n">
        <v>0.999463</v>
      </c>
      <c r="C845" s="179" t="n">
        <v>49885461217</v>
      </c>
      <c r="D845" s="179" t="n">
        <v>49912263044</v>
      </c>
      <c r="E845" s="146" t="n">
        <v>1.000141</v>
      </c>
      <c r="F845" s="179" t="n">
        <v>83182809347</v>
      </c>
      <c r="G845" s="179" t="n">
        <v>83171059883</v>
      </c>
      <c r="H845" s="179">
        <f>IFERROR(D845+G845,D845)</f>
        <v/>
      </c>
      <c r="I845" s="184">
        <f>IFERROR(D845/H845,"")</f>
        <v/>
      </c>
      <c r="J845" s="179" t="n">
        <v>9982452609</v>
      </c>
      <c r="K845" s="179" t="n">
        <v>19964905218</v>
      </c>
      <c r="L845" s="179" t="n">
        <v>29947357826</v>
      </c>
    </row>
    <row r="846" ht="15" customHeight="1" s="95">
      <c r="A846" s="143" t="n">
        <v>44675</v>
      </c>
      <c r="B846" s="146" t="n">
        <v>1.001052</v>
      </c>
      <c r="C846" s="179" t="n">
        <v>49903732595</v>
      </c>
      <c r="D846" s="179" t="n">
        <v>49851283758</v>
      </c>
      <c r="E846" s="146" t="n">
        <v>1.001014</v>
      </c>
      <c r="F846" s="179" t="n">
        <v>83198500616</v>
      </c>
      <c r="G846" s="179" t="n">
        <v>83114200507</v>
      </c>
      <c r="H846" s="179">
        <f>IFERROR(D846+G846,D846)</f>
        <v/>
      </c>
      <c r="I846" s="184">
        <f>IFERROR(D846/H846,"")</f>
        <v/>
      </c>
      <c r="J846" s="179" t="n">
        <v>9970256752</v>
      </c>
      <c r="K846" s="179" t="n">
        <v>19940513503</v>
      </c>
      <c r="L846" s="179" t="n">
        <v>29910770255</v>
      </c>
    </row>
    <row r="847" ht="15" customHeight="1" s="95">
      <c r="A847" s="143" t="n">
        <v>44676</v>
      </c>
      <c r="B847" s="146" t="n">
        <v>0.999204</v>
      </c>
      <c r="C847" s="179" t="n">
        <v>49912345763</v>
      </c>
      <c r="D847" s="179" t="n">
        <v>49952115841</v>
      </c>
      <c r="E847" s="146" t="n">
        <v>1.000219</v>
      </c>
      <c r="F847" s="179" t="n">
        <v>83221428015</v>
      </c>
      <c r="G847" s="179" t="n">
        <v>83203240374</v>
      </c>
      <c r="H847" s="179">
        <f>IFERROR(D847+G847,D847)</f>
        <v/>
      </c>
      <c r="I847" s="184">
        <f>IFERROR(D847/H847,"")</f>
        <v/>
      </c>
      <c r="J847" s="179" t="n">
        <v>9990423168</v>
      </c>
      <c r="K847" s="179" t="n">
        <v>19980846336</v>
      </c>
      <c r="L847" s="179" t="n">
        <v>29971269505</v>
      </c>
    </row>
    <row r="848" ht="15" customHeight="1" s="95">
      <c r="A848" s="143" t="n">
        <v>44677</v>
      </c>
      <c r="B848" s="146" t="n">
        <v>0.999475</v>
      </c>
      <c r="C848" s="179" t="n">
        <v>49854024064</v>
      </c>
      <c r="D848" s="179" t="n">
        <v>49880234696</v>
      </c>
      <c r="E848" s="146" t="n">
        <v>1.000162</v>
      </c>
      <c r="F848" s="179" t="n">
        <v>83139688331</v>
      </c>
      <c r="G848" s="179" t="n">
        <v>83126200539</v>
      </c>
      <c r="H848" s="179">
        <f>IFERROR(D848+G848,D848)</f>
        <v/>
      </c>
      <c r="I848" s="184">
        <f>IFERROR(D848/H848,"")</f>
        <v/>
      </c>
      <c r="J848" s="179" t="n">
        <v>9976046939</v>
      </c>
      <c r="K848" s="179" t="n">
        <v>19952093878</v>
      </c>
      <c r="L848" s="179" t="n">
        <v>29928140818</v>
      </c>
    </row>
    <row r="849" ht="15" customHeight="1" s="95">
      <c r="A849" s="143" t="n">
        <v>44678</v>
      </c>
      <c r="B849" s="146" t="n">
        <v>0.997934</v>
      </c>
      <c r="C849" s="179" t="n">
        <v>49362464744</v>
      </c>
      <c r="D849" s="179" t="n">
        <v>49464672623</v>
      </c>
      <c r="E849" s="146" t="n">
        <v>1.000501</v>
      </c>
      <c r="F849" s="179" t="n">
        <v>83214573094</v>
      </c>
      <c r="G849" s="179" t="n">
        <v>83172877108</v>
      </c>
      <c r="H849" s="179">
        <f>IFERROR(D849+G849,D849)</f>
        <v/>
      </c>
      <c r="I849" s="184">
        <f>IFERROR(D849/H849,"")</f>
        <v/>
      </c>
      <c r="J849" s="179" t="n">
        <v>9892934525</v>
      </c>
      <c r="K849" s="179" t="n">
        <v>19785869049</v>
      </c>
      <c r="L849" s="179" t="n">
        <v>29678803574</v>
      </c>
    </row>
    <row r="850" ht="15" customHeight="1" s="95">
      <c r="A850" s="143" t="n">
        <v>44679</v>
      </c>
      <c r="B850" s="146" t="n">
        <v>0.9975889999999999</v>
      </c>
      <c r="C850" s="179" t="n">
        <v>49391470738</v>
      </c>
      <c r="D850" s="179" t="n">
        <v>49510837885</v>
      </c>
      <c r="E850" s="146" t="n">
        <v>0.999849</v>
      </c>
      <c r="F850" s="179" t="n">
        <v>83154011772</v>
      </c>
      <c r="G850" s="179" t="n">
        <v>83166541631</v>
      </c>
      <c r="H850" s="179">
        <f>IFERROR(D850+G850,D850)</f>
        <v/>
      </c>
      <c r="I850" s="184">
        <f>IFERROR(D850/H850,"")</f>
        <v/>
      </c>
      <c r="J850" s="179" t="n">
        <v>9902167577</v>
      </c>
      <c r="K850" s="179" t="n">
        <v>19804335154</v>
      </c>
      <c r="L850" s="179" t="n">
        <v>29706502731</v>
      </c>
    </row>
    <row r="851" ht="15" customHeight="1" s="95">
      <c r="A851" s="143" t="n">
        <v>44680</v>
      </c>
      <c r="B851" s="146" t="n">
        <v>0.9985309999999999</v>
      </c>
      <c r="C851" s="179" t="n">
        <v>49383094280</v>
      </c>
      <c r="D851" s="179" t="n">
        <v>49455743305</v>
      </c>
      <c r="E851" s="146" t="n">
        <v>0.999654</v>
      </c>
      <c r="F851" s="179" t="n">
        <v>83139556788</v>
      </c>
      <c r="G851" s="179" t="n">
        <v>83168350837</v>
      </c>
      <c r="H851" s="179">
        <f>IFERROR(D851+G851,D851)</f>
        <v/>
      </c>
      <c r="I851" s="184">
        <f>IFERROR(D851/H851,"")</f>
        <v/>
      </c>
      <c r="J851" s="179" t="n">
        <v>9891148661</v>
      </c>
      <c r="K851" s="179" t="n">
        <v>19782297322</v>
      </c>
      <c r="L851" s="179" t="n">
        <v>29673445983</v>
      </c>
    </row>
    <row r="852" ht="15" customHeight="1" s="95">
      <c r="A852" s="143" t="n">
        <v>44681</v>
      </c>
      <c r="B852" s="146" t="n">
        <v>0.997383</v>
      </c>
      <c r="C852" s="179" t="n">
        <v>49286152379</v>
      </c>
      <c r="D852" s="179" t="n">
        <v>49415486090</v>
      </c>
      <c r="E852" s="146" t="n">
        <v>1.001222</v>
      </c>
      <c r="F852" s="179" t="n">
        <v>83229249234</v>
      </c>
      <c r="G852" s="179" t="n">
        <v>83127699034</v>
      </c>
      <c r="H852" s="179">
        <f>IFERROR(D852+G852,D852)</f>
        <v/>
      </c>
      <c r="I852" s="184">
        <f>IFERROR(D852/H852,"")</f>
        <v/>
      </c>
      <c r="J852" s="179" t="n">
        <v>9883097218</v>
      </c>
      <c r="K852" s="179" t="n">
        <v>19766194436</v>
      </c>
      <c r="L852" s="179" t="n">
        <v>29649291654</v>
      </c>
    </row>
    <row r="853" ht="15" customHeight="1" s="95">
      <c r="A853" s="143" t="n">
        <v>44682</v>
      </c>
      <c r="B853" s="146" t="n">
        <v>0.99796</v>
      </c>
      <c r="C853" s="179" t="n">
        <v>49179894107</v>
      </c>
      <c r="D853" s="179" t="n">
        <v>49280408298</v>
      </c>
      <c r="E853" s="146" t="n">
        <v>1.003269</v>
      </c>
      <c r="F853" s="179" t="n">
        <v>83424696945</v>
      </c>
      <c r="G853" s="179" t="n">
        <v>83152877108</v>
      </c>
      <c r="H853" s="179">
        <f>IFERROR(D853+G853,D853)</f>
        <v/>
      </c>
      <c r="I853" s="184">
        <f>IFERROR(D853/H853,"")</f>
        <v/>
      </c>
      <c r="J853" s="179" t="n">
        <v>9856081660</v>
      </c>
      <c r="K853" s="179" t="n">
        <v>19712163319</v>
      </c>
      <c r="L853" s="179" t="n">
        <v>29568244979</v>
      </c>
    </row>
    <row r="854" ht="15" customHeight="1" s="95">
      <c r="A854" s="143" t="n">
        <v>44683</v>
      </c>
      <c r="B854" s="146" t="n">
        <v>0.998243</v>
      </c>
      <c r="C854" s="179" t="n">
        <v>49285265562</v>
      </c>
      <c r="D854" s="179" t="n">
        <v>49371988444</v>
      </c>
      <c r="E854" s="146" t="n">
        <v>1.001379</v>
      </c>
      <c r="F854" s="179" t="n">
        <v>83267550080</v>
      </c>
      <c r="G854" s="179" t="n">
        <v>83152877108</v>
      </c>
      <c r="H854" s="179">
        <f>IFERROR(D854+G854,D854)</f>
        <v/>
      </c>
      <c r="I854" s="184">
        <f>IFERROR(D854/H854,"")</f>
        <v/>
      </c>
      <c r="J854" s="179" t="n">
        <v>9874397689</v>
      </c>
      <c r="K854" s="179" t="n">
        <v>19748795378</v>
      </c>
      <c r="L854" s="179" t="n">
        <v>29623193066</v>
      </c>
    </row>
    <row r="855" ht="15" customHeight="1" s="95">
      <c r="A855" s="143" t="n">
        <v>44684</v>
      </c>
      <c r="B855" s="146" t="n">
        <v>0.998356</v>
      </c>
      <c r="C855" s="179" t="n">
        <v>49141005064</v>
      </c>
      <c r="D855" s="179" t="n">
        <v>49221934507</v>
      </c>
      <c r="E855" s="146" t="n">
        <v>1.000522</v>
      </c>
      <c r="F855" s="179" t="n">
        <v>83147512568</v>
      </c>
      <c r="G855" s="179" t="n">
        <v>83104116477</v>
      </c>
      <c r="H855" s="179">
        <f>IFERROR(D855+G855,D855)</f>
        <v/>
      </c>
      <c r="I855" s="184">
        <f>IFERROR(D855/H855,"")</f>
        <v/>
      </c>
      <c r="J855" s="179" t="n">
        <v>9844386901</v>
      </c>
      <c r="K855" s="179" t="n">
        <v>19688773803</v>
      </c>
      <c r="L855" s="179" t="n">
        <v>29533160704</v>
      </c>
    </row>
    <row r="856" ht="15" customHeight="1" s="95">
      <c r="A856" s="143" t="n">
        <v>44685</v>
      </c>
      <c r="B856" s="146" t="n">
        <v>0.998432</v>
      </c>
      <c r="C856" s="179" t="n">
        <v>49029382275</v>
      </c>
      <c r="D856" s="179" t="n">
        <v>49106391209</v>
      </c>
      <c r="E856" s="146" t="n">
        <v>1.00109</v>
      </c>
      <c r="F856" s="179" t="n">
        <v>83241023585</v>
      </c>
      <c r="G856" s="179" t="n">
        <v>83150377104</v>
      </c>
      <c r="H856" s="179">
        <f>IFERROR(D856+G856,D856)</f>
        <v/>
      </c>
      <c r="I856" s="184">
        <f>IFERROR(D856/H856,"")</f>
        <v/>
      </c>
      <c r="J856" s="179" t="n">
        <v>9821278242</v>
      </c>
      <c r="K856" s="179" t="n">
        <v>19642556484</v>
      </c>
      <c r="L856" s="179" t="n">
        <v>29463834725</v>
      </c>
    </row>
    <row r="857" ht="15" customHeight="1" s="95">
      <c r="A857" s="143" t="n">
        <v>44686</v>
      </c>
      <c r="B857" s="146" t="n">
        <v>0.9999479999999999</v>
      </c>
      <c r="C857" s="179" t="n">
        <v>48776655220</v>
      </c>
      <c r="D857" s="179" t="n">
        <v>48779207787</v>
      </c>
      <c r="E857" s="146" t="n">
        <v>0.999679</v>
      </c>
      <c r="F857" s="179" t="n">
        <v>83185453774</v>
      </c>
      <c r="G857" s="179" t="n">
        <v>83212175334</v>
      </c>
      <c r="H857" s="179">
        <f>IFERROR(D857+G857,D857)</f>
        <v/>
      </c>
      <c r="I857" s="184">
        <f>IFERROR(D857/H857,"")</f>
        <v/>
      </c>
      <c r="J857" s="179" t="n">
        <v>9755841557</v>
      </c>
      <c r="K857" s="179" t="n">
        <v>19511683115</v>
      </c>
      <c r="L857" s="179" t="n">
        <v>29267524672</v>
      </c>
    </row>
    <row r="858" ht="15" customHeight="1" s="95">
      <c r="A858" s="143" t="n">
        <v>44687</v>
      </c>
      <c r="B858" s="146" t="n">
        <v>0.99927</v>
      </c>
      <c r="C858" s="179" t="n">
        <v>48837550840</v>
      </c>
      <c r="D858" s="179" t="n">
        <v>48873219305</v>
      </c>
      <c r="E858" s="146" t="n">
        <v>1.000378</v>
      </c>
      <c r="F858" s="179" t="n">
        <v>83270750870</v>
      </c>
      <c r="G858" s="179" t="n">
        <v>83239304267</v>
      </c>
      <c r="H858" s="179">
        <f>IFERROR(D858+G858,D858)</f>
        <v/>
      </c>
      <c r="I858" s="184">
        <f>IFERROR(D858/H858,"")</f>
        <v/>
      </c>
      <c r="J858" s="179" t="n">
        <v>9774643861</v>
      </c>
      <c r="K858" s="179" t="n">
        <v>19549287722</v>
      </c>
      <c r="L858" s="179" t="n">
        <v>29323931583</v>
      </c>
    </row>
    <row r="859" ht="15" customHeight="1" s="95">
      <c r="A859" s="143" t="n">
        <v>44688</v>
      </c>
      <c r="B859" s="146" t="n">
        <v>0.997039</v>
      </c>
      <c r="C859" s="179" t="n">
        <v>48447145523</v>
      </c>
      <c r="D859" s="179" t="n">
        <v>48590999652</v>
      </c>
      <c r="E859" s="146" t="n">
        <v>1.000763</v>
      </c>
      <c r="F859" s="179" t="n">
        <v>83284503885</v>
      </c>
      <c r="G859" s="179" t="n">
        <v>83220970811</v>
      </c>
      <c r="H859" s="179">
        <f>IFERROR(D859+G859,D859)</f>
        <v/>
      </c>
      <c r="I859" s="184">
        <f>IFERROR(D859/H859,"")</f>
        <v/>
      </c>
      <c r="J859" s="179" t="n">
        <v>9718199930</v>
      </c>
      <c r="K859" s="179" t="n">
        <v>19436399861</v>
      </c>
      <c r="L859" s="179" t="n">
        <v>29154599791</v>
      </c>
    </row>
    <row r="860" ht="15" customHeight="1" s="95">
      <c r="A860" s="143" t="n">
        <v>44689</v>
      </c>
      <c r="B860" s="146" t="n">
        <v>0.997254</v>
      </c>
      <c r="C860" s="179" t="n">
        <v>48504620165</v>
      </c>
      <c r="D860" s="179" t="n">
        <v>48638165820</v>
      </c>
      <c r="E860" s="146" t="n">
        <v>1.001631</v>
      </c>
      <c r="F860" s="179" t="n">
        <v>83355823232</v>
      </c>
      <c r="G860" s="179" t="n">
        <v>83220103934</v>
      </c>
      <c r="H860" s="179">
        <f>IFERROR(D860+G860,D860)</f>
        <v/>
      </c>
      <c r="I860" s="184">
        <f>IFERROR(D860/H860,"")</f>
        <v/>
      </c>
      <c r="J860" s="179" t="n">
        <v>9727633164</v>
      </c>
      <c r="K860" s="179" t="n">
        <v>19455266328</v>
      </c>
      <c r="L860" s="179" t="n">
        <v>29182899492</v>
      </c>
    </row>
    <row r="861" ht="15" customHeight="1" s="95">
      <c r="A861" s="143" t="n">
        <v>44690</v>
      </c>
      <c r="B861" s="146" t="n">
        <v>0.9994690000000001</v>
      </c>
      <c r="C861" s="179" t="n">
        <v>48600409738</v>
      </c>
      <c r="D861" s="179" t="n">
        <v>48626229415</v>
      </c>
      <c r="E861" s="146" t="n">
        <v>1.001727</v>
      </c>
      <c r="F861" s="179" t="n">
        <v>83279712048</v>
      </c>
      <c r="G861" s="179" t="n">
        <v>83136144878</v>
      </c>
      <c r="H861" s="179">
        <f>IFERROR(D861+G861,D861)</f>
        <v/>
      </c>
      <c r="I861" s="184">
        <f>IFERROR(D861/H861,"")</f>
        <v/>
      </c>
      <c r="J861" s="179" t="n">
        <v>9725245883</v>
      </c>
      <c r="K861" s="179" t="n">
        <v>19450491766</v>
      </c>
      <c r="L861" s="179" t="n">
        <v>29175737649</v>
      </c>
    </row>
    <row r="862" ht="15" customHeight="1" s="95">
      <c r="A862" s="143" t="n">
        <v>44691</v>
      </c>
      <c r="B862" s="146" t="n">
        <v>0.999203</v>
      </c>
      <c r="C862" s="179" t="n">
        <v>48657094759</v>
      </c>
      <c r="D862" s="179" t="n">
        <v>48695909080</v>
      </c>
      <c r="E862" s="146" t="n">
        <v>1.000238</v>
      </c>
      <c r="F862" s="179" t="n">
        <v>83264870157</v>
      </c>
      <c r="G862" s="179" t="n">
        <v>83245057464</v>
      </c>
      <c r="H862" s="179">
        <f>IFERROR(D862+G862,D862)</f>
        <v/>
      </c>
      <c r="I862" s="184">
        <f>IFERROR(D862/H862,"")</f>
        <v/>
      </c>
      <c r="J862" s="179" t="n">
        <v>9739181816</v>
      </c>
      <c r="K862" s="179" t="n">
        <v>19478363632</v>
      </c>
      <c r="L862" s="179" t="n">
        <v>29217545448</v>
      </c>
    </row>
    <row r="863" ht="15" customHeight="1" s="95">
      <c r="A863" s="143" t="n">
        <v>44692</v>
      </c>
      <c r="B863" s="146" t="n">
        <v>0.999452</v>
      </c>
      <c r="C863" s="179" t="n">
        <v>48451920961</v>
      </c>
      <c r="D863" s="179" t="n">
        <v>48478506261</v>
      </c>
      <c r="E863" s="146" t="n">
        <v>1.001218</v>
      </c>
      <c r="F863" s="179" t="n">
        <v>83248981251</v>
      </c>
      <c r="G863" s="179" t="n">
        <v>83147694183</v>
      </c>
      <c r="H863" s="179">
        <f>IFERROR(D863+G863,D863)</f>
        <v/>
      </c>
      <c r="I863" s="184">
        <f>IFERROR(D863/H863,"")</f>
        <v/>
      </c>
      <c r="J863" s="179" t="n">
        <v>9695701252</v>
      </c>
      <c r="K863" s="179" t="n">
        <v>19391402504</v>
      </c>
      <c r="L863" s="179" t="n">
        <v>29087103757</v>
      </c>
    </row>
    <row r="864" ht="15" customHeight="1" s="95">
      <c r="A864" s="143" t="n">
        <v>44693</v>
      </c>
      <c r="B864" s="146" t="n">
        <v>1.00052</v>
      </c>
      <c r="C864" s="179" t="n">
        <v>49012944580</v>
      </c>
      <c r="D864" s="179" t="n">
        <v>48987452960</v>
      </c>
      <c r="E864" s="146" t="n">
        <v>0.995969</v>
      </c>
      <c r="F864" s="179" t="n">
        <v>82690895711</v>
      </c>
      <c r="G864" s="179" t="n">
        <v>83025590194</v>
      </c>
      <c r="H864" s="179">
        <f>IFERROR(D864+G864,D864)</f>
        <v/>
      </c>
      <c r="I864" s="184">
        <f>IFERROR(D864/H864,"")</f>
        <v/>
      </c>
      <c r="J864" s="179" t="n">
        <v>9797490592</v>
      </c>
      <c r="K864" s="179" t="n">
        <v>19594981184</v>
      </c>
      <c r="L864" s="179" t="n">
        <v>29392471776</v>
      </c>
    </row>
    <row r="865" ht="15" customHeight="1" s="95">
      <c r="A865" s="143" t="n">
        <v>44694</v>
      </c>
      <c r="B865" s="146" t="n">
        <v>1.001578</v>
      </c>
      <c r="C865" s="179" t="n">
        <v>49845265548</v>
      </c>
      <c r="D865" s="179" t="n">
        <v>49766727028</v>
      </c>
      <c r="E865" s="146" t="n">
        <v>0.998053</v>
      </c>
      <c r="F865" s="179" t="n">
        <v>79438155501</v>
      </c>
      <c r="G865" s="179" t="n">
        <v>79593162498</v>
      </c>
      <c r="H865" s="179">
        <f>IFERROR(D865+G865,D865)</f>
        <v/>
      </c>
      <c r="I865" s="184">
        <f>IFERROR(D865/H865,"")</f>
        <v/>
      </c>
      <c r="J865" s="179" t="n">
        <v>9953345406</v>
      </c>
      <c r="K865" s="179" t="n">
        <v>19906690811</v>
      </c>
      <c r="L865" s="179" t="n">
        <v>29860036217</v>
      </c>
    </row>
    <row r="866" ht="15" customHeight="1" s="95">
      <c r="A866" s="143" t="n">
        <v>44695</v>
      </c>
      <c r="B866" s="146" t="n">
        <v>1.002375</v>
      </c>
      <c r="C866" s="179" t="n">
        <v>50938222009</v>
      </c>
      <c r="D866" s="179" t="n">
        <v>50817548712</v>
      </c>
      <c r="E866" s="146" t="n">
        <v>1.00061</v>
      </c>
      <c r="F866" s="179" t="n">
        <v>78910081379</v>
      </c>
      <c r="G866" s="179" t="n">
        <v>78861990507</v>
      </c>
      <c r="H866" s="179">
        <f>IFERROR(D866+G866,D866)</f>
        <v/>
      </c>
      <c r="I866" s="184">
        <f>IFERROR(D866/H866,"")</f>
        <v/>
      </c>
      <c r="J866" s="179" t="n">
        <v>10163509742</v>
      </c>
      <c r="K866" s="179" t="n">
        <v>20327019485</v>
      </c>
      <c r="L866" s="179" t="n">
        <v>30490529227</v>
      </c>
    </row>
    <row r="867" ht="15" customHeight="1" s="95">
      <c r="A867" s="143" t="n">
        <v>44696</v>
      </c>
      <c r="B867" s="146" t="n">
        <v>1.006854</v>
      </c>
      <c r="C867" s="179" t="n">
        <v>51311542814</v>
      </c>
      <c r="D867" s="179" t="n">
        <v>50962261546</v>
      </c>
      <c r="E867" s="146" t="n">
        <v>1.003105</v>
      </c>
      <c r="F867" s="179" t="n">
        <v>75987316850</v>
      </c>
      <c r="G867" s="179" t="n">
        <v>75752120651</v>
      </c>
      <c r="H867" s="179">
        <f>IFERROR(D867+G867,D867)</f>
        <v/>
      </c>
      <c r="I867" s="184">
        <f>IFERROR(D867/H867,"")</f>
        <v/>
      </c>
      <c r="J867" s="179" t="n">
        <v>10192452309</v>
      </c>
      <c r="K867" s="179" t="n">
        <v>20384904618</v>
      </c>
      <c r="L867" s="179" t="n">
        <v>30577356928</v>
      </c>
    </row>
    <row r="868" ht="15" customHeight="1" s="95">
      <c r="A868" s="143" t="n">
        <v>44697</v>
      </c>
      <c r="B868" s="146" t="n">
        <v>1.00314</v>
      </c>
      <c r="C868" s="179" t="n">
        <v>51276012853</v>
      </c>
      <c r="D868" s="179" t="n">
        <v>51115488469</v>
      </c>
      <c r="E868" s="146" t="n">
        <v>1.000854</v>
      </c>
      <c r="F868" s="179" t="n">
        <v>75895175498</v>
      </c>
      <c r="G868" s="179" t="n">
        <v>75830432421</v>
      </c>
      <c r="H868" s="179">
        <f>IFERROR(D868+G868,D868)</f>
        <v/>
      </c>
      <c r="I868" s="184">
        <f>IFERROR(D868/H868,"")</f>
        <v/>
      </c>
      <c r="J868" s="179" t="n">
        <v>10223097694</v>
      </c>
      <c r="K868" s="179" t="n">
        <v>20446195388</v>
      </c>
      <c r="L868" s="179" t="n">
        <v>30669293081</v>
      </c>
    </row>
    <row r="869" ht="15" customHeight="1" s="95">
      <c r="A869" s="143" t="n">
        <v>44698</v>
      </c>
      <c r="B869" s="146" t="n">
        <v>1.002742</v>
      </c>
      <c r="C869" s="179" t="n">
        <v>52172633713</v>
      </c>
      <c r="D869" s="179" t="n">
        <v>52029942184</v>
      </c>
      <c r="E869" s="146" t="n">
        <v>1.001371</v>
      </c>
      <c r="F869" s="179" t="n">
        <v>75855994702</v>
      </c>
      <c r="G869" s="179" t="n">
        <v>75752120651</v>
      </c>
      <c r="H869" s="179">
        <f>IFERROR(D869+G869,D869)</f>
        <v/>
      </c>
      <c r="I869" s="184">
        <f>IFERROR(D869/H869,"")</f>
        <v/>
      </c>
      <c r="J869" s="179" t="n">
        <v>10405988437</v>
      </c>
      <c r="K869" s="179" t="n">
        <v>20811976874</v>
      </c>
      <c r="L869" s="179" t="n">
        <v>31217965310</v>
      </c>
    </row>
    <row r="870" ht="15" customHeight="1" s="95">
      <c r="A870" s="143" t="n">
        <v>44699</v>
      </c>
      <c r="B870" s="146" t="n">
        <v>1.002662</v>
      </c>
      <c r="C870" s="179" t="n">
        <v>52382101410</v>
      </c>
      <c r="D870" s="179" t="n">
        <v>52243028691</v>
      </c>
      <c r="E870" s="146" t="n">
        <v>1.000586</v>
      </c>
      <c r="F870" s="179" t="n">
        <v>74309953980</v>
      </c>
      <c r="G870" s="179" t="n">
        <v>74266452953</v>
      </c>
      <c r="H870" s="179">
        <f>IFERROR(D870+G870,D870)</f>
        <v/>
      </c>
      <c r="I870" s="184">
        <f>IFERROR(D870/H870,"")</f>
        <v/>
      </c>
      <c r="J870" s="179" t="n">
        <v>10448605738</v>
      </c>
      <c r="K870" s="179" t="n">
        <v>20897211476</v>
      </c>
      <c r="L870" s="179" t="n">
        <v>31345817215</v>
      </c>
    </row>
    <row r="871" ht="15" customHeight="1" s="95">
      <c r="A871" s="143" t="n">
        <v>44700</v>
      </c>
      <c r="B871" s="146" t="n">
        <v>1.002225</v>
      </c>
      <c r="C871" s="179" t="n">
        <v>52477602164</v>
      </c>
      <c r="D871" s="179" t="n">
        <v>52361087510</v>
      </c>
      <c r="E871" s="146" t="n">
        <v>1.000228</v>
      </c>
      <c r="F871" s="179" t="n">
        <v>74284590322</v>
      </c>
      <c r="G871" s="179" t="n">
        <v>74267645565</v>
      </c>
      <c r="H871" s="179">
        <f>IFERROR(D871+G871,D871)</f>
        <v/>
      </c>
      <c r="I871" s="184">
        <f>IFERROR(D871/H871,"")</f>
        <v/>
      </c>
      <c r="J871" s="179" t="n">
        <v>10472217502</v>
      </c>
      <c r="K871" s="179" t="n">
        <v>20944435004</v>
      </c>
      <c r="L871" s="179" t="n">
        <v>31416652506</v>
      </c>
    </row>
    <row r="872" ht="15" customHeight="1" s="95">
      <c r="A872" s="143" t="n">
        <v>44701</v>
      </c>
      <c r="B872" s="146" t="n">
        <v>1.001676</v>
      </c>
      <c r="C872" s="179" t="n">
        <v>52829406131</v>
      </c>
      <c r="D872" s="179" t="n">
        <v>52741019416</v>
      </c>
      <c r="E872" s="146" t="n">
        <v>1.001082</v>
      </c>
      <c r="F872" s="179" t="n">
        <v>74305004327</v>
      </c>
      <c r="G872" s="179" t="n">
        <v>74224705946</v>
      </c>
      <c r="H872" s="179">
        <f>IFERROR(D872+G872,D872)</f>
        <v/>
      </c>
      <c r="I872" s="184">
        <f>IFERROR(D872/H872,"")</f>
        <v/>
      </c>
      <c r="J872" s="179" t="n">
        <v>10548203883</v>
      </c>
      <c r="K872" s="179" t="n">
        <v>21096407766</v>
      </c>
      <c r="L872" s="179" t="n">
        <v>31644611650</v>
      </c>
    </row>
    <row r="873" ht="15" customHeight="1" s="95">
      <c r="A873" s="143" t="n">
        <v>44702</v>
      </c>
      <c r="B873" s="146" t="n">
        <v>1.001674</v>
      </c>
      <c r="C873" s="179" t="n">
        <v>53023637496</v>
      </c>
      <c r="D873" s="179" t="n">
        <v>52934999234</v>
      </c>
      <c r="E873" s="146" t="n">
        <v>1.001254</v>
      </c>
      <c r="F873" s="179" t="n">
        <v>73306682137</v>
      </c>
      <c r="G873" s="179" t="n">
        <v>73214903318</v>
      </c>
      <c r="H873" s="179">
        <f>IFERROR(D873+G873,D873)</f>
        <v/>
      </c>
      <c r="I873" s="184">
        <f>IFERROR(D873/H873,"")</f>
        <v/>
      </c>
      <c r="J873" s="179" t="n">
        <v>10586999847</v>
      </c>
      <c r="K873" s="179" t="n">
        <v>21173999694</v>
      </c>
      <c r="L873" s="179" t="n">
        <v>31760999540</v>
      </c>
    </row>
    <row r="874" ht="15" customHeight="1" s="95">
      <c r="A874" s="143" t="n">
        <v>44703</v>
      </c>
      <c r="B874" s="146" t="n">
        <v>1.002761</v>
      </c>
      <c r="C874" s="179" t="n">
        <v>53189636031</v>
      </c>
      <c r="D874" s="179" t="n">
        <v>53043160243</v>
      </c>
      <c r="E874" s="146" t="n">
        <v>1.000829</v>
      </c>
      <c r="F874" s="179" t="n">
        <v>73335816773</v>
      </c>
      <c r="G874" s="179" t="n">
        <v>73275094986</v>
      </c>
      <c r="H874" s="179">
        <f>IFERROR(D874+G874,D874)</f>
        <v/>
      </c>
      <c r="I874" s="184">
        <f>IFERROR(D874/H874,"")</f>
        <v/>
      </c>
      <c r="J874" s="179" t="n">
        <v>10608632049</v>
      </c>
      <c r="K874" s="179" t="n">
        <v>21217264097</v>
      </c>
      <c r="L874" s="179" t="n">
        <v>31825896146</v>
      </c>
    </row>
    <row r="875" ht="15" customHeight="1" s="95">
      <c r="A875" s="143" t="n">
        <v>44704</v>
      </c>
      <c r="B875" s="146" t="n">
        <v>1.001916</v>
      </c>
      <c r="C875" s="179" t="n">
        <v>53262551890</v>
      </c>
      <c r="D875" s="179" t="n">
        <v>53160701701</v>
      </c>
      <c r="E875" s="146" t="n">
        <v>1.000241</v>
      </c>
      <c r="F875" s="179" t="n">
        <v>73292755418</v>
      </c>
      <c r="G875" s="179" t="n">
        <v>73275094968</v>
      </c>
      <c r="H875" s="179">
        <f>IFERROR(D875+G875,D875)</f>
        <v/>
      </c>
      <c r="I875" s="184">
        <f>IFERROR(D875/H875,"")</f>
        <v/>
      </c>
      <c r="J875" s="179" t="n">
        <v>10632140340</v>
      </c>
      <c r="K875" s="179" t="n">
        <v>21264280680</v>
      </c>
      <c r="L875" s="179" t="n">
        <v>31896421021</v>
      </c>
    </row>
    <row r="876" ht="15" customHeight="1" s="95">
      <c r="A876" s="143" t="n">
        <v>44705</v>
      </c>
      <c r="B876" s="146" t="n">
        <v>1.001872</v>
      </c>
      <c r="C876" s="179" t="n">
        <v>53364339709</v>
      </c>
      <c r="D876" s="179" t="n">
        <v>53264630978</v>
      </c>
      <c r="E876" s="146" t="n">
        <v>1.000249</v>
      </c>
      <c r="F876" s="179" t="n">
        <v>73293335399</v>
      </c>
      <c r="G876" s="179" t="n">
        <v>73275094968</v>
      </c>
      <c r="H876" s="179">
        <f>IFERROR(D876+G876,D876)</f>
        <v/>
      </c>
      <c r="I876" s="184">
        <f>IFERROR(D876/H876,"")</f>
        <v/>
      </c>
      <c r="J876" s="179" t="n">
        <v>10652926196</v>
      </c>
      <c r="K876" s="179" t="n">
        <v>21305852391</v>
      </c>
      <c r="L876" s="179" t="n">
        <v>31958778587</v>
      </c>
    </row>
    <row r="877" ht="15" customHeight="1" s="95">
      <c r="A877" s="143" t="n">
        <v>44706</v>
      </c>
      <c r="B877" s="146" t="n">
        <v>1.000641</v>
      </c>
      <c r="C877" s="179" t="n">
        <v>53454117663</v>
      </c>
      <c r="D877" s="179" t="n">
        <v>53419859462</v>
      </c>
      <c r="E877" s="146" t="n">
        <v>1.000083</v>
      </c>
      <c r="F877" s="179" t="n">
        <v>73281161166</v>
      </c>
      <c r="G877" s="179" t="n">
        <v>73275094959</v>
      </c>
      <c r="H877" s="179">
        <f>IFERROR(D877+G877,D877)</f>
        <v/>
      </c>
      <c r="I877" s="184">
        <f>IFERROR(D877/H877,"")</f>
        <v/>
      </c>
      <c r="J877" s="179" t="n">
        <v>10683971892</v>
      </c>
      <c r="K877" s="179" t="n">
        <v>21367943785</v>
      </c>
      <c r="L877" s="179" t="n">
        <v>32051915677</v>
      </c>
    </row>
    <row r="878" ht="15" customHeight="1" s="95">
      <c r="A878" s="143" t="n">
        <v>44707</v>
      </c>
      <c r="B878" s="146" t="n">
        <v>1.000448</v>
      </c>
      <c r="C878" s="179" t="n">
        <v>53459678522</v>
      </c>
      <c r="D878" s="179" t="n">
        <v>53435759212</v>
      </c>
      <c r="E878" s="146" t="n">
        <v>1.000252</v>
      </c>
      <c r="F878" s="179" t="n">
        <v>73283972220</v>
      </c>
      <c r="G878" s="179" t="n">
        <v>73265504103</v>
      </c>
      <c r="H878" s="179">
        <f>IFERROR(D878+G878,D878)</f>
        <v/>
      </c>
      <c r="I878" s="184">
        <f>IFERROR(D878/H878,"")</f>
        <v/>
      </c>
      <c r="J878" s="179" t="n">
        <v>10687151842</v>
      </c>
      <c r="K878" s="179" t="n">
        <v>21374303685</v>
      </c>
      <c r="L878" s="179" t="n">
        <v>32061455527</v>
      </c>
    </row>
    <row r="879" ht="15" customHeight="1" s="95">
      <c r="A879" s="143" t="n">
        <v>44708</v>
      </c>
      <c r="B879" s="146" t="n">
        <v>1.002121</v>
      </c>
      <c r="C879" s="179" t="n">
        <v>53301625638</v>
      </c>
      <c r="D879" s="179" t="n">
        <v>53188825214</v>
      </c>
      <c r="E879" s="146" t="n">
        <v>1.000913</v>
      </c>
      <c r="F879" s="179" t="n">
        <v>73342226815</v>
      </c>
      <c r="G879" s="179" t="n">
        <v>73275295878</v>
      </c>
      <c r="H879" s="179">
        <f>IFERROR(D879+G879,D879)</f>
        <v/>
      </c>
      <c r="I879" s="184">
        <f>IFERROR(D879/H879,"")</f>
        <v/>
      </c>
      <c r="J879" s="179" t="n">
        <v>10637765043</v>
      </c>
      <c r="K879" s="179" t="n">
        <v>21275530086</v>
      </c>
      <c r="L879" s="179" t="n">
        <v>31913295128</v>
      </c>
    </row>
    <row r="880" ht="15" customHeight="1" s="95">
      <c r="A880" s="143" t="n">
        <v>44709</v>
      </c>
      <c r="B880" s="146" t="n">
        <v>1.000412</v>
      </c>
      <c r="C880" s="179" t="n">
        <v>53643467177</v>
      </c>
      <c r="D880" s="179" t="n">
        <v>53621379970</v>
      </c>
      <c r="E880" s="146" t="n">
        <v>1.000572</v>
      </c>
      <c r="F880" s="179" t="n">
        <v>72578744671</v>
      </c>
      <c r="G880" s="179" t="n">
        <v>72537249554</v>
      </c>
      <c r="H880" s="179">
        <f>IFERROR(D880+G880,D880)</f>
        <v/>
      </c>
      <c r="I880" s="184">
        <f>IFERROR(D880/H880,"")</f>
        <v/>
      </c>
      <c r="J880" s="179" t="n">
        <v>10724275994</v>
      </c>
      <c r="K880" s="179" t="n">
        <v>21448551988</v>
      </c>
      <c r="L880" s="179" t="n">
        <v>32172827982</v>
      </c>
    </row>
    <row r="881" ht="15" customHeight="1" s="95">
      <c r="A881" s="143" t="n">
        <v>44710</v>
      </c>
      <c r="B881" s="146" t="n">
        <v>1.002886</v>
      </c>
      <c r="C881" s="179" t="n">
        <v>53798595398</v>
      </c>
      <c r="D881" s="179" t="n">
        <v>53643765269</v>
      </c>
      <c r="E881" s="146" t="n">
        <v>1.001475</v>
      </c>
      <c r="F881" s="179" t="n">
        <v>72569743808</v>
      </c>
      <c r="G881" s="179" t="n">
        <v>72462831556</v>
      </c>
      <c r="H881" s="179">
        <f>IFERROR(D881+G881,D881)</f>
        <v/>
      </c>
      <c r="I881" s="184">
        <f>IFERROR(D881/H881,"")</f>
        <v/>
      </c>
      <c r="J881" s="179" t="n">
        <v>10728753054</v>
      </c>
      <c r="K881" s="179" t="n">
        <v>21457506108</v>
      </c>
      <c r="L881" s="179" t="n">
        <v>32186259161</v>
      </c>
    </row>
    <row r="882" ht="15" customHeight="1" s="95">
      <c r="A882" s="143" t="n">
        <v>44711</v>
      </c>
      <c r="B882" s="146" t="n">
        <v>1.003996</v>
      </c>
      <c r="C882" s="179" t="n">
        <v>53890889128</v>
      </c>
      <c r="D882" s="179" t="n">
        <v>53676398322</v>
      </c>
      <c r="E882" s="146" t="n">
        <v>1.000287</v>
      </c>
      <c r="F882" s="179" t="n">
        <v>72631887214</v>
      </c>
      <c r="G882" s="179" t="n">
        <v>72611043934</v>
      </c>
      <c r="H882" s="179">
        <f>IFERROR(D882+G882,D882)</f>
        <v/>
      </c>
      <c r="I882" s="184">
        <f>IFERROR(D882/H882,"")</f>
        <v/>
      </c>
      <c r="J882" s="179" t="n">
        <v>10735279664</v>
      </c>
      <c r="K882" s="179" t="n">
        <v>21470559329</v>
      </c>
      <c r="L882" s="179" t="n">
        <v>32205838993</v>
      </c>
    </row>
    <row r="883" ht="15" customHeight="1" s="95">
      <c r="A883" s="143" t="n">
        <v>44712</v>
      </c>
      <c r="B883" s="146" t="n">
        <v>1.00125</v>
      </c>
      <c r="C883" s="179" t="n">
        <v>53826859973</v>
      </c>
      <c r="D883" s="179" t="n">
        <v>53759642792</v>
      </c>
      <c r="E883" s="146" t="n">
        <v>1.000411</v>
      </c>
      <c r="F883" s="179" t="n">
        <v>72546423763</v>
      </c>
      <c r="G883" s="179" t="n">
        <v>72516603598</v>
      </c>
      <c r="H883" s="179">
        <f>IFERROR(D883+G883,D883)</f>
        <v/>
      </c>
      <c r="I883" s="184">
        <f>IFERROR(D883/H883,"")</f>
        <v/>
      </c>
      <c r="J883" s="179" t="n">
        <v>10751928558</v>
      </c>
      <c r="K883" s="179" t="n">
        <v>21503857117</v>
      </c>
      <c r="L883" s="179" t="n">
        <v>32255785675</v>
      </c>
    </row>
    <row r="884" ht="15" customHeight="1" s="95">
      <c r="A884" s="143" t="n">
        <v>44713</v>
      </c>
      <c r="B884" s="146" t="n">
        <v>1.000698</v>
      </c>
      <c r="C884" s="179" t="n">
        <v>54003654728</v>
      </c>
      <c r="D884" s="179" t="n">
        <v>53965995451</v>
      </c>
      <c r="E884" s="146" t="n">
        <v>0.999244</v>
      </c>
      <c r="F884" s="179" t="n">
        <v>72483593605</v>
      </c>
      <c r="G884" s="179" t="n">
        <v>72538449554</v>
      </c>
      <c r="H884" s="179">
        <f>IFERROR(D884+G884,D884)</f>
        <v/>
      </c>
      <c r="I884" s="184">
        <f>IFERROR(D884/H884,"")</f>
        <v/>
      </c>
      <c r="J884" s="179" t="n">
        <v>10793199090</v>
      </c>
      <c r="K884" s="179" t="n">
        <v>21586398180</v>
      </c>
      <c r="L884" s="179" t="n">
        <v>32379597271</v>
      </c>
    </row>
    <row r="885" ht="15" customHeight="1" s="95">
      <c r="A885" s="143" t="n">
        <v>44714</v>
      </c>
      <c r="B885" s="146" t="n">
        <v>1.000645</v>
      </c>
      <c r="C885" s="179" t="n">
        <v>54072438826</v>
      </c>
      <c r="D885" s="179" t="n">
        <v>54037594315</v>
      </c>
      <c r="E885" s="146" t="n">
        <v>0.999569</v>
      </c>
      <c r="F885" s="179" t="n">
        <v>72507199138</v>
      </c>
      <c r="G885" s="179" t="n">
        <v>72538449554</v>
      </c>
      <c r="H885" s="179">
        <f>IFERROR(D885+G885,D885)</f>
        <v/>
      </c>
      <c r="I885" s="184">
        <f>IFERROR(D885/H885,"")</f>
        <v/>
      </c>
      <c r="J885" s="179" t="n">
        <v>10807518863</v>
      </c>
      <c r="K885" s="179" t="n">
        <v>21615037726</v>
      </c>
      <c r="L885" s="179" t="n">
        <v>32422556589</v>
      </c>
    </row>
    <row r="886" ht="15" customHeight="1" s="95">
      <c r="A886" s="143" t="n">
        <v>44715</v>
      </c>
      <c r="B886" s="146" t="n">
        <v>0.998762</v>
      </c>
      <c r="C886" s="179" t="n">
        <v>54076000823</v>
      </c>
      <c r="D886" s="179" t="n">
        <v>54143009250</v>
      </c>
      <c r="E886" s="146" t="n">
        <v>1.000305</v>
      </c>
      <c r="F886" s="179" t="n">
        <v>72606704176</v>
      </c>
      <c r="G886" s="179" t="n">
        <v>72584530893</v>
      </c>
      <c r="H886" s="179">
        <f>IFERROR(D886+G886,D886)</f>
        <v/>
      </c>
      <c r="I886" s="184">
        <f>IFERROR(D886/H886,"")</f>
        <v/>
      </c>
      <c r="J886" s="179" t="n">
        <v>10828601850</v>
      </c>
      <c r="K886" s="179" t="n">
        <v>21657203700</v>
      </c>
      <c r="L886" s="179" t="n">
        <v>32485805550</v>
      </c>
    </row>
    <row r="887" ht="15" customHeight="1" s="95">
      <c r="A887" s="143" t="n">
        <v>44716</v>
      </c>
      <c r="B887" s="146" t="n">
        <v>1.000698</v>
      </c>
      <c r="C887" s="179" t="n">
        <v>54168799848</v>
      </c>
      <c r="D887" s="179" t="n">
        <v>54131021937</v>
      </c>
      <c r="E887" s="146" t="n">
        <v>1.000425</v>
      </c>
      <c r="F887" s="179" t="n">
        <v>72574254041</v>
      </c>
      <c r="G887" s="179" t="n">
        <v>72543449553</v>
      </c>
      <c r="H887" s="179">
        <f>IFERROR(D887+G887,D887)</f>
        <v/>
      </c>
      <c r="I887" s="184">
        <f>IFERROR(D887/H887,"")</f>
        <v/>
      </c>
      <c r="J887" s="179" t="n">
        <v>10826204387</v>
      </c>
      <c r="K887" s="179" t="n">
        <v>21652408775</v>
      </c>
      <c r="L887" s="179" t="n">
        <v>32478613162</v>
      </c>
    </row>
    <row r="888" ht="15" customHeight="1" s="95">
      <c r="A888" s="143" t="n">
        <v>44717</v>
      </c>
      <c r="B888" s="146" t="n">
        <v>1.00135</v>
      </c>
      <c r="C888" s="179" t="n">
        <v>54094959418</v>
      </c>
      <c r="D888" s="179" t="n">
        <v>54022027567</v>
      </c>
      <c r="E888" s="146" t="n">
        <v>1.001021</v>
      </c>
      <c r="F888" s="179" t="n">
        <v>72563385811</v>
      </c>
      <c r="G888" s="179" t="n">
        <v>72489373793</v>
      </c>
      <c r="H888" s="179">
        <f>IFERROR(D888+G888,D888)</f>
        <v/>
      </c>
      <c r="I888" s="184">
        <f>IFERROR(D888/H888,"")</f>
        <v/>
      </c>
      <c r="J888" s="179" t="n">
        <v>10804405513</v>
      </c>
      <c r="K888" s="179" t="n">
        <v>21608811027</v>
      </c>
      <c r="L888" s="179" t="n">
        <v>32413216540</v>
      </c>
    </row>
    <row r="889" ht="15" customHeight="1" s="95">
      <c r="A889" s="143" t="n">
        <v>44718</v>
      </c>
      <c r="B889" s="146" t="n">
        <v>1.000811</v>
      </c>
      <c r="C889" s="179" t="n">
        <v>54187767666</v>
      </c>
      <c r="D889" s="179" t="n">
        <v>54143870062</v>
      </c>
      <c r="E889" s="146" t="n">
        <v>1.000101</v>
      </c>
      <c r="F889" s="179" t="n">
        <v>72550808924</v>
      </c>
      <c r="G889" s="179" t="n">
        <v>72543449553</v>
      </c>
      <c r="H889" s="179">
        <f>IFERROR(D889+G889,D889)</f>
        <v/>
      </c>
      <c r="I889" s="184">
        <f>IFERROR(D889/H889,"")</f>
        <v/>
      </c>
      <c r="J889" s="179" t="n">
        <v>10828774012</v>
      </c>
      <c r="K889" s="179" t="n">
        <v>21657548025</v>
      </c>
      <c r="L889" s="179" t="n">
        <v>32486322037</v>
      </c>
    </row>
    <row r="890" ht="15" customHeight="1" s="95">
      <c r="A890" s="143" t="n">
        <v>44719</v>
      </c>
      <c r="B890" s="146" t="n">
        <v>1.001435</v>
      </c>
      <c r="C890" s="179" t="n">
        <v>53828413758</v>
      </c>
      <c r="D890" s="179" t="n">
        <v>53751256065</v>
      </c>
      <c r="E890" s="146" t="n">
        <v>1.000322</v>
      </c>
      <c r="F890" s="179" t="n">
        <v>72460594246</v>
      </c>
      <c r="G890" s="179" t="n">
        <v>72437284334</v>
      </c>
      <c r="H890" s="179">
        <f>IFERROR(D890+G890,D890)</f>
        <v/>
      </c>
      <c r="I890" s="184">
        <f>IFERROR(D890/H890,"")</f>
        <v/>
      </c>
      <c r="J890" s="179" t="n">
        <v>10750251213</v>
      </c>
      <c r="K890" s="179" t="n">
        <v>21500502426</v>
      </c>
      <c r="L890" s="179" t="n">
        <v>32250753639</v>
      </c>
    </row>
    <row r="891" ht="15" customHeight="1" s="95">
      <c r="A891" s="143" t="n">
        <v>44720</v>
      </c>
      <c r="B891" s="146" t="n">
        <v>1.002008</v>
      </c>
      <c r="C891" s="179" t="n">
        <v>53906740225</v>
      </c>
      <c r="D891" s="179" t="n">
        <v>53798688498</v>
      </c>
      <c r="E891" s="146" t="n">
        <v>1.001399</v>
      </c>
      <c r="F891" s="179" t="n">
        <v>72521860046</v>
      </c>
      <c r="G891" s="179" t="n">
        <v>72420549553</v>
      </c>
      <c r="H891" s="179">
        <f>IFERROR(D891+G891,D891)</f>
        <v/>
      </c>
      <c r="I891" s="184">
        <f>IFERROR(D891/H891,"")</f>
        <v/>
      </c>
      <c r="J891" s="179" t="n">
        <v>10759737700</v>
      </c>
      <c r="K891" s="179" t="n">
        <v>21519475399</v>
      </c>
      <c r="L891" s="179" t="n">
        <v>32279213099</v>
      </c>
    </row>
    <row r="892" ht="15" customHeight="1" s="95">
      <c r="A892" s="143" t="n">
        <v>44721</v>
      </c>
      <c r="B892" s="146" t="n">
        <v>1.000709</v>
      </c>
      <c r="C892" s="179" t="n">
        <v>53755487848</v>
      </c>
      <c r="D892" s="179" t="n">
        <v>53717425634</v>
      </c>
      <c r="E892" s="146" t="n">
        <v>1.000681</v>
      </c>
      <c r="F892" s="179" t="n">
        <v>72479902354</v>
      </c>
      <c r="G892" s="179" t="n">
        <v>72430549553</v>
      </c>
      <c r="H892" s="179">
        <f>IFERROR(D892+G892,D892)</f>
        <v/>
      </c>
      <c r="I892" s="184">
        <f>IFERROR(D892/H892,"")</f>
        <v/>
      </c>
      <c r="J892" s="179" t="n">
        <v>10743485127</v>
      </c>
      <c r="K892" s="179" t="n">
        <v>21486970254</v>
      </c>
      <c r="L892" s="179" t="n">
        <v>32230455380</v>
      </c>
    </row>
    <row r="893" ht="15" customHeight="1" s="95">
      <c r="A893" s="143" t="n">
        <v>44722</v>
      </c>
      <c r="B893" s="146" t="n">
        <v>1.000854</v>
      </c>
      <c r="C893" s="179" t="n">
        <v>53849615435</v>
      </c>
      <c r="D893" s="179" t="n">
        <v>53803667734</v>
      </c>
      <c r="E893" s="146" t="n">
        <v>0.999856</v>
      </c>
      <c r="F893" s="179" t="n">
        <v>72483632298</v>
      </c>
      <c r="G893" s="179" t="n">
        <v>72494065699</v>
      </c>
      <c r="H893" s="179">
        <f>IFERROR(D893+G893,D893)</f>
        <v/>
      </c>
      <c r="I893" s="184">
        <f>IFERROR(D893/H893,"")</f>
        <v/>
      </c>
      <c r="J893" s="179" t="n">
        <v>10760733547</v>
      </c>
      <c r="K893" s="179" t="n">
        <v>21521467094</v>
      </c>
      <c r="L893" s="179" t="n">
        <v>32282200640</v>
      </c>
    </row>
    <row r="894" ht="15" customHeight="1" s="95">
      <c r="A894" s="143" t="n">
        <v>44723</v>
      </c>
      <c r="B894" s="146" t="n">
        <v>1.001613</v>
      </c>
      <c r="C894" s="179" t="n">
        <v>53908143847</v>
      </c>
      <c r="D894" s="179" t="n">
        <v>53821328643</v>
      </c>
      <c r="E894" s="146" t="n">
        <v>1.000349</v>
      </c>
      <c r="F894" s="179" t="n">
        <v>72520688667</v>
      </c>
      <c r="G894" s="179" t="n">
        <v>72495376195</v>
      </c>
      <c r="H894" s="179">
        <f>IFERROR(D894+G894,D894)</f>
        <v/>
      </c>
      <c r="I894" s="184">
        <f>IFERROR(D894/H894,"")</f>
        <v/>
      </c>
      <c r="J894" s="179" t="n">
        <v>10764265729</v>
      </c>
      <c r="K894" s="179" t="n">
        <v>21528531457</v>
      </c>
      <c r="L894" s="179" t="n">
        <v>32292797186</v>
      </c>
    </row>
    <row r="895" ht="15" customHeight="1" s="95">
      <c r="A895" s="143" t="n">
        <v>44724</v>
      </c>
      <c r="B895" s="146" t="n">
        <v>1.000201</v>
      </c>
      <c r="C895" s="179" t="n">
        <v>53874889528</v>
      </c>
      <c r="D895" s="179" t="n">
        <v>53864050990</v>
      </c>
      <c r="E895" s="146" t="n">
        <v>1.000007</v>
      </c>
      <c r="F895" s="179" t="n">
        <v>72576221406</v>
      </c>
      <c r="G895" s="179" t="n">
        <v>72575681449</v>
      </c>
      <c r="H895" s="179">
        <f>IFERROR(D895+G895,D895)</f>
        <v/>
      </c>
      <c r="I895" s="184">
        <f>IFERROR(D895/H895,"")</f>
        <v/>
      </c>
      <c r="J895" s="179" t="n">
        <v>10772810198</v>
      </c>
      <c r="K895" s="179" t="n">
        <v>21545620396</v>
      </c>
      <c r="L895" s="179" t="n">
        <v>32318430594</v>
      </c>
    </row>
    <row r="896" ht="15" customHeight="1" s="95">
      <c r="A896" s="143" t="n">
        <v>44725</v>
      </c>
      <c r="B896" s="146" t="n">
        <v>1.000902</v>
      </c>
      <c r="C896" s="179" t="n">
        <v>54301279573</v>
      </c>
      <c r="D896" s="179" t="n">
        <v>54252335595</v>
      </c>
      <c r="E896" s="146" t="n">
        <v>0.998176</v>
      </c>
      <c r="F896" s="179" t="n">
        <v>72537430319</v>
      </c>
      <c r="G896" s="179" t="n">
        <v>72669992598</v>
      </c>
      <c r="H896" s="179">
        <f>IFERROR(D896+G896,D896)</f>
        <v/>
      </c>
      <c r="I896" s="184">
        <f>IFERROR(D896/H896,"")</f>
        <v/>
      </c>
      <c r="J896" s="179" t="n">
        <v>10850467119</v>
      </c>
      <c r="K896" s="179" t="n">
        <v>21700934238</v>
      </c>
      <c r="L896" s="179" t="n">
        <v>32551401357</v>
      </c>
    </row>
    <row r="897" ht="15" customHeight="1" s="95">
      <c r="A897" s="143" t="n">
        <v>44726</v>
      </c>
      <c r="B897" s="146" t="n">
        <v>1.00382</v>
      </c>
      <c r="C897" s="179" t="n">
        <v>54292415557</v>
      </c>
      <c r="D897" s="179" t="n">
        <v>54085810127</v>
      </c>
      <c r="E897" s="146" t="n">
        <v>1.003879</v>
      </c>
      <c r="F897" s="179" t="n">
        <v>72574376064</v>
      </c>
      <c r="G897" s="179" t="n">
        <v>72293981301</v>
      </c>
      <c r="H897" s="179">
        <f>IFERROR(D897+G897,D897)</f>
        <v/>
      </c>
      <c r="I897" s="184">
        <f>IFERROR(D897/H897,"")</f>
        <v/>
      </c>
      <c r="J897" s="179" t="n">
        <v>10817162025</v>
      </c>
      <c r="K897" s="179" t="n">
        <v>21634324051</v>
      </c>
      <c r="L897" s="179" t="n">
        <v>32451486076</v>
      </c>
    </row>
    <row r="898" ht="15" customHeight="1" s="95">
      <c r="A898" s="143" t="n">
        <v>44727</v>
      </c>
      <c r="B898" s="146" t="n">
        <v>1.00118</v>
      </c>
      <c r="C898" s="179" t="n">
        <v>54202231644</v>
      </c>
      <c r="D898" s="179" t="n">
        <v>54138367367</v>
      </c>
      <c r="E898" s="146" t="n">
        <v>1.000807</v>
      </c>
      <c r="F898" s="179" t="n">
        <v>71656901175</v>
      </c>
      <c r="G898" s="179" t="n">
        <v>71599130291</v>
      </c>
      <c r="H898" s="179">
        <f>IFERROR(D898+G898,D898)</f>
        <v/>
      </c>
      <c r="I898" s="184">
        <f>IFERROR(D898/H898,"")</f>
        <v/>
      </c>
      <c r="J898" s="179" t="n">
        <v>10827673473</v>
      </c>
      <c r="K898" s="179" t="n">
        <v>21655346947</v>
      </c>
      <c r="L898" s="179" t="n">
        <v>32483020420</v>
      </c>
    </row>
    <row r="899" ht="15" customHeight="1" s="95">
      <c r="A899" s="143" t="n">
        <v>44728</v>
      </c>
      <c r="B899" s="146" t="n">
        <v>1.004508</v>
      </c>
      <c r="C899" s="179" t="n">
        <v>54490560449</v>
      </c>
      <c r="D899" s="179" t="n">
        <v>54246024170</v>
      </c>
      <c r="E899" s="146" t="n">
        <v>1.002758</v>
      </c>
      <c r="F899" s="179" t="n">
        <v>70968169286</v>
      </c>
      <c r="G899" s="179" t="n">
        <v>70773007180</v>
      </c>
      <c r="H899" s="179">
        <f>IFERROR(D899+G899,D899)</f>
        <v/>
      </c>
      <c r="I899" s="184">
        <f>IFERROR(D899/H899,"")</f>
        <v/>
      </c>
      <c r="J899" s="179" t="n">
        <v>10849204834</v>
      </c>
      <c r="K899" s="179" t="n">
        <v>21698409668</v>
      </c>
      <c r="L899" s="179" t="n">
        <v>32547614502</v>
      </c>
    </row>
    <row r="900" ht="15" customHeight="1" s="95">
      <c r="A900" s="143" t="n">
        <v>44729</v>
      </c>
      <c r="B900" s="146" t="n">
        <v>1.004265</v>
      </c>
      <c r="C900" s="179" t="n">
        <v>54854866421</v>
      </c>
      <c r="D900" s="179" t="n">
        <v>54621907072</v>
      </c>
      <c r="E900" s="146" t="n">
        <v>1.00244</v>
      </c>
      <c r="F900" s="179" t="n">
        <v>70235527691</v>
      </c>
      <c r="G900" s="179" t="n">
        <v>70064575816</v>
      </c>
      <c r="H900" s="179">
        <f>IFERROR(D900+G900,D900)</f>
        <v/>
      </c>
      <c r="I900" s="184">
        <f>IFERROR(D900/H900,"")</f>
        <v/>
      </c>
      <c r="J900" s="179" t="n">
        <v>10924381414</v>
      </c>
      <c r="K900" s="179" t="n">
        <v>21848762829</v>
      </c>
      <c r="L900" s="179" t="n">
        <v>32773144243</v>
      </c>
    </row>
    <row r="901" ht="15" customHeight="1" s="95">
      <c r="A901" s="143" t="n">
        <v>44730</v>
      </c>
      <c r="B901" s="146" t="n">
        <v>1.000134</v>
      </c>
      <c r="C901" s="179" t="n">
        <v>55155090582</v>
      </c>
      <c r="D901" s="179" t="n">
        <v>55147675797</v>
      </c>
      <c r="E901" s="146" t="n">
        <v>1.000689</v>
      </c>
      <c r="F901" s="179" t="n">
        <v>68278037848</v>
      </c>
      <c r="G901" s="179" t="n">
        <v>68230995597</v>
      </c>
      <c r="H901" s="179">
        <f>IFERROR(D901+G901,D901)</f>
        <v/>
      </c>
      <c r="I901" s="184">
        <f>IFERROR(D901/H901,"")</f>
        <v/>
      </c>
      <c r="J901" s="179" t="n">
        <v>11029535159</v>
      </c>
      <c r="K901" s="179" t="n">
        <v>22059070319</v>
      </c>
      <c r="L901" s="179" t="n">
        <v>33088605478</v>
      </c>
    </row>
    <row r="902" ht="15" customHeight="1" s="95">
      <c r="A902" s="143" t="n">
        <v>44731</v>
      </c>
      <c r="B902" s="146" t="n">
        <v>1.003585</v>
      </c>
      <c r="C902" s="179" t="n">
        <v>55466165647</v>
      </c>
      <c r="D902" s="179" t="n">
        <v>55268015445</v>
      </c>
      <c r="E902" s="146" t="n">
        <v>1.000935</v>
      </c>
      <c r="F902" s="179" t="n">
        <v>68151264125</v>
      </c>
      <c r="G902" s="179" t="n">
        <v>68087608947</v>
      </c>
      <c r="H902" s="179">
        <f>IFERROR(D902+G902,D902)</f>
        <v/>
      </c>
      <c r="I902" s="184">
        <f>IFERROR(D902/H902,"")</f>
        <v/>
      </c>
      <c r="J902" s="179" t="n">
        <v>11053603089</v>
      </c>
      <c r="K902" s="179" t="n">
        <v>22107206178</v>
      </c>
      <c r="L902" s="179" t="n">
        <v>33160809267</v>
      </c>
    </row>
    <row r="903" ht="15" customHeight="1" s="95">
      <c r="A903" s="143" t="n">
        <v>44732</v>
      </c>
      <c r="B903" s="146" t="n">
        <v>1.003231</v>
      </c>
      <c r="C903" s="179" t="n">
        <v>56128609415</v>
      </c>
      <c r="D903" s="179" t="n">
        <v>55947824660</v>
      </c>
      <c r="E903" s="146" t="n">
        <v>1.000313</v>
      </c>
      <c r="F903" s="179" t="n">
        <v>68007814323</v>
      </c>
      <c r="G903" s="179" t="n">
        <v>67986534493</v>
      </c>
      <c r="H903" s="179">
        <f>IFERROR(D903+G903,D903)</f>
        <v/>
      </c>
      <c r="I903" s="184">
        <f>IFERROR(D903/H903,"")</f>
        <v/>
      </c>
      <c r="J903" s="179" t="n">
        <v>11189564932</v>
      </c>
      <c r="K903" s="179" t="n">
        <v>22379129864</v>
      </c>
      <c r="L903" s="179" t="n">
        <v>33568694796</v>
      </c>
    </row>
    <row r="904" ht="15" customHeight="1" s="95">
      <c r="A904" s="143" t="n">
        <v>44733</v>
      </c>
      <c r="B904" s="146" t="n">
        <v>1.002763</v>
      </c>
      <c r="C904" s="179" t="n">
        <v>55879082300</v>
      </c>
      <c r="D904" s="179" t="n">
        <v>55725129141</v>
      </c>
      <c r="E904" s="146" t="n">
        <v>0.9999209999999999</v>
      </c>
      <c r="F904" s="179" t="n">
        <v>67174324823</v>
      </c>
      <c r="G904" s="179" t="n">
        <v>67179633367</v>
      </c>
      <c r="H904" s="179">
        <f>IFERROR(D904+G904,D904)</f>
        <v/>
      </c>
      <c r="I904" s="184">
        <f>IFERROR(D904/H904,"")</f>
        <v/>
      </c>
      <c r="J904" s="179" t="n">
        <v>11145025828</v>
      </c>
      <c r="K904" s="179" t="n">
        <v>22290051656</v>
      </c>
      <c r="L904" s="179" t="n">
        <v>33435077485</v>
      </c>
    </row>
    <row r="905" ht="15" customHeight="1" s="95">
      <c r="A905" s="143" t="n">
        <v>44734</v>
      </c>
      <c r="B905" s="146" t="n">
        <v>0.999669</v>
      </c>
      <c r="C905" s="179" t="n">
        <v>55889328008</v>
      </c>
      <c r="D905" s="179" t="n">
        <v>55907817762</v>
      </c>
      <c r="E905" s="146" t="n">
        <v>0.999513</v>
      </c>
      <c r="F905" s="179" t="n">
        <v>67044714784</v>
      </c>
      <c r="G905" s="179" t="n">
        <v>67077383409</v>
      </c>
      <c r="H905" s="179">
        <f>IFERROR(D905+G905,D905)</f>
        <v/>
      </c>
      <c r="I905" s="184">
        <f>IFERROR(D905/H905,"")</f>
        <v/>
      </c>
      <c r="J905" s="179" t="n">
        <v>11181563552</v>
      </c>
      <c r="K905" s="179" t="n">
        <v>22363127105</v>
      </c>
      <c r="L905" s="179" t="n">
        <v>33544690657</v>
      </c>
    </row>
    <row r="906" ht="15" customHeight="1" s="95">
      <c r="A906" s="143" t="n">
        <v>44735</v>
      </c>
      <c r="B906" s="146" t="n">
        <v>1.000125</v>
      </c>
      <c r="C906" s="179" t="n">
        <v>55915586934</v>
      </c>
      <c r="D906" s="179" t="n">
        <v>55908582782</v>
      </c>
      <c r="E906" s="146" t="n">
        <v>1.001115</v>
      </c>
      <c r="F906" s="179" t="n">
        <v>67075479327</v>
      </c>
      <c r="G906" s="179" t="n">
        <v>67000747288</v>
      </c>
      <c r="H906" s="179">
        <f>IFERROR(D906+G906,D906)</f>
        <v/>
      </c>
      <c r="I906" s="184">
        <f>IFERROR(D906/H906,"")</f>
        <v/>
      </c>
      <c r="J906" s="179" t="n">
        <v>11181716556</v>
      </c>
      <c r="K906" s="179" t="n">
        <v>22363433113</v>
      </c>
      <c r="L906" s="179" t="n">
        <v>33545149669</v>
      </c>
    </row>
    <row r="907" ht="15" customHeight="1" s="95">
      <c r="A907" s="143" t="n">
        <v>44736</v>
      </c>
      <c r="B907" s="146" t="n">
        <v>1.001793</v>
      </c>
      <c r="C907" s="179" t="n">
        <v>55738930116</v>
      </c>
      <c r="D907" s="179" t="n">
        <v>55639158209</v>
      </c>
      <c r="E907" s="146" t="n">
        <v>0.999874</v>
      </c>
      <c r="F907" s="179" t="n">
        <v>66969005414</v>
      </c>
      <c r="G907" s="179" t="n">
        <v>66977425011</v>
      </c>
      <c r="H907" s="179">
        <f>IFERROR(D907+G907,D907)</f>
        <v/>
      </c>
      <c r="I907" s="184">
        <f>IFERROR(D907/H907,"")</f>
        <v/>
      </c>
      <c r="J907" s="179" t="n">
        <v>11127831642</v>
      </c>
      <c r="K907" s="179" t="n">
        <v>22255663284</v>
      </c>
      <c r="L907" s="179" t="n">
        <v>33383494925</v>
      </c>
    </row>
    <row r="908" ht="15" customHeight="1" s="95">
      <c r="A908" s="143" t="n">
        <v>44737</v>
      </c>
      <c r="B908" s="146" t="n">
        <v>0.999429</v>
      </c>
      <c r="C908" s="179" t="n">
        <v>55911195637</v>
      </c>
      <c r="D908" s="179" t="n">
        <v>55943125239</v>
      </c>
      <c r="E908" s="146" t="n">
        <v>0.997306</v>
      </c>
      <c r="F908" s="179" t="n">
        <v>66944585773</v>
      </c>
      <c r="G908" s="179" t="n">
        <v>67125400838</v>
      </c>
      <c r="H908" s="179">
        <f>IFERROR(D908+G908,D908)</f>
        <v/>
      </c>
      <c r="I908" s="184">
        <f>IFERROR(D908/H908,"")</f>
        <v/>
      </c>
      <c r="J908" s="179" t="n">
        <v>11188625048</v>
      </c>
      <c r="K908" s="179" t="n">
        <v>22377250096</v>
      </c>
      <c r="L908" s="179" t="n">
        <v>33565875143</v>
      </c>
    </row>
    <row r="909" ht="15" customHeight="1" s="95">
      <c r="A909" s="143" t="n">
        <v>44738</v>
      </c>
      <c r="B909" s="146" t="n">
        <v>1.003277</v>
      </c>
      <c r="C909" s="179" t="n">
        <v>56026893004</v>
      </c>
      <c r="D909" s="179" t="n">
        <v>55843875800</v>
      </c>
      <c r="E909" s="146" t="n">
        <v>1.000583</v>
      </c>
      <c r="F909" s="179" t="n">
        <v>66939386054</v>
      </c>
      <c r="G909" s="179" t="n">
        <v>66900361098</v>
      </c>
      <c r="H909" s="179">
        <f>IFERROR(D909+G909,D909)</f>
        <v/>
      </c>
      <c r="I909" s="184">
        <f>IFERROR(D909/H909,"")</f>
        <v/>
      </c>
      <c r="J909" s="179" t="n">
        <v>11168775160</v>
      </c>
      <c r="K909" s="179" t="n">
        <v>22337550320</v>
      </c>
      <c r="L909" s="179" t="n">
        <v>33506325480</v>
      </c>
    </row>
    <row r="910" ht="15" customHeight="1" s="95">
      <c r="A910" s="143" t="n">
        <v>44739</v>
      </c>
      <c r="B910" s="146" t="n">
        <v>1.001331</v>
      </c>
      <c r="C910" s="179" t="n">
        <v>56053317628</v>
      </c>
      <c r="D910" s="179" t="n">
        <v>55978813254</v>
      </c>
      <c r="E910" s="146" t="n">
        <v>1.002564</v>
      </c>
      <c r="F910" s="179" t="n">
        <v>66896800206</v>
      </c>
      <c r="G910" s="179" t="n">
        <v>66725694030</v>
      </c>
      <c r="H910" s="179">
        <f>IFERROR(D910+G910,D910)</f>
        <v/>
      </c>
      <c r="I910" s="184">
        <f>IFERROR(D910/H910,"")</f>
        <v/>
      </c>
      <c r="J910" s="179" t="n">
        <v>11195762651</v>
      </c>
      <c r="K910" s="179" t="n">
        <v>22391525302</v>
      </c>
      <c r="L910" s="179" t="n">
        <v>33587287952</v>
      </c>
    </row>
    <row r="911" ht="15" customHeight="1" s="95">
      <c r="A911" s="143" t="n">
        <v>44740</v>
      </c>
      <c r="B911" s="146" t="n">
        <v>1.000899</v>
      </c>
      <c r="C911" s="179" t="n">
        <v>55645129055</v>
      </c>
      <c r="D911" s="179" t="n">
        <v>55595163478</v>
      </c>
      <c r="E911" s="146" t="n">
        <v>1.00057</v>
      </c>
      <c r="F911" s="179" t="n">
        <v>66844453092</v>
      </c>
      <c r="G911" s="179" t="n">
        <v>66806403090</v>
      </c>
      <c r="H911" s="179">
        <f>IFERROR(D911+G911,D911)</f>
        <v/>
      </c>
      <c r="I911" s="184">
        <f>IFERROR(D911/H911,"")</f>
        <v/>
      </c>
      <c r="J911" s="179" t="n">
        <v>11119032696</v>
      </c>
      <c r="K911" s="179" t="n">
        <v>22238065391</v>
      </c>
      <c r="L911" s="179" t="n">
        <v>33357098087</v>
      </c>
    </row>
    <row r="912" ht="15" customHeight="1" s="95">
      <c r="A912" s="143" t="n">
        <v>44741</v>
      </c>
      <c r="B912" s="146" t="n">
        <v>1.001005</v>
      </c>
      <c r="C912" s="179" t="n">
        <v>55645129055</v>
      </c>
      <c r="D912" s="179" t="n">
        <v>55589241103</v>
      </c>
      <c r="E912" s="146" t="n">
        <v>1.000334</v>
      </c>
      <c r="F912" s="179" t="n">
        <v>66839986606</v>
      </c>
      <c r="G912" s="179" t="n">
        <v>66817647887</v>
      </c>
      <c r="H912" s="179">
        <f>IFERROR(D912+G912,D912)</f>
        <v/>
      </c>
      <c r="I912" s="184">
        <f>IFERROR(D912/H912,"")</f>
        <v/>
      </c>
      <c r="J912" s="179" t="n">
        <v>11117848221</v>
      </c>
      <c r="K912" s="179" t="n">
        <v>22235696441</v>
      </c>
      <c r="L912" s="179" t="n">
        <v>33353544662</v>
      </c>
    </row>
    <row r="913" ht="15" customHeight="1" s="95">
      <c r="A913" s="143" t="n">
        <v>44742</v>
      </c>
      <c r="B913" s="146" t="n">
        <v>1.000851</v>
      </c>
      <c r="C913" s="179" t="n">
        <v>55645129055</v>
      </c>
      <c r="D913" s="179" t="n">
        <v>55597826148</v>
      </c>
      <c r="E913" s="146" t="n">
        <v>1.000997</v>
      </c>
      <c r="F913" s="179" t="n">
        <v>66515975964</v>
      </c>
      <c r="G913" s="179" t="n">
        <v>66449715000</v>
      </c>
      <c r="H913" s="179">
        <f>IFERROR(D913+G913,D913)</f>
        <v/>
      </c>
      <c r="I913" s="184">
        <f>IFERROR(D913/H913,"")</f>
        <v/>
      </c>
      <c r="J913" s="179" t="n">
        <v>11119565230</v>
      </c>
      <c r="K913" s="179" t="n">
        <v>22239130459</v>
      </c>
      <c r="L913" s="179" t="n">
        <v>33358695689</v>
      </c>
    </row>
    <row r="914" ht="15" customHeight="1" s="95">
      <c r="A914" s="143" t="n">
        <v>44743</v>
      </c>
      <c r="B914" s="146" t="n">
        <v>0.987916</v>
      </c>
      <c r="C914" s="179" t="n">
        <v>56159787682</v>
      </c>
      <c r="D914" s="179" t="n">
        <v>56846714335</v>
      </c>
      <c r="E914" s="146" t="n">
        <v>0.997063</v>
      </c>
      <c r="F914" s="179" t="n">
        <v>66360128640</v>
      </c>
      <c r="G914" s="179" t="n">
        <v>66555599452</v>
      </c>
      <c r="H914" s="179">
        <f>IFERROR(D914+G914,D914)</f>
        <v/>
      </c>
      <c r="I914" s="184">
        <f>IFERROR(D914/H914,"")</f>
        <v/>
      </c>
      <c r="J914" s="179" t="n">
        <v>11369342867</v>
      </c>
      <c r="K914" s="179" t="n">
        <v>22738685734</v>
      </c>
      <c r="L914" s="179" t="n">
        <v>34108028601</v>
      </c>
    </row>
    <row r="915" ht="15" customHeight="1" s="95">
      <c r="A915" s="143" t="n">
        <v>44744</v>
      </c>
      <c r="B915" s="146" t="n">
        <v>1.000927</v>
      </c>
      <c r="C915" s="179" t="n">
        <v>55806408740</v>
      </c>
      <c r="D915" s="179" t="n">
        <v>55754696855</v>
      </c>
      <c r="E915" s="146" t="n">
        <v>1.002161</v>
      </c>
      <c r="F915" s="179" t="n">
        <v>66302770832</v>
      </c>
      <c r="G915" s="179" t="n">
        <v>66159826318</v>
      </c>
      <c r="H915" s="179">
        <f>IFERROR(D915+G915,D915)</f>
        <v/>
      </c>
      <c r="I915" s="184">
        <f>IFERROR(D915/H915,"")</f>
        <v/>
      </c>
      <c r="J915" s="179" t="n">
        <v>11150939371</v>
      </c>
      <c r="K915" s="179" t="n">
        <v>22301878742</v>
      </c>
      <c r="L915" s="179" t="n">
        <v>33452818113</v>
      </c>
    </row>
    <row r="916" ht="15" customHeight="1" s="95">
      <c r="A916" s="143" t="n">
        <v>44745</v>
      </c>
      <c r="B916" s="146" t="n">
        <v>1.00136</v>
      </c>
      <c r="C916" s="179" t="n">
        <v>55812518073</v>
      </c>
      <c r="D916" s="179" t="n">
        <v>55736704410</v>
      </c>
      <c r="E916" s="146" t="n">
        <v>1.001486</v>
      </c>
      <c r="F916" s="179" t="n">
        <v>66302512371</v>
      </c>
      <c r="G916" s="179" t="n">
        <v>66204139313</v>
      </c>
      <c r="H916" s="179">
        <f>IFERROR(D916+G916,D916)</f>
        <v/>
      </c>
      <c r="I916" s="184">
        <f>IFERROR(D916/H916,"")</f>
        <v/>
      </c>
      <c r="J916" s="179" t="n">
        <v>11147340882</v>
      </c>
      <c r="K916" s="179" t="n">
        <v>22294681764</v>
      </c>
      <c r="L916" s="179" t="n">
        <v>33442022646</v>
      </c>
    </row>
    <row r="917" ht="15" customHeight="1" s="95">
      <c r="A917" s="143" t="n">
        <v>44746</v>
      </c>
      <c r="B917" s="146" t="n">
        <v>1.001872</v>
      </c>
      <c r="C917" s="179" t="n">
        <v>55906902222</v>
      </c>
      <c r="D917" s="179" t="n">
        <v>55802439478</v>
      </c>
      <c r="E917" s="146" t="n">
        <v>1.000759</v>
      </c>
      <c r="F917" s="179" t="n">
        <v>66115548336</v>
      </c>
      <c r="G917" s="179" t="n">
        <v>66065409994</v>
      </c>
      <c r="H917" s="179">
        <f>IFERROR(D917+G917,D917)</f>
        <v/>
      </c>
      <c r="I917" s="184">
        <f>IFERROR(D917/H917,"")</f>
        <v/>
      </c>
      <c r="J917" s="179" t="n">
        <v>11160487896</v>
      </c>
      <c r="K917" s="179" t="n">
        <v>22320975791</v>
      </c>
      <c r="L917" s="179" t="n">
        <v>33481463687</v>
      </c>
    </row>
    <row r="918" ht="15" customHeight="1" s="95">
      <c r="A918" s="143" t="n">
        <v>44747</v>
      </c>
      <c r="B918" s="146" t="n">
        <v>1.001907</v>
      </c>
      <c r="C918" s="179" t="n">
        <v>55965537332</v>
      </c>
      <c r="D918" s="179" t="n">
        <v>55858992567</v>
      </c>
      <c r="E918" s="146" t="n">
        <v>0.999797</v>
      </c>
      <c r="F918" s="179" t="n">
        <v>66068105560</v>
      </c>
      <c r="G918" s="179" t="n">
        <v>66081540012</v>
      </c>
      <c r="H918" s="179">
        <f>IFERROR(D918+G918,D918)</f>
        <v/>
      </c>
      <c r="I918" s="184">
        <f>IFERROR(D918/H918,"")</f>
        <v/>
      </c>
      <c r="J918" s="179" t="n">
        <v>11171798513</v>
      </c>
      <c r="K918" s="179" t="n">
        <v>22343597027</v>
      </c>
      <c r="L918" s="179" t="n">
        <v>33515395540</v>
      </c>
    </row>
    <row r="919" ht="15" customHeight="1" s="95">
      <c r="A919" s="143" t="n">
        <v>44748</v>
      </c>
      <c r="B919" s="146" t="n">
        <v>1.001439</v>
      </c>
      <c r="C919" s="179" t="n">
        <v>55902560070</v>
      </c>
      <c r="D919" s="179" t="n">
        <v>55822247609</v>
      </c>
      <c r="E919" s="146" t="n">
        <v>0.998911</v>
      </c>
      <c r="F919" s="179" t="n">
        <v>65971651201</v>
      </c>
      <c r="G919" s="179" t="n">
        <v>66043540012</v>
      </c>
      <c r="H919" s="179">
        <f>IFERROR(D919+G919,D919)</f>
        <v/>
      </c>
      <c r="I919" s="184">
        <f>IFERROR(D919/H919,"")</f>
        <v/>
      </c>
      <c r="J919" s="179" t="n">
        <v>11164449522</v>
      </c>
      <c r="K919" s="179" t="n">
        <v>22328899044</v>
      </c>
      <c r="L919" s="179" t="n">
        <v>33493348565</v>
      </c>
    </row>
    <row r="920" ht="15" customHeight="1" s="95">
      <c r="A920" s="143" t="n">
        <v>44749</v>
      </c>
      <c r="B920" s="146" t="n">
        <v>1.001075</v>
      </c>
      <c r="C920" s="179" t="n">
        <v>55666378875</v>
      </c>
      <c r="D920" s="179" t="n">
        <v>55606597175</v>
      </c>
      <c r="E920" s="146" t="n">
        <v>0.999461</v>
      </c>
      <c r="F920" s="179" t="n">
        <v>65985847014</v>
      </c>
      <c r="G920" s="179" t="n">
        <v>66021435386</v>
      </c>
      <c r="H920" s="179">
        <f>IFERROR(D920+G920,D920)</f>
        <v/>
      </c>
      <c r="I920" s="184">
        <f>IFERROR(D920/H920,"")</f>
        <v/>
      </c>
      <c r="J920" s="179" t="n">
        <v>11121319435</v>
      </c>
      <c r="K920" s="179" t="n">
        <v>22242638870</v>
      </c>
      <c r="L920" s="179" t="n">
        <v>33363958305</v>
      </c>
    </row>
    <row r="921" ht="15" customHeight="1" s="95">
      <c r="A921" s="143" t="n">
        <v>44750</v>
      </c>
      <c r="B921" s="146" t="n">
        <v>1.001752</v>
      </c>
      <c r="C921" s="179" t="n">
        <v>55457611328</v>
      </c>
      <c r="D921" s="179" t="n">
        <v>55360633483</v>
      </c>
      <c r="E921" s="146" t="n">
        <v>1.000928</v>
      </c>
      <c r="F921" s="179" t="n">
        <v>66058697133</v>
      </c>
      <c r="G921" s="179" t="n">
        <v>65997445626</v>
      </c>
      <c r="H921" s="179">
        <f>IFERROR(D921+G921,D921)</f>
        <v/>
      </c>
      <c r="I921" s="184">
        <f>IFERROR(D921/H921,"")</f>
        <v/>
      </c>
      <c r="J921" s="179" t="n">
        <v>11072126697</v>
      </c>
      <c r="K921" s="179" t="n">
        <v>22144253393</v>
      </c>
      <c r="L921" s="179" t="n">
        <v>33216380090</v>
      </c>
    </row>
    <row r="922" ht="15" customHeight="1" s="95">
      <c r="A922" s="143" t="n">
        <v>44751</v>
      </c>
      <c r="B922" s="146" t="n">
        <v>1.00371</v>
      </c>
      <c r="C922" s="179" t="n">
        <v>55451756130</v>
      </c>
      <c r="D922" s="179" t="n">
        <v>55246800623</v>
      </c>
      <c r="E922" s="146" t="n">
        <v>1.002875</v>
      </c>
      <c r="F922" s="179" t="n">
        <v>66180636451</v>
      </c>
      <c r="G922" s="179" t="n">
        <v>65990930061</v>
      </c>
      <c r="H922" s="179">
        <f>IFERROR(D922+G922,D922)</f>
        <v/>
      </c>
      <c r="I922" s="184">
        <f>IFERROR(D922/H922,"")</f>
        <v/>
      </c>
      <c r="J922" s="179" t="n">
        <v>11049360125</v>
      </c>
      <c r="K922" s="179" t="n">
        <v>22098720249</v>
      </c>
      <c r="L922" s="179" t="n">
        <v>33148080374</v>
      </c>
    </row>
    <row r="923" ht="15" customHeight="1" s="95">
      <c r="A923" s="143" t="n">
        <v>44752</v>
      </c>
      <c r="B923" s="146" t="n">
        <v>1.000352</v>
      </c>
      <c r="C923" s="179" t="n">
        <v>55553592501</v>
      </c>
      <c r="D923" s="179" t="n">
        <v>55534039566</v>
      </c>
      <c r="E923" s="146" t="n">
        <v>1.000933</v>
      </c>
      <c r="F923" s="179" t="n">
        <v>66001881637</v>
      </c>
      <c r="G923" s="179" t="n">
        <v>65940382624</v>
      </c>
      <c r="H923" s="179">
        <f>IFERROR(D923+G923,D923)</f>
        <v/>
      </c>
      <c r="I923" s="184">
        <f>IFERROR(D923/H923,"")</f>
        <v/>
      </c>
      <c r="J923" s="179" t="n">
        <v>11106807913</v>
      </c>
      <c r="K923" s="179" t="n">
        <v>22213615826</v>
      </c>
      <c r="L923" s="179" t="n">
        <v>33320423740</v>
      </c>
    </row>
    <row r="924" ht="15" customHeight="1" s="95">
      <c r="A924" s="143" t="n">
        <v>44753</v>
      </c>
      <c r="B924" s="146" t="n">
        <v>1.000556</v>
      </c>
      <c r="C924" s="179" t="n">
        <v>55460735369</v>
      </c>
      <c r="D924" s="179" t="n">
        <v>55429889420</v>
      </c>
      <c r="E924" s="146" t="n">
        <v>1.000057</v>
      </c>
      <c r="F924" s="179" t="n">
        <v>65994672794</v>
      </c>
      <c r="G924" s="179" t="n">
        <v>65990930061</v>
      </c>
      <c r="H924" s="179">
        <f>IFERROR(D924+G924,D924)</f>
        <v/>
      </c>
      <c r="I924" s="184">
        <f>IFERROR(D924/H924,"")</f>
        <v/>
      </c>
      <c r="J924" s="179" t="n">
        <v>11085977884</v>
      </c>
      <c r="K924" s="179" t="n">
        <v>22171955768</v>
      </c>
      <c r="L924" s="179" t="n">
        <v>33257933652</v>
      </c>
    </row>
    <row r="925" ht="15" customHeight="1" s="95">
      <c r="A925" s="143" t="n">
        <v>44754</v>
      </c>
      <c r="B925" s="146" t="n">
        <v>1.000042</v>
      </c>
      <c r="C925" s="179" t="n">
        <v>55503183941</v>
      </c>
      <c r="D925" s="179" t="n">
        <v>55500835888</v>
      </c>
      <c r="E925" s="146" t="n">
        <v>1.000215</v>
      </c>
      <c r="F925" s="179" t="n">
        <v>65967920675</v>
      </c>
      <c r="G925" s="179" t="n">
        <v>65953740038</v>
      </c>
      <c r="H925" s="179">
        <f>IFERROR(D925+G925,D925)</f>
        <v/>
      </c>
      <c r="I925" s="184">
        <f>IFERROR(D925/H925,"")</f>
        <v/>
      </c>
      <c r="J925" s="179" t="n">
        <v>11100167178</v>
      </c>
      <c r="K925" s="179" t="n">
        <v>22200334355</v>
      </c>
      <c r="L925" s="179" t="n">
        <v>33300501533</v>
      </c>
    </row>
    <row r="926" ht="15" customHeight="1" s="95">
      <c r="A926" s="143" t="n">
        <v>44755</v>
      </c>
      <c r="B926" s="146" t="n">
        <v>1.001518</v>
      </c>
      <c r="C926" s="179" t="n">
        <v>55307053640</v>
      </c>
      <c r="D926" s="179" t="n">
        <v>55223247415</v>
      </c>
      <c r="E926" s="146" t="n">
        <v>1.000547</v>
      </c>
      <c r="F926" s="179" t="n">
        <v>65924529650</v>
      </c>
      <c r="G926" s="179" t="n">
        <v>65888479208</v>
      </c>
      <c r="H926" s="179">
        <f>IFERROR(D926+G926,D926)</f>
        <v/>
      </c>
      <c r="I926" s="184">
        <f>IFERROR(D926/H926,"")</f>
        <v/>
      </c>
      <c r="J926" s="179" t="n">
        <v>11044649483</v>
      </c>
      <c r="K926" s="179" t="n">
        <v>22089298966</v>
      </c>
      <c r="L926" s="179" t="n">
        <v>33133948449</v>
      </c>
    </row>
    <row r="927" ht="15" customHeight="1" s="95">
      <c r="A927" s="143" t="n">
        <v>44756</v>
      </c>
      <c r="B927" s="146" t="n">
        <v>1.001284</v>
      </c>
      <c r="C927" s="179" t="n">
        <v>55471635119</v>
      </c>
      <c r="D927" s="179" t="n">
        <v>55400508274</v>
      </c>
      <c r="E927" s="146" t="n">
        <v>1.000793</v>
      </c>
      <c r="F927" s="179" t="n">
        <v>66037742419</v>
      </c>
      <c r="G927" s="179" t="n">
        <v>65985441880</v>
      </c>
      <c r="H927" s="179">
        <f>IFERROR(D927+G927,D927)</f>
        <v/>
      </c>
      <c r="I927" s="184">
        <f>IFERROR(D927/H927,"")</f>
        <v/>
      </c>
      <c r="J927" s="179" t="n">
        <v>11080101655</v>
      </c>
      <c r="K927" s="179" t="n">
        <v>22160203310</v>
      </c>
      <c r="L927" s="179" t="n">
        <v>33240304964</v>
      </c>
    </row>
    <row r="928" ht="15" customHeight="1" s="95">
      <c r="A928" s="143" t="n">
        <v>44757</v>
      </c>
      <c r="B928" s="146" t="n">
        <v>1.001561</v>
      </c>
      <c r="C928" s="179" t="n">
        <v>55299310302</v>
      </c>
      <c r="D928" s="179" t="n">
        <v>55213149699</v>
      </c>
      <c r="E928" s="146" t="n">
        <v>0.999892</v>
      </c>
      <c r="F928" s="179" t="n">
        <v>65822635783</v>
      </c>
      <c r="G928" s="179" t="n">
        <v>65829715984</v>
      </c>
      <c r="H928" s="179">
        <f>IFERROR(D928+G928,D928)</f>
        <v/>
      </c>
      <c r="I928" s="184">
        <f>IFERROR(D928/H928,"")</f>
        <v/>
      </c>
      <c r="J928" s="179" t="n">
        <v>11042629940</v>
      </c>
      <c r="K928" s="179" t="n">
        <v>22085259880</v>
      </c>
      <c r="L928" s="179" t="n">
        <v>33127889819</v>
      </c>
    </row>
    <row r="929" ht="15" customHeight="1" s="95">
      <c r="A929" s="143" t="n">
        <v>44758</v>
      </c>
      <c r="B929" s="146" t="n">
        <v>0.999588</v>
      </c>
      <c r="C929" s="179" t="n">
        <v>54746590063</v>
      </c>
      <c r="D929" s="179" t="n">
        <v>54769154363</v>
      </c>
      <c r="E929" s="146" t="n">
        <v>0.998133</v>
      </c>
      <c r="F929" s="179" t="n">
        <v>65773604144</v>
      </c>
      <c r="G929" s="179" t="n">
        <v>65896642628</v>
      </c>
      <c r="H929" s="179">
        <f>IFERROR(D929+G929,D929)</f>
        <v/>
      </c>
      <c r="I929" s="184">
        <f>IFERROR(D929/H929,"")</f>
        <v/>
      </c>
      <c r="J929" s="179" t="n">
        <v>10953830873</v>
      </c>
      <c r="K929" s="179" t="n">
        <v>21907661745</v>
      </c>
      <c r="L929" s="179" t="n">
        <v>32861492618</v>
      </c>
    </row>
    <row r="930" ht="15" customHeight="1" s="95">
      <c r="A930" s="143" t="n">
        <v>44759</v>
      </c>
      <c r="B930" s="146" t="n">
        <v>1.000113</v>
      </c>
      <c r="C930" s="179" t="n">
        <v>54834591386</v>
      </c>
      <c r="D930" s="179" t="n">
        <v>54828395965</v>
      </c>
      <c r="E930" s="146" t="n">
        <v>0.9995889999999999</v>
      </c>
      <c r="F930" s="179" t="n">
        <v>65849217963</v>
      </c>
      <c r="G930" s="179" t="n">
        <v>65876317670</v>
      </c>
      <c r="H930" s="179">
        <f>IFERROR(D930+G930,D930)</f>
        <v/>
      </c>
      <c r="I930" s="184">
        <f>IFERROR(D930/H930,"")</f>
        <v/>
      </c>
      <c r="J930" s="179" t="n">
        <v>10965679193</v>
      </c>
      <c r="K930" s="179" t="n">
        <v>21931358386</v>
      </c>
      <c r="L930" s="179" t="n">
        <v>32897037579</v>
      </c>
    </row>
    <row r="931" ht="15" customHeight="1" s="95">
      <c r="A931" s="143" t="n">
        <v>44760</v>
      </c>
      <c r="B931" s="146" t="n">
        <v>1.001542</v>
      </c>
      <c r="C931" s="179" t="n">
        <v>54898002728</v>
      </c>
      <c r="D931" s="179" t="n">
        <v>54813461278</v>
      </c>
      <c r="E931" s="146" t="n">
        <v>0.999603</v>
      </c>
      <c r="F931" s="179" t="n">
        <v>65850178575</v>
      </c>
      <c r="G931" s="179" t="n">
        <v>65876317670</v>
      </c>
      <c r="H931" s="179">
        <f>IFERROR(D931+G931,D931)</f>
        <v/>
      </c>
      <c r="I931" s="184">
        <f>IFERROR(D931/H931,"")</f>
        <v/>
      </c>
      <c r="J931" s="179" t="n">
        <v>10962692256</v>
      </c>
      <c r="K931" s="179" t="n">
        <v>21925384511</v>
      </c>
      <c r="L931" s="179" t="n">
        <v>32888076767</v>
      </c>
    </row>
    <row r="932" ht="15" customHeight="1" s="95">
      <c r="A932" s="143" t="n">
        <v>44761</v>
      </c>
      <c r="B932" s="146" t="n">
        <v>1.000184</v>
      </c>
      <c r="C932" s="179" t="n">
        <v>54874165484</v>
      </c>
      <c r="D932" s="179" t="n">
        <v>54864046603</v>
      </c>
      <c r="E932" s="146" t="n">
        <v>1.001981</v>
      </c>
      <c r="F932" s="179" t="n">
        <v>65849963622</v>
      </c>
      <c r="G932" s="179" t="n">
        <v>65719785041</v>
      </c>
      <c r="H932" s="179">
        <f>IFERROR(D932+G932,D932)</f>
        <v/>
      </c>
      <c r="I932" s="184">
        <f>IFERROR(D932/H932,"")</f>
        <v/>
      </c>
      <c r="J932" s="179" t="n">
        <v>10972809321</v>
      </c>
      <c r="K932" s="179" t="n">
        <v>21945618641</v>
      </c>
      <c r="L932" s="179" t="n">
        <v>32918427962</v>
      </c>
    </row>
    <row r="933" ht="15" customHeight="1" s="95">
      <c r="A933" s="143" t="n">
        <v>44762</v>
      </c>
      <c r="B933" s="146" t="n">
        <v>0.9993339999999999</v>
      </c>
      <c r="C933" s="179" t="n">
        <v>54830779475</v>
      </c>
      <c r="D933" s="179" t="n">
        <v>54867315413</v>
      </c>
      <c r="E933" s="146" t="n">
        <v>0.999931</v>
      </c>
      <c r="F933" s="179" t="n">
        <v>65918469156</v>
      </c>
      <c r="G933" s="179" t="n">
        <v>65923005295</v>
      </c>
      <c r="H933" s="179">
        <f>IFERROR(D933+G933,D933)</f>
        <v/>
      </c>
      <c r="I933" s="184">
        <f>IFERROR(D933/H933,"")</f>
        <v/>
      </c>
      <c r="J933" s="179" t="n">
        <v>10973463083</v>
      </c>
      <c r="K933" s="179" t="n">
        <v>21946926165</v>
      </c>
      <c r="L933" s="179" t="n">
        <v>32920389248</v>
      </c>
    </row>
    <row r="934" ht="15" customHeight="1" s="95">
      <c r="A934" s="143" t="n">
        <v>44763</v>
      </c>
      <c r="B934" s="146" t="n">
        <v>0.995045</v>
      </c>
      <c r="C934" s="179" t="n">
        <v>54793379074</v>
      </c>
      <c r="D934" s="179" t="n">
        <v>55066241465</v>
      </c>
      <c r="E934" s="146" t="n">
        <v>1.000247</v>
      </c>
      <c r="F934" s="179" t="n">
        <v>65892597498</v>
      </c>
      <c r="G934" s="179" t="n">
        <v>65876317670</v>
      </c>
      <c r="H934" s="179">
        <f>IFERROR(D934+G934,D934)</f>
        <v/>
      </c>
      <c r="I934" s="184">
        <f>IFERROR(D934/H934,"")</f>
        <v/>
      </c>
      <c r="J934" s="179" t="n">
        <v>11013248293</v>
      </c>
      <c r="K934" s="179" t="n">
        <v>22026496586</v>
      </c>
      <c r="L934" s="179" t="n">
        <v>33039744879</v>
      </c>
    </row>
    <row r="935" ht="15" customHeight="1" s="95">
      <c r="A935" s="143" t="n">
        <v>44764</v>
      </c>
      <c r="B935" s="146" t="n">
        <v>1.000184</v>
      </c>
      <c r="C935" s="179" t="n">
        <v>55019913818</v>
      </c>
      <c r="D935" s="179" t="n">
        <v>55009771591</v>
      </c>
      <c r="E935" s="146" t="n">
        <v>0.999738</v>
      </c>
      <c r="F935" s="179" t="n">
        <v>65951824235</v>
      </c>
      <c r="G935" s="179" t="n">
        <v>65969091012</v>
      </c>
      <c r="H935" s="179">
        <f>IFERROR(D935+G935,D935)</f>
        <v/>
      </c>
      <c r="I935" s="184">
        <f>IFERROR(D935/H935,"")</f>
        <v/>
      </c>
      <c r="J935" s="179" t="n">
        <v>11001954318</v>
      </c>
      <c r="K935" s="179" t="n">
        <v>22003908636</v>
      </c>
      <c r="L935" s="179" t="n">
        <v>33005862955</v>
      </c>
    </row>
    <row r="936" ht="15" customHeight="1" s="95">
      <c r="A936" s="143" t="n">
        <v>44765</v>
      </c>
      <c r="B936" s="146" t="n">
        <v>1.000698</v>
      </c>
      <c r="C936" s="179" t="n">
        <v>54906314484</v>
      </c>
      <c r="D936" s="179" t="n">
        <v>54868006927</v>
      </c>
      <c r="E936" s="146" t="n">
        <v>1.00025</v>
      </c>
      <c r="F936" s="179" t="n">
        <v>65854001213</v>
      </c>
      <c r="G936" s="179" t="n">
        <v>65837566134</v>
      </c>
      <c r="H936" s="179">
        <f>IFERROR(D936+G936,D936)</f>
        <v/>
      </c>
      <c r="I936" s="184">
        <f>IFERROR(D936/H936,"")</f>
        <v/>
      </c>
      <c r="J936" s="179" t="n">
        <v>10973601385</v>
      </c>
      <c r="K936" s="179" t="n">
        <v>21947202771</v>
      </c>
      <c r="L936" s="179" t="n">
        <v>32920804156</v>
      </c>
    </row>
    <row r="937" ht="15" customHeight="1" s="95">
      <c r="A937" s="143" t="n">
        <v>44766</v>
      </c>
      <c r="B937" s="146" t="n">
        <v>1.001193</v>
      </c>
      <c r="C937" s="179" t="n">
        <v>55149837928</v>
      </c>
      <c r="D937" s="179" t="n">
        <v>55084117447</v>
      </c>
      <c r="E937" s="146" t="n">
        <v>1.001796</v>
      </c>
      <c r="F937" s="179" t="n">
        <v>65941857078</v>
      </c>
      <c r="G937" s="179" t="n">
        <v>65823617780</v>
      </c>
      <c r="H937" s="179">
        <f>IFERROR(D937+G937,D937)</f>
        <v/>
      </c>
      <c r="I937" s="184">
        <f>IFERROR(D937/H937,"")</f>
        <v/>
      </c>
      <c r="J937" s="179" t="n">
        <v>11016823489</v>
      </c>
      <c r="K937" s="179" t="n">
        <v>22033646979</v>
      </c>
      <c r="L937" s="179" t="n">
        <v>33050470468</v>
      </c>
    </row>
    <row r="938" ht="15" customHeight="1" s="95">
      <c r="A938" s="143" t="n">
        <v>44767</v>
      </c>
      <c r="B938" s="146" t="n">
        <v>0.998494</v>
      </c>
      <c r="C938" s="179" t="n">
        <v>55180646381</v>
      </c>
      <c r="D938" s="179" t="n">
        <v>55263860003</v>
      </c>
      <c r="E938" s="146" t="n">
        <v>0.999947</v>
      </c>
      <c r="F938" s="179" t="n">
        <v>66009063586</v>
      </c>
      <c r="G938" s="179" t="n">
        <v>66012556779</v>
      </c>
      <c r="H938" s="179">
        <f>IFERROR(D938+G938,D938)</f>
        <v/>
      </c>
      <c r="I938" s="184">
        <f>IFERROR(D938/H938,"")</f>
        <v/>
      </c>
      <c r="J938" s="179" t="n">
        <v>11052772001</v>
      </c>
      <c r="K938" s="179" t="n">
        <v>22105544001</v>
      </c>
      <c r="L938" s="179" t="n">
        <v>33158316002</v>
      </c>
    </row>
    <row r="939" ht="15" customHeight="1" s="95">
      <c r="A939" s="143" t="n">
        <v>44768</v>
      </c>
      <c r="B939" s="146" t="n">
        <v>1.002723</v>
      </c>
      <c r="C939" s="179" t="n">
        <v>55205872053</v>
      </c>
      <c r="D939" s="179" t="n">
        <v>55055972150</v>
      </c>
      <c r="E939" s="146" t="n">
        <v>1.001909</v>
      </c>
      <c r="F939" s="179" t="n">
        <v>66109067857</v>
      </c>
      <c r="G939" s="179" t="n">
        <v>65983081032</v>
      </c>
      <c r="H939" s="179">
        <f>IFERROR(D939+G939,D939)</f>
        <v/>
      </c>
      <c r="I939" s="184">
        <f>IFERROR(D939/H939,"")</f>
        <v/>
      </c>
      <c r="J939" s="179" t="n">
        <v>11011194430</v>
      </c>
      <c r="K939" s="179" t="n">
        <v>22022388860</v>
      </c>
      <c r="L939" s="179" t="n">
        <v>33033583290</v>
      </c>
    </row>
    <row r="940" ht="15" customHeight="1" s="95">
      <c r="A940" s="143" t="n">
        <v>44769</v>
      </c>
      <c r="B940" s="146" t="n">
        <v>1.000248</v>
      </c>
      <c r="C940" s="179" t="n">
        <v>55166381187</v>
      </c>
      <c r="D940" s="179" t="n">
        <v>55152728297</v>
      </c>
      <c r="E940" s="146" t="n">
        <v>1.001113</v>
      </c>
      <c r="F940" s="179" t="n">
        <v>65949619909</v>
      </c>
      <c r="G940" s="179" t="n">
        <v>65876317670</v>
      </c>
      <c r="H940" s="179">
        <f>IFERROR(D940+G940,D940)</f>
        <v/>
      </c>
      <c r="I940" s="184">
        <f>IFERROR(D940/H940,"")</f>
        <v/>
      </c>
      <c r="J940" s="179" t="n">
        <v>11030545659</v>
      </c>
      <c r="K940" s="179" t="n">
        <v>22061091319</v>
      </c>
      <c r="L940" s="179" t="n">
        <v>33091636978</v>
      </c>
    </row>
    <row r="941" ht="15" customHeight="1" s="95">
      <c r="A941" s="143" t="n">
        <v>44770</v>
      </c>
      <c r="B941" s="146" t="n">
        <v>1.000709</v>
      </c>
      <c r="C941" s="179" t="n">
        <v>55102333941</v>
      </c>
      <c r="D941" s="179" t="n">
        <v>55063278745</v>
      </c>
      <c r="E941" s="146" t="n">
        <v>0.999395</v>
      </c>
      <c r="F941" s="179" t="n">
        <v>65938951130</v>
      </c>
      <c r="G941" s="179" t="n">
        <v>65978897495</v>
      </c>
      <c r="H941" s="179">
        <f>IFERROR(D941+G941,D941)</f>
        <v/>
      </c>
      <c r="I941" s="184">
        <f>IFERROR(D941/H941,"")</f>
        <v/>
      </c>
      <c r="J941" s="179" t="n">
        <v>11012655749</v>
      </c>
      <c r="K941" s="179" t="n">
        <v>22025311498</v>
      </c>
      <c r="L941" s="179" t="n">
        <v>33037967247</v>
      </c>
    </row>
    <row r="942" ht="15" customHeight="1" s="95">
      <c r="A942" s="143" t="n">
        <v>44771</v>
      </c>
      <c r="B942" s="146" t="n">
        <v>1.002497</v>
      </c>
      <c r="C942" s="179" t="n">
        <v>54807696396</v>
      </c>
      <c r="D942" s="179" t="n">
        <v>54671155494</v>
      </c>
      <c r="E942" s="146" t="n">
        <v>0.999281</v>
      </c>
      <c r="F942" s="179" t="n">
        <v>65896189151</v>
      </c>
      <c r="G942" s="179" t="n">
        <v>65943613966</v>
      </c>
      <c r="H942" s="179">
        <f>IFERROR(D942+G942,D942)</f>
        <v/>
      </c>
      <c r="I942" s="184">
        <f>IFERROR(D942/H942,"")</f>
        <v/>
      </c>
      <c r="J942" s="179" t="n">
        <v>10934231099</v>
      </c>
      <c r="K942" s="179" t="n">
        <v>21868462198</v>
      </c>
      <c r="L942" s="179" t="n">
        <v>32802693296</v>
      </c>
    </row>
    <row r="943" ht="15" customHeight="1" s="95">
      <c r="A943" s="143" t="n">
        <v>44772</v>
      </c>
      <c r="B943" s="146" t="n">
        <v>0.999981</v>
      </c>
      <c r="C943" s="179" t="n">
        <v>54776435814</v>
      </c>
      <c r="D943" s="179" t="n">
        <v>54777470237</v>
      </c>
      <c r="E943" s="146" t="n">
        <v>1.000496</v>
      </c>
      <c r="F943" s="179" t="n">
        <v>66064247521</v>
      </c>
      <c r="G943" s="179" t="n">
        <v>66031516715</v>
      </c>
      <c r="H943" s="179">
        <f>IFERROR(D943+G943,D943)</f>
        <v/>
      </c>
      <c r="I943" s="184">
        <f>IFERROR(D943/H943,"")</f>
        <v/>
      </c>
      <c r="J943" s="179" t="n">
        <v>10955494047</v>
      </c>
      <c r="K943" s="179" t="n">
        <v>21910988095</v>
      </c>
      <c r="L943" s="179" t="n">
        <v>32866482142</v>
      </c>
    </row>
    <row r="944" ht="15" customHeight="1" s="95">
      <c r="A944" s="143" t="n">
        <v>44773</v>
      </c>
      <c r="B944" s="146" t="n">
        <v>1.000872</v>
      </c>
      <c r="C944" s="179" t="n">
        <v>54486021782</v>
      </c>
      <c r="D944" s="179" t="n">
        <v>54438544085</v>
      </c>
      <c r="E944" s="146" t="n">
        <v>1.000526</v>
      </c>
      <c r="F944" s="179" t="n">
        <v>65998757244</v>
      </c>
      <c r="G944" s="179" t="n">
        <v>65964063388</v>
      </c>
      <c r="H944" s="179">
        <f>IFERROR(D944+G944,D944)</f>
        <v/>
      </c>
      <c r="I944" s="184">
        <f>IFERROR(D944/H944,"")</f>
        <v/>
      </c>
      <c r="J944" s="179" t="n">
        <v>10887708817</v>
      </c>
      <c r="K944" s="179" t="n">
        <v>21775417634</v>
      </c>
      <c r="L944" s="179" t="n">
        <v>32663126451</v>
      </c>
    </row>
    <row r="945" ht="15" customHeight="1" s="95">
      <c r="A945" s="143" t="n">
        <v>44774</v>
      </c>
      <c r="B945" s="146" t="n">
        <v>0.999987</v>
      </c>
      <c r="C945" s="179" t="n">
        <v>54475694589</v>
      </c>
      <c r="D945" s="179" t="n">
        <v>54476382968</v>
      </c>
      <c r="E945" s="146" t="n">
        <v>1.001284</v>
      </c>
      <c r="F945" s="179" t="n">
        <v>65871066520</v>
      </c>
      <c r="G945" s="179" t="n">
        <v>65786574586</v>
      </c>
      <c r="H945" s="179">
        <f>IFERROR(D945+G945,D945)</f>
        <v/>
      </c>
      <c r="I945" s="184">
        <f>IFERROR(D945/H945,"")</f>
        <v/>
      </c>
      <c r="J945" s="179" t="n">
        <v>10895276594</v>
      </c>
      <c r="K945" s="179" t="n">
        <v>21790553187</v>
      </c>
      <c r="L945" s="179" t="n">
        <v>32685829781</v>
      </c>
    </row>
    <row r="946" ht="15" customHeight="1" s="95">
      <c r="A946" s="143" t="n">
        <v>44775</v>
      </c>
      <c r="B946" s="146" t="n">
        <v>1.001107</v>
      </c>
      <c r="C946" s="179" t="n">
        <v>54363171984</v>
      </c>
      <c r="D946" s="179" t="n">
        <v>54303044903</v>
      </c>
      <c r="E946" s="146" t="n">
        <v>1.00259</v>
      </c>
      <c r="F946" s="179" t="n">
        <v>65897271979</v>
      </c>
      <c r="G946" s="179" t="n">
        <v>65727035473</v>
      </c>
      <c r="H946" s="179">
        <f>IFERROR(D946+G946,D946)</f>
        <v/>
      </c>
      <c r="I946" s="184">
        <f>IFERROR(D946/H946,"")</f>
        <v/>
      </c>
      <c r="J946" s="179" t="n">
        <v>10860608981</v>
      </c>
      <c r="K946" s="179" t="n">
        <v>21721217961</v>
      </c>
      <c r="L946" s="179" t="n">
        <v>32581826942</v>
      </c>
    </row>
    <row r="947" ht="15" customHeight="1" s="95">
      <c r="A947" s="143" t="n">
        <v>44776</v>
      </c>
      <c r="B947" s="146" t="n">
        <v>0.998803</v>
      </c>
      <c r="C947" s="179" t="n">
        <v>54400868590</v>
      </c>
      <c r="D947" s="179" t="n">
        <v>54466069569</v>
      </c>
      <c r="E947" s="146" t="n">
        <v>1.002551</v>
      </c>
      <c r="F947" s="179" t="n">
        <v>65946593628</v>
      </c>
      <c r="G947" s="179" t="n">
        <v>65778784260</v>
      </c>
      <c r="H947" s="179">
        <f>IFERROR(D947+G947,D947)</f>
        <v/>
      </c>
      <c r="I947" s="184">
        <f>IFERROR(D947/H947,"")</f>
        <v/>
      </c>
      <c r="J947" s="179" t="n">
        <v>10893213914</v>
      </c>
      <c r="K947" s="179" t="n">
        <v>21786427828</v>
      </c>
      <c r="L947" s="179" t="n">
        <v>32679641741</v>
      </c>
    </row>
    <row r="948" ht="15" customHeight="1" s="95">
      <c r="A948" s="143" t="n">
        <v>44777</v>
      </c>
      <c r="B948" s="146" t="n">
        <v>1.002047</v>
      </c>
      <c r="C948" s="179" t="n">
        <v>54392871105</v>
      </c>
      <c r="D948" s="179" t="n">
        <v>54281734981</v>
      </c>
      <c r="E948" s="146" t="n">
        <v>1.001367</v>
      </c>
      <c r="F948" s="179" t="n">
        <v>66048905466</v>
      </c>
      <c r="G948" s="179" t="n">
        <v>65958723735</v>
      </c>
      <c r="H948" s="179">
        <f>IFERROR(D948+G948,D948)</f>
        <v/>
      </c>
      <c r="I948" s="184">
        <f>IFERROR(D948/H948,"")</f>
        <v/>
      </c>
      <c r="J948" s="179" t="n">
        <v>10856346996</v>
      </c>
      <c r="K948" s="179" t="n">
        <v>21712693992</v>
      </c>
      <c r="L948" s="179" t="n">
        <v>32569040989</v>
      </c>
    </row>
    <row r="949" ht="15" customHeight="1" s="95">
      <c r="A949" s="143" t="n">
        <v>44778</v>
      </c>
      <c r="B949" s="146" t="n">
        <v>1.001508</v>
      </c>
      <c r="C949" s="179" t="n">
        <v>54163409630</v>
      </c>
      <c r="D949" s="179" t="n">
        <v>54081846132</v>
      </c>
      <c r="E949" s="146" t="n">
        <v>1.001374</v>
      </c>
      <c r="F949" s="179" t="n">
        <v>65884052340</v>
      </c>
      <c r="G949" s="179" t="n">
        <v>65793656294</v>
      </c>
      <c r="H949" s="179">
        <f>IFERROR(D949+G949,D949)</f>
        <v/>
      </c>
      <c r="I949" s="184">
        <f>IFERROR(D949/H949,"")</f>
        <v/>
      </c>
      <c r="J949" s="179" t="n">
        <v>10816369226</v>
      </c>
      <c r="K949" s="179" t="n">
        <v>21632738453</v>
      </c>
      <c r="L949" s="179" t="n">
        <v>32449107679</v>
      </c>
    </row>
    <row r="950" ht="15" customHeight="1" s="95">
      <c r="A950" s="143" t="n">
        <v>44779</v>
      </c>
      <c r="B950" s="146" t="n">
        <v>1.000944</v>
      </c>
      <c r="C950" s="179" t="n">
        <v>54288769568</v>
      </c>
      <c r="D950" s="179" t="n">
        <v>54237554833</v>
      </c>
      <c r="E950" s="146" t="n">
        <v>1.000874</v>
      </c>
      <c r="F950" s="179" t="n">
        <v>65906913334</v>
      </c>
      <c r="G950" s="179" t="n">
        <v>65849388809</v>
      </c>
      <c r="H950" s="179">
        <f>IFERROR(D950+G950,D950)</f>
        <v/>
      </c>
      <c r="I950" s="184">
        <f>IFERROR(D950/H950,"")</f>
        <v/>
      </c>
      <c r="J950" s="179" t="n">
        <v>10847510967</v>
      </c>
      <c r="K950" s="179" t="n">
        <v>21695021933</v>
      </c>
      <c r="L950" s="179" t="n">
        <v>32542532900</v>
      </c>
    </row>
    <row r="951" ht="15" customHeight="1" s="95">
      <c r="A951" s="143" t="n">
        <v>44780</v>
      </c>
      <c r="B951" s="146" t="n">
        <v>1.000636</v>
      </c>
      <c r="C951" s="179" t="n">
        <v>54298760703</v>
      </c>
      <c r="D951" s="179" t="n">
        <v>54264267302</v>
      </c>
      <c r="E951" s="146" t="n">
        <v>1.00091</v>
      </c>
      <c r="F951" s="179" t="n">
        <v>65935699280</v>
      </c>
      <c r="G951" s="179" t="n">
        <v>65875781994</v>
      </c>
      <c r="H951" s="179">
        <f>IFERROR(D951+G951,D951)</f>
        <v/>
      </c>
      <c r="I951" s="184">
        <f>IFERROR(D951/H951,"")</f>
        <v/>
      </c>
      <c r="J951" s="179" t="n">
        <v>10852853460</v>
      </c>
      <c r="K951" s="179" t="n">
        <v>21705706921</v>
      </c>
      <c r="L951" s="179" t="n">
        <v>32558560381</v>
      </c>
    </row>
    <row r="952" ht="15" customHeight="1" s="95">
      <c r="A952" s="143" t="n">
        <v>44781</v>
      </c>
      <c r="B952" s="146" t="n">
        <v>0.999512</v>
      </c>
      <c r="C952" s="179" t="n">
        <v>54269365269</v>
      </c>
      <c r="D952" s="179" t="n">
        <v>54295837527</v>
      </c>
      <c r="E952" s="146" t="n">
        <v>1.000096</v>
      </c>
      <c r="F952" s="179" t="n">
        <v>65900531595</v>
      </c>
      <c r="G952" s="179" t="n">
        <v>65894237803</v>
      </c>
      <c r="H952" s="179">
        <f>IFERROR(D952+G952,D952)</f>
        <v/>
      </c>
      <c r="I952" s="184">
        <f>IFERROR(D952/H952,"")</f>
        <v/>
      </c>
      <c r="J952" s="179" t="n">
        <v>10859167505</v>
      </c>
      <c r="K952" s="179" t="n">
        <v>21718335011</v>
      </c>
      <c r="L952" s="179" t="n">
        <v>32577502516</v>
      </c>
    </row>
    <row r="953" ht="15" customHeight="1" s="95">
      <c r="A953" s="143" t="n">
        <v>44782</v>
      </c>
      <c r="B953" s="146" t="n">
        <v>1.000898</v>
      </c>
      <c r="C953" s="179" t="n">
        <v>54212233071</v>
      </c>
      <c r="D953" s="179" t="n">
        <v>54163603827</v>
      </c>
      <c r="E953" s="146" t="n">
        <v>1.001618</v>
      </c>
      <c r="F953" s="179" t="n">
        <v>66588298054</v>
      </c>
      <c r="G953" s="179" t="n">
        <v>66480722905</v>
      </c>
      <c r="H953" s="179">
        <f>IFERROR(D953+G953,D953)</f>
        <v/>
      </c>
      <c r="I953" s="184">
        <f>IFERROR(D953/H953,"")</f>
        <v/>
      </c>
      <c r="J953" s="179" t="n">
        <v>10832720765</v>
      </c>
      <c r="K953" s="179" t="n">
        <v>21665441531</v>
      </c>
      <c r="L953" s="179" t="n">
        <v>32498162296</v>
      </c>
    </row>
    <row r="954" ht="15" customHeight="1" s="95">
      <c r="A954" s="143" t="n">
        <v>44783</v>
      </c>
      <c r="B954" s="146" t="n">
        <v>1.002953</v>
      </c>
      <c r="C954" s="179" t="n">
        <v>54162812659</v>
      </c>
      <c r="D954" s="179" t="n">
        <v>54003360699</v>
      </c>
      <c r="E954" s="146" t="n">
        <v>1.002064</v>
      </c>
      <c r="F954" s="179" t="n">
        <v>66643782686</v>
      </c>
      <c r="G954" s="179" t="n">
        <v>66506484573</v>
      </c>
      <c r="H954" s="179">
        <f>IFERROR(D954+G954,D954)</f>
        <v/>
      </c>
      <c r="I954" s="184">
        <f>IFERROR(D954/H954,"")</f>
        <v/>
      </c>
      <c r="J954" s="179" t="n">
        <v>10800672140</v>
      </c>
      <c r="K954" s="179" t="n">
        <v>21601344280</v>
      </c>
      <c r="L954" s="179" t="n">
        <v>32402016419</v>
      </c>
    </row>
    <row r="955" ht="15" customHeight="1" s="95">
      <c r="A955" s="143" t="n">
        <v>44784</v>
      </c>
      <c r="B955" s="146" t="n">
        <v>1.00051</v>
      </c>
      <c r="C955" s="179" t="n">
        <v>53941490099</v>
      </c>
      <c r="D955" s="179" t="n">
        <v>53913992743</v>
      </c>
      <c r="E955" s="146" t="n">
        <v>1.000595</v>
      </c>
      <c r="F955" s="179" t="n">
        <v>66824158933</v>
      </c>
      <c r="G955" s="179" t="n">
        <v>66784399147</v>
      </c>
      <c r="H955" s="179">
        <f>IFERROR(D955+G955,D955)</f>
        <v/>
      </c>
      <c r="I955" s="184">
        <f>IFERROR(D955/H955,"")</f>
        <v/>
      </c>
      <c r="J955" s="179" t="n">
        <v>10782798549</v>
      </c>
      <c r="K955" s="179" t="n">
        <v>21565597097</v>
      </c>
      <c r="L955" s="179" t="n">
        <v>32348395646</v>
      </c>
    </row>
    <row r="956" ht="15" customHeight="1" s="95">
      <c r="A956" s="143" t="n">
        <v>44785</v>
      </c>
      <c r="B956" s="146" t="n">
        <v>0.999959</v>
      </c>
      <c r="C956" s="179" t="n">
        <v>53838264961</v>
      </c>
      <c r="D956" s="179" t="n">
        <v>53840467495</v>
      </c>
      <c r="E956" s="146" t="n">
        <v>0.999916</v>
      </c>
      <c r="F956" s="179" t="n">
        <v>66803034990</v>
      </c>
      <c r="G956" s="179" t="n">
        <v>66808678543</v>
      </c>
      <c r="H956" s="179">
        <f>IFERROR(D956+G956,D956)</f>
        <v/>
      </c>
      <c r="I956" s="184">
        <f>IFERROR(D956/H956,"")</f>
        <v/>
      </c>
      <c r="J956" s="179" t="n">
        <v>10768093499</v>
      </c>
      <c r="K956" s="179" t="n">
        <v>21536186998</v>
      </c>
      <c r="L956" s="179" t="n">
        <v>32304280497</v>
      </c>
    </row>
    <row r="957" ht="15" customHeight="1" s="95">
      <c r="A957" s="143" t="n">
        <v>44786</v>
      </c>
      <c r="B957" s="146" t="n">
        <v>1.000885</v>
      </c>
      <c r="C957" s="179" t="n">
        <v>53922771547</v>
      </c>
      <c r="D957" s="179" t="n">
        <v>53875095229</v>
      </c>
      <c r="E957" s="146" t="n">
        <v>1.001999</v>
      </c>
      <c r="F957" s="179" t="n">
        <v>67033676582</v>
      </c>
      <c r="G957" s="179" t="n">
        <v>66899962685</v>
      </c>
      <c r="H957" s="179">
        <f>IFERROR(D957+G957,D957)</f>
        <v/>
      </c>
      <c r="I957" s="184">
        <f>IFERROR(D957/H957,"")</f>
        <v/>
      </c>
      <c r="J957" s="179" t="n">
        <v>10775019046</v>
      </c>
      <c r="K957" s="179" t="n">
        <v>21550038092</v>
      </c>
      <c r="L957" s="179" t="n">
        <v>32325057137</v>
      </c>
    </row>
    <row r="958" ht="15" customHeight="1" s="95">
      <c r="A958" s="143" t="n">
        <v>44787</v>
      </c>
      <c r="B958" s="146" t="n">
        <v>1.001678</v>
      </c>
      <c r="C958" s="179" t="n">
        <v>53907543362</v>
      </c>
      <c r="D958" s="179" t="n">
        <v>53817220462</v>
      </c>
      <c r="E958" s="146" t="n">
        <v>1.000588</v>
      </c>
      <c r="F958" s="179" t="n">
        <v>67336058431</v>
      </c>
      <c r="G958" s="179" t="n">
        <v>67296488728</v>
      </c>
      <c r="H958" s="179">
        <f>IFERROR(D958+G958,D958)</f>
        <v/>
      </c>
      <c r="I958" s="184">
        <f>IFERROR(D958/H958,"")</f>
        <v/>
      </c>
      <c r="J958" s="179" t="n">
        <v>10763444092</v>
      </c>
      <c r="K958" s="179" t="n">
        <v>21526888185</v>
      </c>
      <c r="L958" s="179" t="n">
        <v>32290332277</v>
      </c>
    </row>
    <row r="959" ht="15" customHeight="1" s="95">
      <c r="A959" s="143" t="n">
        <v>44788</v>
      </c>
      <c r="B959" s="146" t="n">
        <v>0.999402</v>
      </c>
      <c r="C959" s="179" t="n">
        <v>53617936749</v>
      </c>
      <c r="D959" s="179" t="n">
        <v>53649992936</v>
      </c>
      <c r="E959" s="146" t="n">
        <v>0.999533</v>
      </c>
      <c r="F959" s="179" t="n">
        <v>67391244058</v>
      </c>
      <c r="G959" s="179" t="n">
        <v>67422720643</v>
      </c>
      <c r="H959" s="179">
        <f>IFERROR(D959+G959,D959)</f>
        <v/>
      </c>
      <c r="I959" s="184">
        <f>IFERROR(D959/H959,"")</f>
        <v/>
      </c>
      <c r="J959" s="179" t="n">
        <v>10729998587</v>
      </c>
      <c r="K959" s="179" t="n">
        <v>21459997174</v>
      </c>
      <c r="L959" s="179" t="n">
        <v>32189995762</v>
      </c>
    </row>
    <row r="960" ht="15" customHeight="1" s="95">
      <c r="A960" s="143" t="n">
        <v>44789</v>
      </c>
      <c r="B960" s="146" t="n">
        <v>1.001911</v>
      </c>
      <c r="C960" s="179" t="n">
        <v>53586366039</v>
      </c>
      <c r="D960" s="179" t="n">
        <v>53484138931</v>
      </c>
      <c r="E960" s="146" t="n">
        <v>1.001842</v>
      </c>
      <c r="F960" s="179" t="n">
        <v>67652985767</v>
      </c>
      <c r="G960" s="179" t="n">
        <v>67528620609</v>
      </c>
      <c r="H960" s="179">
        <f>IFERROR(D960+G960,D960)</f>
        <v/>
      </c>
      <c r="I960" s="184">
        <f>IFERROR(D960/H960,"")</f>
        <v/>
      </c>
      <c r="J960" s="179" t="n">
        <v>10696827786</v>
      </c>
      <c r="K960" s="179" t="n">
        <v>21393655572</v>
      </c>
      <c r="L960" s="179" t="n">
        <v>32090483359</v>
      </c>
    </row>
    <row r="961" ht="15" customHeight="1" s="95">
      <c r="A961" s="143" t="n">
        <v>44790</v>
      </c>
      <c r="B961" s="146" t="n">
        <v>1.001137</v>
      </c>
      <c r="C961" s="179" t="n">
        <v>53563274699</v>
      </c>
      <c r="D961" s="179" t="n">
        <v>53502446879</v>
      </c>
      <c r="E961" s="146" t="n">
        <v>1.000989</v>
      </c>
      <c r="F961" s="179" t="n">
        <v>67628387530</v>
      </c>
      <c r="G961" s="179" t="n">
        <v>67561535895</v>
      </c>
      <c r="H961" s="179">
        <f>IFERROR(D961+G961,D961)</f>
        <v/>
      </c>
      <c r="I961" s="184">
        <f>IFERROR(D961/H961,"")</f>
        <v/>
      </c>
      <c r="J961" s="179" t="n">
        <v>10700489376</v>
      </c>
      <c r="K961" s="179" t="n">
        <v>21400978752</v>
      </c>
      <c r="L961" s="179" t="n">
        <v>32101468127</v>
      </c>
    </row>
    <row r="962" ht="15" customHeight="1" s="95">
      <c r="A962" s="143" t="n">
        <v>44791</v>
      </c>
      <c r="B962" s="146" t="n">
        <v>1.000239</v>
      </c>
      <c r="C962" s="179" t="n">
        <v>53192725314</v>
      </c>
      <c r="D962" s="179" t="n">
        <v>53180023931</v>
      </c>
      <c r="E962" s="146" t="n">
        <v>1.000875</v>
      </c>
      <c r="F962" s="179" t="n">
        <v>67661309991</v>
      </c>
      <c r="G962" s="179" t="n">
        <v>67602137487</v>
      </c>
      <c r="H962" s="179">
        <f>IFERROR(D962+G962,D962)</f>
        <v/>
      </c>
      <c r="I962" s="184">
        <f>IFERROR(D962/H962,"")</f>
        <v/>
      </c>
      <c r="J962" s="179" t="n">
        <v>10636004786</v>
      </c>
      <c r="K962" s="179" t="n">
        <v>21272009572</v>
      </c>
      <c r="L962" s="179" t="n">
        <v>31908014359</v>
      </c>
    </row>
    <row r="963" ht="15" customHeight="1" s="95">
      <c r="A963" s="143" t="n">
        <v>44792</v>
      </c>
      <c r="B963" s="146" t="n">
        <v>1.000279</v>
      </c>
      <c r="C963" s="179" t="n">
        <v>52880168877</v>
      </c>
      <c r="D963" s="179" t="n">
        <v>52865427677</v>
      </c>
      <c r="E963" s="146" t="n">
        <v>1.001241</v>
      </c>
      <c r="F963" s="179" t="n">
        <v>67599397338</v>
      </c>
      <c r="G963" s="179" t="n">
        <v>67515643305</v>
      </c>
      <c r="H963" s="179">
        <f>IFERROR(D963+G963,D963)</f>
        <v/>
      </c>
      <c r="I963" s="184">
        <f>IFERROR(D963/H963,"")</f>
        <v/>
      </c>
      <c r="J963" s="179" t="n">
        <v>10573085535</v>
      </c>
      <c r="K963" s="179" t="n">
        <v>21146171071</v>
      </c>
      <c r="L963" s="179" t="n">
        <v>31719256606</v>
      </c>
    </row>
    <row r="964" ht="15" customHeight="1" s="95">
      <c r="A964" s="143" t="n">
        <v>44793</v>
      </c>
      <c r="B964" s="146" t="n">
        <v>1.002019</v>
      </c>
      <c r="C964" s="179" t="n">
        <v>52523070333</v>
      </c>
      <c r="D964" s="179" t="n">
        <v>52417244695</v>
      </c>
      <c r="E964" s="146" t="n">
        <v>1.003335</v>
      </c>
      <c r="F964" s="179" t="n">
        <v>67613790592</v>
      </c>
      <c r="G964" s="179" t="n">
        <v>67389032335</v>
      </c>
      <c r="H964" s="179">
        <f>IFERROR(D964+G964,D964)</f>
        <v/>
      </c>
      <c r="I964" s="184">
        <f>IFERROR(D964/H964,"")</f>
        <v/>
      </c>
      <c r="J964" s="179" t="n">
        <v>10483448939</v>
      </c>
      <c r="K964" s="179" t="n">
        <v>20966897878</v>
      </c>
      <c r="L964" s="179" t="n">
        <v>31450346817</v>
      </c>
    </row>
    <row r="965" ht="15" customHeight="1" s="95">
      <c r="A965" s="143" t="n">
        <v>44794</v>
      </c>
      <c r="B965" s="146" t="n">
        <v>0.999737</v>
      </c>
      <c r="C965" s="179" t="n">
        <v>52437858149</v>
      </c>
      <c r="D965" s="179" t="n">
        <v>52451628885</v>
      </c>
      <c r="E965" s="146" t="n">
        <v>1.000816</v>
      </c>
      <c r="F965" s="179" t="n">
        <v>67636574571</v>
      </c>
      <c r="G965" s="179" t="n">
        <v>67581394764</v>
      </c>
      <c r="H965" s="179">
        <f>IFERROR(D965+G965,D965)</f>
        <v/>
      </c>
      <c r="I965" s="184">
        <f>IFERROR(D965/H965,"")</f>
        <v/>
      </c>
      <c r="J965" s="179" t="n">
        <v>10490325777</v>
      </c>
      <c r="K965" s="179" t="n">
        <v>20980651554</v>
      </c>
      <c r="L965" s="179" t="n">
        <v>31470977331</v>
      </c>
    </row>
    <row r="966" ht="15" customHeight="1" s="95">
      <c r="A966" s="143" t="n">
        <v>44795</v>
      </c>
      <c r="B966" s="146" t="n">
        <v>1.002564</v>
      </c>
      <c r="C966" s="179" t="n">
        <v>52659400310</v>
      </c>
      <c r="D966" s="179" t="n">
        <v>52524703124</v>
      </c>
      <c r="E966" s="146" t="n">
        <v>1.00297</v>
      </c>
      <c r="F966" s="179" t="n">
        <v>67709967896</v>
      </c>
      <c r="G966" s="179" t="n">
        <v>67509486741</v>
      </c>
      <c r="H966" s="179">
        <f>IFERROR(D966+G966,D966)</f>
        <v/>
      </c>
      <c r="I966" s="184">
        <f>IFERROR(D966/H966,"")</f>
        <v/>
      </c>
      <c r="J966" s="179" t="n">
        <v>10504940625</v>
      </c>
      <c r="K966" s="179" t="n">
        <v>21009881250</v>
      </c>
      <c r="L966" s="179" t="n">
        <v>31514821874</v>
      </c>
    </row>
    <row r="967" ht="15" customHeight="1" s="95">
      <c r="A967" s="143" t="n">
        <v>44796</v>
      </c>
      <c r="B967" s="146" t="n">
        <v>1.001651</v>
      </c>
      <c r="C967" s="179" t="n">
        <v>52340061743</v>
      </c>
      <c r="D967" s="179" t="n">
        <v>52253802987</v>
      </c>
      <c r="E967" s="146" t="n">
        <v>1.000702</v>
      </c>
      <c r="F967" s="179" t="n">
        <v>67459980598</v>
      </c>
      <c r="G967" s="179" t="n">
        <v>67412663567</v>
      </c>
      <c r="H967" s="179">
        <f>IFERROR(D967+G967,D967)</f>
        <v/>
      </c>
      <c r="I967" s="184">
        <f>IFERROR(D967/H967,"")</f>
        <v/>
      </c>
      <c r="J967" s="179" t="n">
        <v>10450760597</v>
      </c>
      <c r="K967" s="179" t="n">
        <v>20901521195</v>
      </c>
      <c r="L967" s="179" t="n">
        <v>31352281792</v>
      </c>
    </row>
    <row r="968" ht="15" customHeight="1" s="95">
      <c r="A968" s="143" t="n">
        <v>44797</v>
      </c>
      <c r="B968" s="146" t="n">
        <v>1.000671</v>
      </c>
      <c r="C968" s="179" t="n">
        <v>52325574418</v>
      </c>
      <c r="D968" s="179" t="n">
        <v>52290473215</v>
      </c>
      <c r="E968" s="146" t="n">
        <v>1.001209</v>
      </c>
      <c r="F968" s="179" t="n">
        <v>67595655943</v>
      </c>
      <c r="G968" s="179" t="n">
        <v>67514036110</v>
      </c>
      <c r="H968" s="179">
        <f>IFERROR(D968+G968,D968)</f>
        <v/>
      </c>
      <c r="I968" s="184">
        <f>IFERROR(D968/H968,"")</f>
        <v/>
      </c>
      <c r="J968" s="179" t="n">
        <v>10458094643</v>
      </c>
      <c r="K968" s="179" t="n">
        <v>20916189286</v>
      </c>
      <c r="L968" s="179" t="n">
        <v>31374283929</v>
      </c>
    </row>
    <row r="969" ht="15" customHeight="1" s="95">
      <c r="A969" s="143" t="n">
        <v>44798</v>
      </c>
      <c r="B969" s="146" t="n">
        <v>0.999966</v>
      </c>
      <c r="C969" s="179" t="n">
        <v>52246887020</v>
      </c>
      <c r="D969" s="179" t="n">
        <v>52248655635</v>
      </c>
      <c r="E969" s="146" t="n">
        <v>1.000941</v>
      </c>
      <c r="F969" s="179" t="n">
        <v>67662286384</v>
      </c>
      <c r="G969" s="179" t="n">
        <v>67598662622</v>
      </c>
      <c r="H969" s="179">
        <f>IFERROR(D969+G969,D969)</f>
        <v/>
      </c>
      <c r="I969" s="184">
        <f>IFERROR(D969/H969,"")</f>
        <v/>
      </c>
      <c r="J969" s="179" t="n">
        <v>10449731127</v>
      </c>
      <c r="K969" s="179" t="n">
        <v>20899462254</v>
      </c>
      <c r="L969" s="179" t="n">
        <v>31349193381</v>
      </c>
    </row>
    <row r="970" ht="15" customHeight="1" s="95">
      <c r="A970" s="143" t="n">
        <v>44799</v>
      </c>
      <c r="B970" s="146" t="n">
        <v>1.000748</v>
      </c>
      <c r="C970" s="179" t="n">
        <v>52161487277</v>
      </c>
      <c r="D970" s="179" t="n">
        <v>52122498377</v>
      </c>
      <c r="E970" s="146" t="n">
        <v>1.000881</v>
      </c>
      <c r="F970" s="179" t="n">
        <v>67607803889</v>
      </c>
      <c r="G970" s="179" t="n">
        <v>67548265485</v>
      </c>
      <c r="H970" s="179">
        <f>IFERROR(D970+G970,D970)</f>
        <v/>
      </c>
      <c r="I970" s="184">
        <f>IFERROR(D970/H970,"")</f>
        <v/>
      </c>
      <c r="J970" s="179" t="n">
        <v>10424499675</v>
      </c>
      <c r="K970" s="179" t="n">
        <v>20848999351</v>
      </c>
      <c r="L970" s="179" t="n">
        <v>31273499026</v>
      </c>
    </row>
    <row r="971" ht="15" customHeight="1" s="95">
      <c r="A971" s="143" t="n">
        <v>44800</v>
      </c>
      <c r="B971" s="146" t="n">
        <v>1.002507</v>
      </c>
      <c r="C971" s="179" t="n">
        <v>52221735774</v>
      </c>
      <c r="D971" s="179" t="n">
        <v>52091118170</v>
      </c>
      <c r="E971" s="146" t="n">
        <v>1.003679</v>
      </c>
      <c r="F971" s="179" t="n">
        <v>67603617552</v>
      </c>
      <c r="G971" s="179" t="n">
        <v>67355818241</v>
      </c>
      <c r="H971" s="179">
        <f>IFERROR(D971+G971,D971)</f>
        <v/>
      </c>
      <c r="I971" s="184">
        <f>IFERROR(D971/H971,"")</f>
        <v/>
      </c>
      <c r="J971" s="179" t="n">
        <v>10418223634</v>
      </c>
      <c r="K971" s="179" t="n">
        <v>20836447268</v>
      </c>
      <c r="L971" s="179" t="n">
        <v>31254670902</v>
      </c>
    </row>
    <row r="972" ht="15" customHeight="1" s="95">
      <c r="A972" s="143" t="n">
        <v>44801</v>
      </c>
      <c r="B972" s="146" t="n">
        <v>0.999632</v>
      </c>
      <c r="C972" s="179" t="n">
        <v>52159828556</v>
      </c>
      <c r="D972" s="179" t="n">
        <v>52179044496</v>
      </c>
      <c r="E972" s="146" t="n">
        <v>1.000619</v>
      </c>
      <c r="F972" s="179" t="n">
        <v>67491483345</v>
      </c>
      <c r="G972" s="179" t="n">
        <v>67449761530</v>
      </c>
      <c r="H972" s="179">
        <f>IFERROR(D972+G972,D972)</f>
        <v/>
      </c>
      <c r="I972" s="184">
        <f>IFERROR(D972/H972,"")</f>
        <v/>
      </c>
      <c r="J972" s="179" t="n">
        <v>10435808899</v>
      </c>
      <c r="K972" s="179" t="n">
        <v>20871617798</v>
      </c>
      <c r="L972" s="179" t="n">
        <v>31307426698</v>
      </c>
    </row>
    <row r="973" ht="15" customHeight="1" s="95">
      <c r="A973" s="143" t="n">
        <v>44802</v>
      </c>
      <c r="B973" s="146" t="n">
        <v>1.003887</v>
      </c>
      <c r="C973" s="179" t="n">
        <v>52302755946</v>
      </c>
      <c r="D973" s="179" t="n">
        <v>52100247373</v>
      </c>
      <c r="E973" s="146" t="n">
        <v>1.00357</v>
      </c>
      <c r="F973" s="179" t="n">
        <v>67758458419</v>
      </c>
      <c r="G973" s="179" t="n">
        <v>67517394549</v>
      </c>
      <c r="H973" s="179">
        <f>IFERROR(D973+G973,D973)</f>
        <v/>
      </c>
      <c r="I973" s="184">
        <f>IFERROR(D973/H973,"")</f>
        <v/>
      </c>
      <c r="J973" s="179" t="n">
        <v>10420049475</v>
      </c>
      <c r="K973" s="179" t="n">
        <v>20840098949</v>
      </c>
      <c r="L973" s="179" t="n">
        <v>31260148424</v>
      </c>
    </row>
    <row r="974" ht="15" customHeight="1" s="95">
      <c r="A974" s="143" t="n">
        <v>44803</v>
      </c>
      <c r="B974" s="146" t="n">
        <v>1.001498</v>
      </c>
      <c r="C974" s="179" t="n">
        <v>52313311695</v>
      </c>
      <c r="D974" s="179" t="n">
        <v>52235071453</v>
      </c>
      <c r="E974" s="146" t="n">
        <v>1.001429</v>
      </c>
      <c r="F974" s="179" t="n">
        <v>67565637622</v>
      </c>
      <c r="G974" s="179" t="n">
        <v>67469237552</v>
      </c>
      <c r="H974" s="179">
        <f>IFERROR(D974+G974,D974)</f>
        <v/>
      </c>
      <c r="I974" s="184">
        <f>IFERROR(D974/H974,"")</f>
        <v/>
      </c>
      <c r="J974" s="179" t="n">
        <v>10447014291</v>
      </c>
      <c r="K974" s="179" t="n">
        <v>20894028581</v>
      </c>
      <c r="L974" s="179" t="n">
        <v>31341042872</v>
      </c>
    </row>
    <row r="975" ht="15" customHeight="1" s="95">
      <c r="A975" s="143" t="n">
        <v>44804</v>
      </c>
      <c r="B975" s="146" t="n">
        <v>0.998434</v>
      </c>
      <c r="C975" s="179" t="n">
        <v>52328535498</v>
      </c>
      <c r="D975" s="179" t="n">
        <v>52410613236</v>
      </c>
      <c r="E975" s="146" t="n">
        <v>0.9995540000000001</v>
      </c>
      <c r="F975" s="179" t="n">
        <v>67519668194</v>
      </c>
      <c r="G975" s="179" t="n">
        <v>67549764120</v>
      </c>
      <c r="H975" s="179">
        <f>IFERROR(D975+G975,D975)</f>
        <v/>
      </c>
      <c r="I975" s="184">
        <f>IFERROR(D975/H975,"")</f>
        <v/>
      </c>
      <c r="J975" s="179" t="n">
        <v>10482122647</v>
      </c>
      <c r="K975" s="179" t="n">
        <v>20964245294</v>
      </c>
      <c r="L975" s="179" t="n">
        <v>31446367942</v>
      </c>
    </row>
    <row r="976" ht="15" customHeight="1" s="95">
      <c r="A976" s="143" t="n">
        <v>44805</v>
      </c>
      <c r="B976" s="146" t="n">
        <v>0.998448</v>
      </c>
      <c r="C976" s="179" t="n">
        <v>52330137597</v>
      </c>
      <c r="D976" s="179" t="n">
        <v>52411470770</v>
      </c>
      <c r="E976" s="146" t="n">
        <v>0.999641</v>
      </c>
      <c r="F976" s="179" t="n">
        <v>67580452604</v>
      </c>
      <c r="G976" s="179" t="n">
        <v>67604730274</v>
      </c>
      <c r="H976" s="179">
        <f>IFERROR(D976+G976,D976)</f>
        <v/>
      </c>
      <c r="I976" s="184">
        <f>IFERROR(D976/H976,"")</f>
        <v/>
      </c>
      <c r="J976" s="179" t="n">
        <v>10482294154</v>
      </c>
      <c r="K976" s="179" t="n">
        <v>20964588308</v>
      </c>
      <c r="L976" s="179" t="n">
        <v>31446882462</v>
      </c>
    </row>
    <row r="977" ht="15" customHeight="1" s="95">
      <c r="A977" s="143" t="n">
        <v>44806</v>
      </c>
      <c r="B977" s="146" t="n">
        <v>1.001796</v>
      </c>
      <c r="C977" s="179" t="n">
        <v>52054122243</v>
      </c>
      <c r="D977" s="179" t="n">
        <v>51960818013</v>
      </c>
      <c r="E977" s="146" t="n">
        <v>1.000903</v>
      </c>
      <c r="F977" s="179" t="n">
        <v>67566686586</v>
      </c>
      <c r="G977" s="179" t="n">
        <v>67505760589</v>
      </c>
      <c r="H977" s="179">
        <f>IFERROR(D977+G977,D977)</f>
        <v/>
      </c>
      <c r="I977" s="184">
        <f>IFERROR(D977/H977,"")</f>
        <v/>
      </c>
      <c r="J977" s="179" t="n">
        <v>10392163603</v>
      </c>
      <c r="K977" s="179" t="n">
        <v>20784327205</v>
      </c>
      <c r="L977" s="179" t="n">
        <v>31176490808</v>
      </c>
    </row>
    <row r="978" ht="15" customHeight="1" s="95">
      <c r="A978" s="143" t="n">
        <v>44807</v>
      </c>
      <c r="B978" s="146" t="n">
        <v>1.000138</v>
      </c>
      <c r="C978" s="179" t="n">
        <v>51839811822</v>
      </c>
      <c r="D978" s="179" t="n">
        <v>51832677394</v>
      </c>
      <c r="E978" s="146" t="n">
        <v>1.000466</v>
      </c>
      <c r="F978" s="179" t="n">
        <v>67589758604</v>
      </c>
      <c r="G978" s="179" t="n">
        <v>67558254072</v>
      </c>
      <c r="H978" s="179">
        <f>IFERROR(D978+G978,D978)</f>
        <v/>
      </c>
      <c r="I978" s="184">
        <f>IFERROR(D978/H978,"")</f>
        <v/>
      </c>
      <c r="J978" s="179" t="n">
        <v>10366535479</v>
      </c>
      <c r="K978" s="179" t="n">
        <v>20733070958</v>
      </c>
      <c r="L978" s="179" t="n">
        <v>31099606436</v>
      </c>
    </row>
    <row r="979" ht="15" customHeight="1" s="95">
      <c r="A979" s="143" t="n">
        <v>44808</v>
      </c>
      <c r="B979" s="146" t="n">
        <v>1.000921</v>
      </c>
      <c r="C979" s="179" t="n">
        <v>51916991289</v>
      </c>
      <c r="D979" s="179" t="n">
        <v>51869197127</v>
      </c>
      <c r="E979" s="146" t="n">
        <v>1.001314</v>
      </c>
      <c r="F979" s="179" t="n">
        <v>67621840541</v>
      </c>
      <c r="G979" s="179" t="n">
        <v>67533086685</v>
      </c>
      <c r="H979" s="179">
        <f>IFERROR(D979+G979,D979)</f>
        <v/>
      </c>
      <c r="I979" s="184">
        <f>IFERROR(D979/H979,"")</f>
        <v/>
      </c>
      <c r="J979" s="179" t="n">
        <v>10373839425</v>
      </c>
      <c r="K979" s="179" t="n">
        <v>20747678851</v>
      </c>
      <c r="L979" s="179" t="n">
        <v>31121518276</v>
      </c>
    </row>
    <row r="980" ht="15" customHeight="1" s="95">
      <c r="A980" s="143" t="n">
        <v>44809</v>
      </c>
      <c r="B980" s="146" t="n">
        <v>1.000001</v>
      </c>
      <c r="C980" s="179" t="n">
        <v>51857089829</v>
      </c>
      <c r="D980" s="179" t="n">
        <v>51857021133</v>
      </c>
      <c r="E980" s="146" t="n">
        <v>1.000028</v>
      </c>
      <c r="F980" s="179" t="n">
        <v>67552311534</v>
      </c>
      <c r="G980" s="179" t="n">
        <v>67550404104</v>
      </c>
      <c r="H980" s="179">
        <f>IFERROR(D980+G980,D980)</f>
        <v/>
      </c>
      <c r="I980" s="184">
        <f>IFERROR(D980/H980,"")</f>
        <v/>
      </c>
      <c r="J980" s="179" t="n">
        <v>10371404227</v>
      </c>
      <c r="K980" s="179" t="n">
        <v>20742808453</v>
      </c>
      <c r="L980" s="179" t="n">
        <v>31114212680</v>
      </c>
    </row>
    <row r="981" ht="15" customHeight="1" s="95">
      <c r="A981" s="143" t="n">
        <v>44810</v>
      </c>
      <c r="B981" s="146" t="n">
        <v>0.999026</v>
      </c>
      <c r="C981" s="179" t="n">
        <v>51836941615</v>
      </c>
      <c r="D981" s="179" t="n">
        <v>51887489474</v>
      </c>
      <c r="E981" s="146" t="n">
        <v>0.997641</v>
      </c>
      <c r="F981" s="179" t="n">
        <v>67462799318</v>
      </c>
      <c r="G981" s="179" t="n">
        <v>67622321518</v>
      </c>
      <c r="H981" s="179">
        <f>IFERROR(D981+G981,D981)</f>
        <v/>
      </c>
      <c r="I981" s="184">
        <f>IFERROR(D981/H981,"")</f>
        <v/>
      </c>
      <c r="J981" s="179" t="n">
        <v>10377497895</v>
      </c>
      <c r="K981" s="179" t="n">
        <v>20754995790</v>
      </c>
      <c r="L981" s="179" t="n">
        <v>31132493684</v>
      </c>
    </row>
    <row r="982" ht="15" customHeight="1" s="95">
      <c r="A982" s="143" t="n">
        <v>44811</v>
      </c>
      <c r="B982" s="146" t="n">
        <v>0.9992220000000001</v>
      </c>
      <c r="C982" s="179" t="n">
        <v>51555774392</v>
      </c>
      <c r="D982" s="179" t="n">
        <v>51595918623</v>
      </c>
      <c r="E982" s="146" t="n">
        <v>1.000533</v>
      </c>
      <c r="F982" s="179" t="n">
        <v>67553030576</v>
      </c>
      <c r="G982" s="179" t="n">
        <v>67517035105</v>
      </c>
      <c r="H982" s="179">
        <f>IFERROR(D982+G982,D982)</f>
        <v/>
      </c>
      <c r="I982" s="184">
        <f>IFERROR(D982/H982,"")</f>
        <v/>
      </c>
      <c r="J982" s="179" t="n">
        <v>10319183725</v>
      </c>
      <c r="K982" s="179" t="n">
        <v>20638367449</v>
      </c>
      <c r="L982" s="179" t="n">
        <v>30957551174</v>
      </c>
    </row>
    <row r="983" ht="15" customHeight="1" s="95">
      <c r="A983" s="143" t="n">
        <v>44812</v>
      </c>
      <c r="B983" s="146" t="n">
        <v>0.999843</v>
      </c>
      <c r="C983" s="179" t="n">
        <v>51713335978</v>
      </c>
      <c r="D983" s="179" t="n">
        <v>51721457382</v>
      </c>
      <c r="E983" s="146" t="n">
        <v>1.000143</v>
      </c>
      <c r="F983" s="179" t="n">
        <v>67550650693</v>
      </c>
      <c r="G983" s="179" t="n">
        <v>67540987550</v>
      </c>
      <c r="H983" s="179">
        <f>IFERROR(D983+G983,D983)</f>
        <v/>
      </c>
      <c r="I983" s="184">
        <f>IFERROR(D983/H983,"")</f>
        <v/>
      </c>
      <c r="J983" s="179" t="n">
        <v>10344291476</v>
      </c>
      <c r="K983" s="179" t="n">
        <v>20688582953</v>
      </c>
      <c r="L983" s="179" t="n">
        <v>31032874429</v>
      </c>
    </row>
    <row r="984" ht="15" customHeight="1" s="95">
      <c r="A984" s="143" t="n">
        <v>44813</v>
      </c>
      <c r="B984" s="146" t="n">
        <v>1.000353</v>
      </c>
      <c r="C984" s="179" t="n">
        <v>51684200639</v>
      </c>
      <c r="D984" s="179" t="n">
        <v>51665953204</v>
      </c>
      <c r="E984" s="146" t="n">
        <v>1.000245</v>
      </c>
      <c r="F984" s="179" t="n">
        <v>67563856236</v>
      </c>
      <c r="G984" s="179" t="n">
        <v>67547299541</v>
      </c>
      <c r="H984" s="179">
        <f>IFERROR(D984+G984,D984)</f>
        <v/>
      </c>
      <c r="I984" s="184">
        <f>IFERROR(D984/H984,"")</f>
        <v/>
      </c>
      <c r="J984" s="179" t="n">
        <v>10333190641</v>
      </c>
      <c r="K984" s="179" t="n">
        <v>20666381282</v>
      </c>
      <c r="L984" s="179" t="n">
        <v>30999571922</v>
      </c>
    </row>
    <row r="985" ht="15" customHeight="1" s="95">
      <c r="A985" s="143" t="n">
        <v>44814</v>
      </c>
      <c r="B985" s="146" t="n">
        <v>1.000795</v>
      </c>
      <c r="C985" s="179" t="n">
        <v>51708716431</v>
      </c>
      <c r="D985" s="179" t="n">
        <v>51667640925</v>
      </c>
      <c r="E985" s="146" t="n">
        <v>1.000681</v>
      </c>
      <c r="F985" s="179" t="n">
        <v>67559691716</v>
      </c>
      <c r="G985" s="179" t="n">
        <v>67513727793</v>
      </c>
      <c r="H985" s="179">
        <f>IFERROR(D985+G985,D985)</f>
        <v/>
      </c>
      <c r="I985" s="184">
        <f>IFERROR(D985/H985,"")</f>
        <v/>
      </c>
      <c r="J985" s="179" t="n">
        <v>10333528185</v>
      </c>
      <c r="K985" s="179" t="n">
        <v>20667056370</v>
      </c>
      <c r="L985" s="179" t="n">
        <v>31000584555</v>
      </c>
    </row>
    <row r="986" ht="15" customHeight="1" s="95">
      <c r="A986" s="143" t="n">
        <v>44815</v>
      </c>
      <c r="B986" s="146" t="n">
        <v>1.001246</v>
      </c>
      <c r="C986" s="179" t="n">
        <v>51660632936</v>
      </c>
      <c r="D986" s="179" t="n">
        <v>51596326121</v>
      </c>
      <c r="E986" s="146" t="n">
        <v>1.001127</v>
      </c>
      <c r="F986" s="179" t="n">
        <v>67616934268</v>
      </c>
      <c r="G986" s="179" t="n">
        <v>67540826256</v>
      </c>
      <c r="H986" s="179">
        <f>IFERROR(D986+G986,D986)</f>
        <v/>
      </c>
      <c r="I986" s="184">
        <f>IFERROR(D986/H986,"")</f>
        <v/>
      </c>
      <c r="J986" s="179" t="n">
        <v>10319265224</v>
      </c>
      <c r="K986" s="179" t="n">
        <v>20638530448</v>
      </c>
      <c r="L986" s="179" t="n">
        <v>30957795673</v>
      </c>
    </row>
    <row r="987" ht="15" customHeight="1" s="95">
      <c r="A987" s="143" t="n">
        <v>44816</v>
      </c>
      <c r="B987" s="146" t="n">
        <v>0.998357</v>
      </c>
      <c r="C987" s="179" t="n">
        <v>51573885797</v>
      </c>
      <c r="D987" s="179" t="n">
        <v>51658762790</v>
      </c>
      <c r="E987" s="146" t="n">
        <v>0.998714</v>
      </c>
      <c r="F987" s="179" t="n">
        <v>67621935137</v>
      </c>
      <c r="G987" s="179" t="n">
        <v>67708998619</v>
      </c>
      <c r="H987" s="179">
        <f>IFERROR(D987+G987,D987)</f>
        <v/>
      </c>
      <c r="I987" s="184">
        <f>IFERROR(D987/H987,"")</f>
        <v/>
      </c>
      <c r="J987" s="179" t="n">
        <v>10331752558</v>
      </c>
      <c r="K987" s="179" t="n">
        <v>20663505116</v>
      </c>
      <c r="L987" s="179" t="n">
        <v>30995257674</v>
      </c>
    </row>
    <row r="988" ht="15" customHeight="1" s="95">
      <c r="A988" s="143" t="n">
        <v>44817</v>
      </c>
      <c r="B988" s="146" t="n">
        <v>1.000118</v>
      </c>
      <c r="C988" s="179" t="n">
        <v>51439632692</v>
      </c>
      <c r="D988" s="179" t="n">
        <v>51433579827</v>
      </c>
      <c r="E988" s="146" t="n">
        <v>0.998754</v>
      </c>
      <c r="F988" s="179" t="n">
        <v>67670900660</v>
      </c>
      <c r="G988" s="179" t="n">
        <v>67755351186</v>
      </c>
      <c r="H988" s="179">
        <f>IFERROR(D988+G988,D988)</f>
        <v/>
      </c>
      <c r="I988" s="184">
        <f>IFERROR(D988/H988,"")</f>
        <v/>
      </c>
      <c r="J988" s="179" t="n">
        <v>10286715965</v>
      </c>
      <c r="K988" s="179" t="n">
        <v>20573431931</v>
      </c>
      <c r="L988" s="179" t="n">
        <v>30860147896</v>
      </c>
    </row>
    <row r="989" ht="15" customHeight="1" s="95">
      <c r="A989" s="143" t="n">
        <v>44818</v>
      </c>
      <c r="B989" s="146" t="n">
        <v>1.000103</v>
      </c>
      <c r="C989" s="179" t="n">
        <v>51382830584</v>
      </c>
      <c r="D989" s="179" t="n">
        <v>51377540281</v>
      </c>
      <c r="E989" s="146" t="n">
        <v>0.999788</v>
      </c>
      <c r="F989" s="179" t="n">
        <v>67937100888</v>
      </c>
      <c r="G989" s="179" t="n">
        <v>67951500845</v>
      </c>
      <c r="H989" s="179">
        <f>IFERROR(D989+G989,D989)</f>
        <v/>
      </c>
      <c r="I989" s="184">
        <f>IFERROR(D989/H989,"")</f>
        <v/>
      </c>
      <c r="J989" s="179" t="n">
        <v>10275508056</v>
      </c>
      <c r="K989" s="179" t="n">
        <v>20551016112</v>
      </c>
      <c r="L989" s="179" t="n">
        <v>30826524169</v>
      </c>
    </row>
    <row r="990" ht="15" customHeight="1" s="95">
      <c r="A990" s="143" t="n">
        <v>44819</v>
      </c>
      <c r="B990" s="146" t="n">
        <v>0.999939</v>
      </c>
      <c r="C990" s="179" t="n">
        <v>50699690764</v>
      </c>
      <c r="D990" s="179" t="n">
        <v>50702792434</v>
      </c>
      <c r="E990" s="146" t="n">
        <v>1.000629</v>
      </c>
      <c r="F990" s="179" t="n">
        <v>67875153355</v>
      </c>
      <c r="G990" s="179" t="n">
        <v>67832453486</v>
      </c>
      <c r="H990" s="179">
        <f>IFERROR(D990+G990,D990)</f>
        <v/>
      </c>
      <c r="I990" s="184">
        <f>IFERROR(D990/H990,"")</f>
        <v/>
      </c>
      <c r="J990" s="179" t="n">
        <v>10140558487</v>
      </c>
      <c r="K990" s="179" t="n">
        <v>20281116974</v>
      </c>
      <c r="L990" s="179" t="n">
        <v>30421675460</v>
      </c>
    </row>
    <row r="991" ht="15" customHeight="1" s="95">
      <c r="A991" s="143" t="n">
        <v>44820</v>
      </c>
      <c r="B991" s="146" t="n">
        <v>1.000285</v>
      </c>
      <c r="C991" s="179" t="n">
        <v>50362962307</v>
      </c>
      <c r="D991" s="179" t="n">
        <v>50348618017</v>
      </c>
      <c r="E991" s="146" t="n">
        <v>1.000219</v>
      </c>
      <c r="F991" s="179" t="n">
        <v>67891357718</v>
      </c>
      <c r="G991" s="179" t="n">
        <v>67876490347</v>
      </c>
      <c r="H991" s="179">
        <f>IFERROR(D991+G991,D991)</f>
        <v/>
      </c>
      <c r="I991" s="184">
        <f>IFERROR(D991/H991,"")</f>
        <v/>
      </c>
      <c r="J991" s="179" t="n">
        <v>10069723603</v>
      </c>
      <c r="K991" s="179" t="n">
        <v>20139447207</v>
      </c>
      <c r="L991" s="179" t="n">
        <v>30209170810</v>
      </c>
    </row>
    <row r="992" ht="15" customHeight="1" s="95">
      <c r="A992" s="143" t="n">
        <v>44821</v>
      </c>
      <c r="B992" s="146" t="n">
        <v>0.998887</v>
      </c>
      <c r="C992" s="179" t="n">
        <v>50321821840</v>
      </c>
      <c r="D992" s="179" t="n">
        <v>50377914473</v>
      </c>
      <c r="E992" s="146" t="n">
        <v>0.999748</v>
      </c>
      <c r="F992" s="179" t="n">
        <v>67984908907</v>
      </c>
      <c r="G992" s="179" t="n">
        <v>68002040225</v>
      </c>
      <c r="H992" s="179">
        <f>IFERROR(D992+G992,D992)</f>
        <v/>
      </c>
      <c r="I992" s="184">
        <f>IFERROR(D992/H992,"")</f>
        <v/>
      </c>
      <c r="J992" s="179" t="n">
        <v>10075582895</v>
      </c>
      <c r="K992" s="179" t="n">
        <v>20151165789</v>
      </c>
      <c r="L992" s="179" t="n">
        <v>30226748684</v>
      </c>
    </row>
    <row r="993" ht="15" customHeight="1" s="95">
      <c r="A993" s="143" t="n">
        <v>44822</v>
      </c>
      <c r="B993" s="146" t="n">
        <v>1.000419</v>
      </c>
      <c r="C993" s="179" t="n">
        <v>50275732998</v>
      </c>
      <c r="D993" s="179" t="n">
        <v>50254666653</v>
      </c>
      <c r="E993" s="146" t="n">
        <v>1.00026</v>
      </c>
      <c r="F993" s="179" t="n">
        <v>67929683638</v>
      </c>
      <c r="G993" s="179" t="n">
        <v>67912055324</v>
      </c>
      <c r="H993" s="179">
        <f>IFERROR(D993+G993,D993)</f>
        <v/>
      </c>
      <c r="I993" s="184">
        <f>IFERROR(D993/H993,"")</f>
        <v/>
      </c>
      <c r="J993" s="179" t="n">
        <v>10050933331</v>
      </c>
      <c r="K993" s="179" t="n">
        <v>20101866661</v>
      </c>
      <c r="L993" s="179" t="n">
        <v>30152799992</v>
      </c>
    </row>
    <row r="994" ht="15" customHeight="1" s="95">
      <c r="A994" s="143" t="n">
        <v>44823</v>
      </c>
      <c r="B994" s="146" t="n">
        <v>1.001268</v>
      </c>
      <c r="C994" s="179" t="n">
        <v>50246500269</v>
      </c>
      <c r="D994" s="179" t="n">
        <v>50182874092</v>
      </c>
      <c r="E994" s="146" t="n">
        <v>1.001736</v>
      </c>
      <c r="F994" s="179" t="n">
        <v>68047634333</v>
      </c>
      <c r="G994" s="179" t="n">
        <v>67929725178</v>
      </c>
      <c r="H994" s="179">
        <f>IFERROR(D994+G994,D994)</f>
        <v/>
      </c>
      <c r="I994" s="184">
        <f>IFERROR(D994/H994,"")</f>
        <v/>
      </c>
      <c r="J994" s="179" t="n">
        <v>10036574818</v>
      </c>
      <c r="K994" s="179" t="n">
        <v>20073149637</v>
      </c>
      <c r="L994" s="179" t="n">
        <v>30109724455</v>
      </c>
    </row>
    <row r="995" ht="15" customHeight="1" s="95">
      <c r="A995" s="143" t="n">
        <v>44824</v>
      </c>
      <c r="B995" s="146" t="n">
        <v>0.999709</v>
      </c>
      <c r="C995" s="179" t="n">
        <v>49984828099</v>
      </c>
      <c r="D995" s="179" t="n">
        <v>49999389368</v>
      </c>
      <c r="E995" s="146" t="n">
        <v>0.999949</v>
      </c>
      <c r="F995" s="179" t="n">
        <v>67939949725</v>
      </c>
      <c r="G995" s="179" t="n">
        <v>67943427650</v>
      </c>
      <c r="H995" s="179">
        <f>IFERROR(D995+G995,D995)</f>
        <v/>
      </c>
      <c r="I995" s="184">
        <f>IFERROR(D995/H995,"")</f>
        <v/>
      </c>
      <c r="J995" s="179" t="n">
        <v>9999877874</v>
      </c>
      <c r="K995" s="179" t="n">
        <v>19999755747</v>
      </c>
      <c r="L995" s="179" t="n">
        <v>29999633621</v>
      </c>
    </row>
    <row r="996" ht="15" customHeight="1" s="95">
      <c r="A996" s="143" t="n">
        <v>44825</v>
      </c>
      <c r="B996" s="146" t="n">
        <v>0.999909</v>
      </c>
      <c r="C996" s="179" t="n">
        <v>50170337209</v>
      </c>
      <c r="D996" s="179" t="n">
        <v>50174909495</v>
      </c>
      <c r="E996" s="146" t="n">
        <v>0.999982</v>
      </c>
      <c r="F996" s="179" t="n">
        <v>68008979229</v>
      </c>
      <c r="G996" s="179" t="n">
        <v>68010184038</v>
      </c>
      <c r="H996" s="179">
        <f>IFERROR(D996+G996,D996)</f>
        <v/>
      </c>
      <c r="I996" s="184">
        <f>IFERROR(D996/H996,"")</f>
        <v/>
      </c>
      <c r="J996" s="179" t="n">
        <v>10034981899</v>
      </c>
      <c r="K996" s="179" t="n">
        <v>20069963798</v>
      </c>
      <c r="L996" s="179" t="n">
        <v>30104945697</v>
      </c>
    </row>
    <row r="997" ht="15" customHeight="1" s="95">
      <c r="A997" s="143" t="n">
        <v>44826</v>
      </c>
      <c r="B997" s="146" t="n">
        <v>0.9999440000000001</v>
      </c>
      <c r="C997" s="179" t="n">
        <v>49961843472</v>
      </c>
      <c r="D997" s="179" t="n">
        <v>49964632275</v>
      </c>
      <c r="E997" s="146" t="n">
        <v>1.000841</v>
      </c>
      <c r="F997" s="179" t="n">
        <v>68008869299</v>
      </c>
      <c r="G997" s="179" t="n">
        <v>67951698093</v>
      </c>
      <c r="H997" s="179">
        <f>IFERROR(D997+G997,D997)</f>
        <v/>
      </c>
      <c r="I997" s="184">
        <f>IFERROR(D997/H997,"")</f>
        <v/>
      </c>
      <c r="J997" s="179" t="n">
        <v>9992926455</v>
      </c>
      <c r="K997" s="179" t="n">
        <v>19985852910</v>
      </c>
      <c r="L997" s="179" t="n">
        <v>29978779365</v>
      </c>
    </row>
    <row r="998" ht="15" customHeight="1" s="95">
      <c r="A998" s="143" t="n">
        <v>44827</v>
      </c>
      <c r="B998" s="146" t="n">
        <v>1.001853</v>
      </c>
      <c r="C998" s="179" t="n">
        <v>49892551993</v>
      </c>
      <c r="D998" s="179" t="n">
        <v>49800295958</v>
      </c>
      <c r="E998" s="146" t="n">
        <v>1.000382</v>
      </c>
      <c r="F998" s="179" t="n">
        <v>67906039948</v>
      </c>
      <c r="G998" s="179" t="n">
        <v>67880137425</v>
      </c>
      <c r="H998" s="179">
        <f>IFERROR(D998+G998,D998)</f>
        <v/>
      </c>
      <c r="I998" s="184">
        <f>IFERROR(D998/H998,"")</f>
        <v/>
      </c>
      <c r="J998" s="179" t="n">
        <v>9960059192</v>
      </c>
      <c r="K998" s="179" t="n">
        <v>19920118383</v>
      </c>
      <c r="L998" s="179" t="n">
        <v>29880177575</v>
      </c>
    </row>
    <row r="999" ht="15" customHeight="1" s="95">
      <c r="A999" s="143" t="n">
        <v>44828</v>
      </c>
      <c r="B999" s="146" t="n">
        <v>1.001269</v>
      </c>
      <c r="C999" s="179" t="n">
        <v>49869385732</v>
      </c>
      <c r="D999" s="179" t="n">
        <v>49806204790</v>
      </c>
      <c r="E999" s="146" t="n">
        <v>1.000894</v>
      </c>
      <c r="F999" s="179" t="n">
        <v>68027171287</v>
      </c>
      <c r="G999" s="179" t="n">
        <v>67966420976</v>
      </c>
      <c r="H999" s="179">
        <f>IFERROR(D999+G999,D999)</f>
        <v/>
      </c>
      <c r="I999" s="184">
        <f>IFERROR(D999/H999,"")</f>
        <v/>
      </c>
      <c r="J999" s="179" t="n">
        <v>9961240958</v>
      </c>
      <c r="K999" s="179" t="n">
        <v>19922481916</v>
      </c>
      <c r="L999" s="179" t="n">
        <v>29883722874</v>
      </c>
    </row>
    <row r="1000" ht="15" customHeight="1" s="95">
      <c r="A1000" s="143" t="n">
        <v>44829</v>
      </c>
      <c r="B1000" s="146" t="n">
        <v>1.000004</v>
      </c>
      <c r="C1000" s="179" t="n">
        <v>49778209173</v>
      </c>
      <c r="D1000" s="179" t="n">
        <v>49777986358</v>
      </c>
      <c r="E1000" s="146" t="n">
        <v>1.000514</v>
      </c>
      <c r="F1000" s="179" t="n">
        <v>67976902021</v>
      </c>
      <c r="G1000" s="179" t="n">
        <v>67941961295</v>
      </c>
      <c r="H1000" s="179">
        <f>IFERROR(D1000+G1000,D1000)</f>
        <v/>
      </c>
      <c r="I1000" s="184">
        <f>IFERROR(D1000/H1000,"")</f>
        <v/>
      </c>
      <c r="J1000" s="179" t="n">
        <v>9955597272</v>
      </c>
      <c r="K1000" s="179" t="n">
        <v>19911194543</v>
      </c>
      <c r="L1000" s="179" t="n">
        <v>29866791815</v>
      </c>
    </row>
    <row r="1001" ht="15" customHeight="1" s="95">
      <c r="A1001" s="143" t="n">
        <v>44830</v>
      </c>
      <c r="B1001" s="146" t="n">
        <v>1.000978</v>
      </c>
      <c r="C1001" s="179" t="n">
        <v>49676427403</v>
      </c>
      <c r="D1001" s="179" t="n">
        <v>49627908785</v>
      </c>
      <c r="E1001" s="146" t="n">
        <v>1.00082</v>
      </c>
      <c r="F1001" s="179" t="n">
        <v>68047936265</v>
      </c>
      <c r="G1001" s="179" t="n">
        <v>67992153919</v>
      </c>
      <c r="H1001" s="179">
        <f>IFERROR(D1001+G1001,D1001)</f>
        <v/>
      </c>
      <c r="I1001" s="184">
        <f>IFERROR(D1001/H1001,"")</f>
        <v/>
      </c>
      <c r="J1001" s="179" t="n">
        <v>9925581757</v>
      </c>
      <c r="K1001" s="179" t="n">
        <v>19851163514</v>
      </c>
      <c r="L1001" s="179" t="n">
        <v>29776745271</v>
      </c>
    </row>
    <row r="1002" ht="15" customHeight="1" s="95">
      <c r="A1002" s="143" t="n">
        <v>44831</v>
      </c>
      <c r="B1002" s="146" t="n">
        <v>0.998592</v>
      </c>
      <c r="C1002" s="179" t="n">
        <v>49228298552</v>
      </c>
      <c r="D1002" s="179" t="n">
        <v>49297723264</v>
      </c>
      <c r="E1002" s="146" t="n">
        <v>1.001068</v>
      </c>
      <c r="F1002" s="179" t="n">
        <v>67930817962</v>
      </c>
      <c r="G1002" s="179" t="n">
        <v>67858339272</v>
      </c>
      <c r="H1002" s="179">
        <f>IFERROR(D1002+G1002,D1002)</f>
        <v/>
      </c>
      <c r="I1002" s="184">
        <f>IFERROR(D1002/H1002,"")</f>
        <v/>
      </c>
      <c r="J1002" s="179" t="n">
        <v>9859544653</v>
      </c>
      <c r="K1002" s="179" t="n">
        <v>19719089306</v>
      </c>
      <c r="L1002" s="179" t="n">
        <v>29578633958</v>
      </c>
    </row>
    <row r="1003" ht="15" customHeight="1" s="95">
      <c r="A1003" s="143" t="n">
        <v>44832</v>
      </c>
      <c r="B1003" s="146" t="n">
        <v>1.00021</v>
      </c>
      <c r="C1003" s="179" t="n">
        <v>49197363299</v>
      </c>
      <c r="D1003" s="179" t="n">
        <v>49187055240</v>
      </c>
      <c r="E1003" s="146" t="n">
        <v>1.000675</v>
      </c>
      <c r="F1003" s="179" t="n">
        <v>67982225347</v>
      </c>
      <c r="G1003" s="179" t="n">
        <v>67936347629</v>
      </c>
      <c r="H1003" s="179">
        <f>IFERROR(D1003+G1003,D1003)</f>
        <v/>
      </c>
      <c r="I1003" s="184">
        <f>IFERROR(D1003/H1003,"")</f>
        <v/>
      </c>
      <c r="J1003" s="179" t="n">
        <v>9837411048</v>
      </c>
      <c r="K1003" s="179" t="n">
        <v>19674822096</v>
      </c>
      <c r="L1003" s="179" t="n">
        <v>29512233144</v>
      </c>
    </row>
    <row r="1004" ht="15" customHeight="1" s="95">
      <c r="A1004" s="143" t="n">
        <v>44833</v>
      </c>
      <c r="B1004" s="146" t="n">
        <v>1.002528</v>
      </c>
      <c r="C1004" s="179" t="n">
        <v>48925297414</v>
      </c>
      <c r="D1004" s="179" t="n">
        <v>48801940781</v>
      </c>
      <c r="E1004" s="146" t="n">
        <v>1.001686</v>
      </c>
      <c r="F1004" s="179" t="n">
        <v>68019534015</v>
      </c>
      <c r="G1004" s="179" t="n">
        <v>67905075486</v>
      </c>
      <c r="H1004" s="179">
        <f>IFERROR(D1004+G1004,D1004)</f>
        <v/>
      </c>
      <c r="I1004" s="184">
        <f>IFERROR(D1004/H1004,"")</f>
        <v/>
      </c>
      <c r="J1004" s="179" t="n">
        <v>9760388156</v>
      </c>
      <c r="K1004" s="179" t="n">
        <v>19520776312</v>
      </c>
      <c r="L1004" s="179" t="n">
        <v>29281164469</v>
      </c>
    </row>
    <row r="1005" ht="15" customHeight="1" s="95">
      <c r="A1005" s="143" t="n">
        <v>44834</v>
      </c>
      <c r="B1005" s="146" t="n">
        <v>0.999528</v>
      </c>
      <c r="C1005" s="179" t="n">
        <v>48516414136</v>
      </c>
      <c r="D1005" s="179" t="n">
        <v>48539325036</v>
      </c>
      <c r="E1005" s="146" t="n">
        <v>0.999983</v>
      </c>
      <c r="F1005" s="179" t="n">
        <v>68018936942</v>
      </c>
      <c r="G1005" s="179" t="n">
        <v>68020111263</v>
      </c>
      <c r="H1005" s="179">
        <f>IFERROR(D1005+G1005,D1005)</f>
        <v/>
      </c>
      <c r="I1005" s="184">
        <f>IFERROR(D1005/H1005,"")</f>
        <v/>
      </c>
      <c r="J1005" s="179" t="n">
        <v>9707865007</v>
      </c>
      <c r="K1005" s="179" t="n">
        <v>19415730014</v>
      </c>
      <c r="L1005" s="179" t="n">
        <v>29123595022</v>
      </c>
    </row>
    <row r="1006" ht="15" customHeight="1" s="95">
      <c r="A1006" s="143" t="n">
        <v>44835</v>
      </c>
      <c r="B1006" s="146" t="n">
        <v>1.001046</v>
      </c>
      <c r="C1006" s="179" t="n">
        <v>47317566543</v>
      </c>
      <c r="D1006" s="179" t="n">
        <v>47268127663</v>
      </c>
      <c r="E1006" s="146" t="n">
        <v>1.000868</v>
      </c>
      <c r="F1006" s="179" t="n">
        <v>68032463504</v>
      </c>
      <c r="G1006" s="179" t="n">
        <v>67973445623</v>
      </c>
      <c r="H1006" s="179">
        <f>IFERROR(D1006+G1006,D1006)</f>
        <v/>
      </c>
      <c r="I1006" s="184">
        <f>IFERROR(D1006/H1006,"")</f>
        <v/>
      </c>
      <c r="J1006" s="179" t="n">
        <v>9453625533</v>
      </c>
      <c r="K1006" s="179" t="n">
        <v>18907251065</v>
      </c>
      <c r="L1006" s="179" t="n">
        <v>28360876598</v>
      </c>
    </row>
    <row r="1007" ht="15" customHeight="1" s="95">
      <c r="A1007" s="143" t="n">
        <v>44836</v>
      </c>
      <c r="B1007" s="146" t="n">
        <v>0.999186</v>
      </c>
      <c r="C1007" s="179" t="n">
        <v>47217028392</v>
      </c>
      <c r="D1007" s="179" t="n">
        <v>47255503345</v>
      </c>
      <c r="E1007" s="146" t="n">
        <v>1.000526</v>
      </c>
      <c r="F1007" s="179" t="n">
        <v>67985211418</v>
      </c>
      <c r="G1007" s="179" t="n">
        <v>67949482216</v>
      </c>
      <c r="H1007" s="179">
        <f>IFERROR(D1007+G1007,D1007)</f>
        <v/>
      </c>
      <c r="I1007" s="184">
        <f>IFERROR(D1007/H1007,"")</f>
        <v/>
      </c>
      <c r="J1007" s="179" t="n">
        <v>9451100669</v>
      </c>
      <c r="K1007" s="179" t="n">
        <v>18902201338</v>
      </c>
      <c r="L1007" s="179" t="n">
        <v>28353302007</v>
      </c>
    </row>
    <row r="1008" ht="15" customHeight="1" s="95">
      <c r="A1008" s="143" t="n">
        <v>44837</v>
      </c>
      <c r="B1008" s="146" t="n">
        <v>1.000375</v>
      </c>
      <c r="C1008" s="179" t="n">
        <v>47429205566</v>
      </c>
      <c r="D1008" s="179" t="n">
        <v>47411404735</v>
      </c>
      <c r="E1008" s="146" t="n">
        <v>1.001976</v>
      </c>
      <c r="F1008" s="179" t="n">
        <v>67852870798</v>
      </c>
      <c r="G1008" s="179" t="n">
        <v>67719066796</v>
      </c>
      <c r="H1008" s="179">
        <f>IFERROR(D1008+G1008,D1008)</f>
        <v/>
      </c>
      <c r="I1008" s="184">
        <f>IFERROR(D1008/H1008,"")</f>
        <v/>
      </c>
      <c r="J1008" s="179" t="n">
        <v>9482280947</v>
      </c>
      <c r="K1008" s="179" t="n">
        <v>18964561894</v>
      </c>
      <c r="L1008" s="179" t="n">
        <v>28446842841</v>
      </c>
    </row>
    <row r="1009" ht="15" customHeight="1" s="95">
      <c r="A1009" s="143" t="n">
        <v>44838</v>
      </c>
      <c r="B1009" s="146" t="n">
        <v>0.99955</v>
      </c>
      <c r="C1009" s="179" t="n">
        <v>47127777473</v>
      </c>
      <c r="D1009" s="179" t="n">
        <v>47148984699</v>
      </c>
      <c r="E1009" s="146" t="n">
        <v>0.999969</v>
      </c>
      <c r="F1009" s="179" t="n">
        <v>67955487841</v>
      </c>
      <c r="G1009" s="179" t="n">
        <v>67957595656</v>
      </c>
      <c r="H1009" s="179">
        <f>IFERROR(D1009+G1009,D1009)</f>
        <v/>
      </c>
      <c r="I1009" s="184">
        <f>IFERROR(D1009/H1009,"")</f>
        <v/>
      </c>
      <c r="J1009" s="179" t="n">
        <v>9429796940</v>
      </c>
      <c r="K1009" s="179" t="n">
        <v>18859593880</v>
      </c>
      <c r="L1009" s="179" t="n">
        <v>28289390819</v>
      </c>
    </row>
    <row r="1010" ht="15" customHeight="1" s="95">
      <c r="A1010" s="143" t="n">
        <v>44839</v>
      </c>
      <c r="B1010" s="146" t="n">
        <v>0.99956</v>
      </c>
      <c r="C1010" s="179" t="n">
        <v>46767462842</v>
      </c>
      <c r="D1010" s="179" t="n">
        <v>46788045624</v>
      </c>
      <c r="E1010" s="146" t="n">
        <v>1.00019</v>
      </c>
      <c r="F1010" s="179" t="n">
        <v>68146472900</v>
      </c>
      <c r="G1010" s="179" t="n">
        <v>68133500309</v>
      </c>
      <c r="H1010" s="179">
        <f>IFERROR(D1010+G1010,D1010)</f>
        <v/>
      </c>
      <c r="I1010" s="184">
        <f>IFERROR(D1010/H1010,"")</f>
        <v/>
      </c>
      <c r="J1010" s="179" t="n">
        <v>9357609125</v>
      </c>
      <c r="K1010" s="179" t="n">
        <v>18715218250</v>
      </c>
      <c r="L1010" s="179" t="n">
        <v>28072827374</v>
      </c>
    </row>
    <row r="1011" ht="15" customHeight="1" s="95">
      <c r="A1011" s="143" t="n">
        <v>44840</v>
      </c>
      <c r="B1011" s="146" t="n">
        <v>0.999661</v>
      </c>
      <c r="C1011" s="179" t="n">
        <v>46412465271</v>
      </c>
      <c r="D1011" s="179" t="n">
        <v>46428202489</v>
      </c>
      <c r="E1011" s="146" t="n">
        <v>0.9998860000000001</v>
      </c>
      <c r="F1011" s="179" t="n">
        <v>68249512085</v>
      </c>
      <c r="G1011" s="179" t="n">
        <v>68257266905</v>
      </c>
      <c r="H1011" s="179">
        <f>IFERROR(D1011+G1011,D1011)</f>
        <v/>
      </c>
      <c r="I1011" s="184">
        <f>IFERROR(D1011/H1011,"")</f>
        <v/>
      </c>
      <c r="J1011" s="179" t="n">
        <v>9285640498</v>
      </c>
      <c r="K1011" s="179" t="n">
        <v>18571280996</v>
      </c>
      <c r="L1011" s="179" t="n">
        <v>27856921493</v>
      </c>
    </row>
    <row r="1012" ht="15" customHeight="1" s="95">
      <c r="A1012" s="143" t="n">
        <v>44841</v>
      </c>
      <c r="B1012" s="146" t="n">
        <v>1.001187</v>
      </c>
      <c r="C1012" s="179" t="n">
        <v>46188993440</v>
      </c>
      <c r="D1012" s="179" t="n">
        <v>46134217826</v>
      </c>
      <c r="E1012" s="146" t="n">
        <v>1.00021</v>
      </c>
      <c r="F1012" s="179" t="n">
        <v>68240186691</v>
      </c>
      <c r="G1012" s="179" t="n">
        <v>68225867660</v>
      </c>
      <c r="H1012" s="179">
        <f>IFERROR(D1012+G1012,D1012)</f>
        <v/>
      </c>
      <c r="I1012" s="184">
        <f>IFERROR(D1012/H1012,"")</f>
        <v/>
      </c>
      <c r="J1012" s="179" t="n">
        <v>9226843565</v>
      </c>
      <c r="K1012" s="179" t="n">
        <v>18453687130</v>
      </c>
      <c r="L1012" s="179" t="n">
        <v>27680530696</v>
      </c>
    </row>
    <row r="1013" ht="15" customHeight="1" s="95">
      <c r="A1013" s="143" t="n">
        <v>44842</v>
      </c>
      <c r="B1013" s="146" t="n">
        <v>1.002625</v>
      </c>
      <c r="C1013" s="179" t="n">
        <v>46210937641</v>
      </c>
      <c r="D1013" s="179" t="n">
        <v>46089943088</v>
      </c>
      <c r="E1013" s="146" t="n">
        <v>1.00164</v>
      </c>
      <c r="F1013" s="179" t="n">
        <v>68360023403</v>
      </c>
      <c r="G1013" s="179" t="n">
        <v>68248113939</v>
      </c>
      <c r="H1013" s="179">
        <f>IFERROR(D1013+G1013,D1013)</f>
        <v/>
      </c>
      <c r="I1013" s="184">
        <f>IFERROR(D1013/H1013,"")</f>
        <v/>
      </c>
      <c r="J1013" s="179" t="n">
        <v>9217988618</v>
      </c>
      <c r="K1013" s="179" t="n">
        <v>18435977235</v>
      </c>
      <c r="L1013" s="179" t="n">
        <v>27653965853</v>
      </c>
    </row>
    <row r="1014" ht="15" customHeight="1" s="95">
      <c r="A1014" s="143" t="n">
        <v>44843</v>
      </c>
      <c r="B1014" s="146" t="n">
        <v>0.999974</v>
      </c>
      <c r="C1014" s="179" t="n">
        <v>46054961500</v>
      </c>
      <c r="D1014" s="179" t="n">
        <v>46056150098</v>
      </c>
      <c r="E1014" s="146" t="n">
        <v>1.000243</v>
      </c>
      <c r="F1014" s="179" t="n">
        <v>68384660011</v>
      </c>
      <c r="G1014" s="179" t="n">
        <v>68368074386</v>
      </c>
      <c r="H1014" s="179">
        <f>IFERROR(D1014+G1014,D1014)</f>
        <v/>
      </c>
      <c r="I1014" s="184">
        <f>IFERROR(D1014/H1014,"")</f>
        <v/>
      </c>
      <c r="J1014" s="179" t="n">
        <v>9211230020</v>
      </c>
      <c r="K1014" s="179" t="n">
        <v>18422460039</v>
      </c>
      <c r="L1014" s="179" t="n">
        <v>27633690059</v>
      </c>
    </row>
    <row r="1015" ht="15" customHeight="1" s="95">
      <c r="A1015" s="143" t="n">
        <v>44844</v>
      </c>
      <c r="B1015" s="146" t="n">
        <v>0.999943</v>
      </c>
      <c r="C1015" s="179" t="n">
        <v>45974636493</v>
      </c>
      <c r="D1015" s="179" t="n">
        <v>45977257759</v>
      </c>
      <c r="E1015" s="146" t="n">
        <v>1.00025</v>
      </c>
      <c r="F1015" s="179" t="n">
        <v>68308301853</v>
      </c>
      <c r="G1015" s="179" t="n">
        <v>68291255463</v>
      </c>
      <c r="H1015" s="179">
        <f>IFERROR(D1015+G1015,D1015)</f>
        <v/>
      </c>
      <c r="I1015" s="184">
        <f>IFERROR(D1015/H1015,"")</f>
        <v/>
      </c>
      <c r="J1015" s="179" t="n">
        <v>9195451552</v>
      </c>
      <c r="K1015" s="179" t="n">
        <v>18390903104</v>
      </c>
      <c r="L1015" s="179" t="n">
        <v>27586354655</v>
      </c>
    </row>
    <row r="1016" ht="15" customHeight="1" s="95">
      <c r="A1016" s="143" t="n">
        <v>44845</v>
      </c>
      <c r="B1016" s="146" t="n">
        <v>0.999206</v>
      </c>
      <c r="C1016" s="179" t="n">
        <v>45967669158</v>
      </c>
      <c r="D1016" s="179" t="n">
        <v>46004201511</v>
      </c>
      <c r="E1016" s="146" t="n">
        <v>1.000077</v>
      </c>
      <c r="F1016" s="179" t="n">
        <v>68465529813</v>
      </c>
      <c r="G1016" s="179" t="n">
        <v>68460268175</v>
      </c>
      <c r="H1016" s="179">
        <f>IFERROR(D1016+G1016,D1016)</f>
        <v/>
      </c>
      <c r="I1016" s="184">
        <f>IFERROR(D1016/H1016,"")</f>
        <v/>
      </c>
      <c r="J1016" s="179" t="n">
        <v>9200840302</v>
      </c>
      <c r="K1016" s="179" t="n">
        <v>18401680604</v>
      </c>
      <c r="L1016" s="179" t="n">
        <v>27602520907</v>
      </c>
    </row>
    <row r="1017" ht="15" customHeight="1" s="95">
      <c r="A1017" s="143" t="n">
        <v>44846</v>
      </c>
      <c r="B1017" s="146" t="n">
        <v>1.000874</v>
      </c>
      <c r="C1017" s="179" t="n">
        <v>45948598246</v>
      </c>
      <c r="D1017" s="179" t="n">
        <v>45908493456</v>
      </c>
      <c r="E1017" s="146" t="n">
        <v>1.000386</v>
      </c>
      <c r="F1017" s="179" t="n">
        <v>68428561681</v>
      </c>
      <c r="G1017" s="179" t="n">
        <v>68402190681</v>
      </c>
      <c r="H1017" s="179">
        <f>IFERROR(D1017+G1017,D1017)</f>
        <v/>
      </c>
      <c r="I1017" s="184">
        <f>IFERROR(D1017/H1017,"")</f>
        <v/>
      </c>
      <c r="J1017" s="179" t="n">
        <v>9181698691</v>
      </c>
      <c r="K1017" s="179" t="n">
        <v>18363397382</v>
      </c>
      <c r="L1017" s="179" t="n">
        <v>27545096074</v>
      </c>
    </row>
    <row r="1018" ht="15" customHeight="1" s="95">
      <c r="A1018" s="143" t="n">
        <v>44847</v>
      </c>
      <c r="B1018" s="146" t="n">
        <v>1.000134</v>
      </c>
      <c r="C1018" s="179" t="n">
        <v>45868986890</v>
      </c>
      <c r="D1018" s="179" t="n">
        <v>45862853347</v>
      </c>
      <c r="E1018" s="146" t="n">
        <v>1.000061</v>
      </c>
      <c r="F1018" s="179" t="n">
        <v>68433385613</v>
      </c>
      <c r="G1018" s="179" t="n">
        <v>68429233683</v>
      </c>
      <c r="H1018" s="179">
        <f>IFERROR(D1018+G1018,D1018)</f>
        <v/>
      </c>
      <c r="I1018" s="184">
        <f>IFERROR(D1018/H1018,"")</f>
        <v/>
      </c>
      <c r="J1018" s="179" t="n">
        <v>9172570669</v>
      </c>
      <c r="K1018" s="179" t="n">
        <v>18345141339</v>
      </c>
      <c r="L1018" s="179" t="n">
        <v>27517712008</v>
      </c>
    </row>
    <row r="1019" ht="15" customHeight="1" s="95">
      <c r="A1019" s="143" t="n">
        <v>44848</v>
      </c>
      <c r="B1019" s="146" t="n">
        <v>1.000478</v>
      </c>
      <c r="C1019" s="179" t="n">
        <v>45509587292</v>
      </c>
      <c r="D1019" s="179" t="n">
        <v>45487843134</v>
      </c>
      <c r="E1019" s="146" t="n">
        <v>1.000462</v>
      </c>
      <c r="F1019" s="179" t="n">
        <v>68454082242</v>
      </c>
      <c r="G1019" s="179" t="n">
        <v>68422459807</v>
      </c>
      <c r="H1019" s="179">
        <f>IFERROR(D1019+G1019,D1019)</f>
        <v/>
      </c>
      <c r="I1019" s="184">
        <f>IFERROR(D1019/H1019,"")</f>
        <v/>
      </c>
      <c r="J1019" s="179" t="n">
        <v>9097568627</v>
      </c>
      <c r="K1019" s="179" t="n">
        <v>18195137254</v>
      </c>
      <c r="L1019" s="179" t="n">
        <v>27292705880</v>
      </c>
    </row>
    <row r="1020" ht="15" customHeight="1" s="95">
      <c r="A1020" s="143" t="n">
        <v>44849</v>
      </c>
      <c r="B1020" s="146" t="n">
        <v>1.000137</v>
      </c>
      <c r="C1020" s="179" t="n">
        <v>44952268038</v>
      </c>
      <c r="D1020" s="179" t="n">
        <v>44946108307</v>
      </c>
      <c r="E1020" s="146" t="n">
        <v>1.00078</v>
      </c>
      <c r="F1020" s="179" t="n">
        <v>68389617989</v>
      </c>
      <c r="G1020" s="179" t="n">
        <v>68336313857</v>
      </c>
      <c r="H1020" s="179">
        <f>IFERROR(D1020+G1020,D1020)</f>
        <v/>
      </c>
      <c r="I1020" s="184">
        <f>IFERROR(D1020/H1020,"")</f>
        <v/>
      </c>
      <c r="J1020" s="179" t="n">
        <v>8989221661</v>
      </c>
      <c r="K1020" s="179" t="n">
        <v>17978443323</v>
      </c>
      <c r="L1020" s="179" t="n">
        <v>26967664984</v>
      </c>
    </row>
    <row r="1021" ht="15" customHeight="1" s="95">
      <c r="A1021" s="143" t="n">
        <v>44850</v>
      </c>
      <c r="B1021" s="146" t="n">
        <v>1.000129</v>
      </c>
      <c r="C1021" s="179" t="n">
        <v>45014733395</v>
      </c>
      <c r="D1021" s="179" t="n">
        <v>45008923404</v>
      </c>
      <c r="E1021" s="146" t="n">
        <v>1.000165</v>
      </c>
      <c r="F1021" s="179" t="n">
        <v>68388940699</v>
      </c>
      <c r="G1021" s="179" t="n">
        <v>68377636116</v>
      </c>
      <c r="H1021" s="179">
        <f>IFERROR(D1021+G1021,D1021)</f>
        <v/>
      </c>
      <c r="I1021" s="184">
        <f>IFERROR(D1021/H1021,"")</f>
        <v/>
      </c>
      <c r="J1021" s="179" t="n">
        <v>9001784681</v>
      </c>
      <c r="K1021" s="179" t="n">
        <v>18003569362</v>
      </c>
      <c r="L1021" s="179" t="n">
        <v>27005354042</v>
      </c>
    </row>
    <row r="1022" ht="15" customHeight="1" s="95">
      <c r="A1022" s="143" t="n">
        <v>44851</v>
      </c>
      <c r="B1022" s="146" t="n">
        <v>1.000405</v>
      </c>
      <c r="C1022" s="179" t="n">
        <v>45007234186</v>
      </c>
      <c r="D1022" s="179" t="n">
        <v>44989029120</v>
      </c>
      <c r="E1022" s="146" t="n">
        <v>1.000104</v>
      </c>
      <c r="F1022" s="179" t="n">
        <v>68445138503</v>
      </c>
      <c r="G1022" s="179" t="n">
        <v>68438017814</v>
      </c>
      <c r="H1022" s="179">
        <f>IFERROR(D1022+G1022,D1022)</f>
        <v/>
      </c>
      <c r="I1022" s="184">
        <f>IFERROR(D1022/H1022,"")</f>
        <v/>
      </c>
      <c r="J1022" s="179" t="n">
        <v>8997805824</v>
      </c>
      <c r="K1022" s="179" t="n">
        <v>17995611648</v>
      </c>
      <c r="L1022" s="179" t="n">
        <v>26993417472</v>
      </c>
    </row>
    <row r="1023" ht="15" customHeight="1" s="95">
      <c r="A1023" s="143" t="n">
        <v>44852</v>
      </c>
      <c r="B1023" s="146" t="n">
        <v>0.999695</v>
      </c>
      <c r="C1023" s="179" t="n">
        <v>44756383398</v>
      </c>
      <c r="D1023" s="179" t="n">
        <v>44770034589</v>
      </c>
      <c r="E1023" s="146" t="n">
        <v>1.000037</v>
      </c>
      <c r="F1023" s="179" t="n">
        <v>68416637689</v>
      </c>
      <c r="G1023" s="179" t="n">
        <v>68414136956</v>
      </c>
      <c r="H1023" s="179">
        <f>IFERROR(D1023+G1023,D1023)</f>
        <v/>
      </c>
      <c r="I1023" s="184">
        <f>IFERROR(D1023/H1023,"")</f>
        <v/>
      </c>
      <c r="J1023" s="179" t="n">
        <v>8954006918</v>
      </c>
      <c r="K1023" s="179" t="n">
        <v>17908013836</v>
      </c>
      <c r="L1023" s="179" t="n">
        <v>26862020753</v>
      </c>
    </row>
    <row r="1024" ht="15" customHeight="1" s="95">
      <c r="A1024" s="143" t="n">
        <v>44853</v>
      </c>
      <c r="B1024" s="146" t="n">
        <v>0.9985000000000001</v>
      </c>
      <c r="C1024" s="179" t="n">
        <v>44552999522</v>
      </c>
      <c r="D1024" s="179" t="n">
        <v>44619939874</v>
      </c>
      <c r="E1024" s="146" t="n">
        <v>0.999791</v>
      </c>
      <c r="F1024" s="179" t="n">
        <v>68473113039</v>
      </c>
      <c r="G1024" s="179" t="n">
        <v>68487402128</v>
      </c>
      <c r="H1024" s="179">
        <f>IFERROR(D1024+G1024,D1024)</f>
        <v/>
      </c>
      <c r="I1024" s="184">
        <f>IFERROR(D1024/H1024,"")</f>
        <v/>
      </c>
      <c r="J1024" s="179" t="n">
        <v>8923987975</v>
      </c>
      <c r="K1024" s="179" t="n">
        <v>17847975950</v>
      </c>
      <c r="L1024" s="179" t="n">
        <v>26771963924</v>
      </c>
    </row>
    <row r="1025" ht="15" customHeight="1" s="95">
      <c r="A1025" s="143" t="n">
        <v>44854</v>
      </c>
      <c r="B1025" s="146" t="n">
        <v>1.000564</v>
      </c>
      <c r="C1025" s="179" t="n">
        <v>44399264134</v>
      </c>
      <c r="D1025" s="179" t="n">
        <v>44374251865</v>
      </c>
      <c r="E1025" s="146" t="n">
        <v>1.000795</v>
      </c>
      <c r="F1025" s="179" t="n">
        <v>68452826677</v>
      </c>
      <c r="G1025" s="179" t="n">
        <v>68398471416</v>
      </c>
      <c r="H1025" s="179">
        <f>IFERROR(D1025+G1025,D1025)</f>
        <v/>
      </c>
      <c r="I1025" s="184">
        <f>IFERROR(D1025/H1025,"")</f>
        <v/>
      </c>
      <c r="J1025" s="179" t="n">
        <v>8874850373</v>
      </c>
      <c r="K1025" s="179" t="n">
        <v>17749700746</v>
      </c>
      <c r="L1025" s="179" t="n">
        <v>26624551119</v>
      </c>
    </row>
    <row r="1026" ht="15" customHeight="1" s="95">
      <c r="A1026" s="143" t="n">
        <v>44855</v>
      </c>
      <c r="B1026" s="146" t="n">
        <v>0.998988</v>
      </c>
      <c r="C1026" s="179" t="n">
        <v>43915403661</v>
      </c>
      <c r="D1026" s="179" t="n">
        <v>43959894259</v>
      </c>
      <c r="E1026" s="146" t="n">
        <v>0.999757</v>
      </c>
      <c r="F1026" s="179" t="n">
        <v>68446610236</v>
      </c>
      <c r="G1026" s="179" t="n">
        <v>68463247923</v>
      </c>
      <c r="H1026" s="179">
        <f>IFERROR(D1026+G1026,D1026)</f>
        <v/>
      </c>
      <c r="I1026" s="184">
        <f>IFERROR(D1026/H1026,"")</f>
        <v/>
      </c>
      <c r="J1026" s="179" t="n">
        <v>8791978852</v>
      </c>
      <c r="K1026" s="179" t="n">
        <v>17583957704</v>
      </c>
      <c r="L1026" s="179" t="n">
        <v>26375936555</v>
      </c>
    </row>
    <row r="1027" ht="15" customHeight="1" s="95">
      <c r="A1027" s="143" t="n">
        <v>44856</v>
      </c>
      <c r="B1027" s="146" t="n">
        <v>0.999034</v>
      </c>
      <c r="C1027" s="179" t="n">
        <v>43900140152</v>
      </c>
      <c r="D1027" s="179" t="n">
        <v>43942582619</v>
      </c>
      <c r="E1027" s="146" t="n">
        <v>1.000082</v>
      </c>
      <c r="F1027" s="179" t="n">
        <v>68465349602</v>
      </c>
      <c r="G1027" s="179" t="n">
        <v>68459704864</v>
      </c>
      <c r="H1027" s="179">
        <f>IFERROR(D1027+G1027,D1027)</f>
        <v/>
      </c>
      <c r="I1027" s="184">
        <f>IFERROR(D1027/H1027,"")</f>
        <v/>
      </c>
      <c r="J1027" s="179" t="n">
        <v>8788516524</v>
      </c>
      <c r="K1027" s="179" t="n">
        <v>17577033048</v>
      </c>
      <c r="L1027" s="179" t="n">
        <v>26365549571</v>
      </c>
    </row>
    <row r="1028" ht="15" customHeight="1" s="95">
      <c r="A1028" s="143" t="n">
        <v>44857</v>
      </c>
      <c r="B1028" s="146" t="n">
        <v>0.99955</v>
      </c>
      <c r="C1028" s="179" t="n">
        <v>43913475709</v>
      </c>
      <c r="D1028" s="179" t="n">
        <v>43933237304</v>
      </c>
      <c r="E1028" s="146" t="n">
        <v>0.999968</v>
      </c>
      <c r="F1028" s="179" t="n">
        <v>68458383191</v>
      </c>
      <c r="G1028" s="179" t="n">
        <v>68460550296</v>
      </c>
      <c r="H1028" s="179">
        <f>IFERROR(D1028+G1028,D1028)</f>
        <v/>
      </c>
      <c r="I1028" s="184">
        <f>IFERROR(D1028/H1028,"")</f>
        <v/>
      </c>
      <c r="J1028" s="179" t="n">
        <v>8786647461</v>
      </c>
      <c r="K1028" s="179" t="n">
        <v>17573294922</v>
      </c>
      <c r="L1028" s="179" t="n">
        <v>26359942382</v>
      </c>
    </row>
    <row r="1029" ht="15" customHeight="1" s="95">
      <c r="A1029" s="143" t="n">
        <v>44858</v>
      </c>
      <c r="B1029" s="146" t="n">
        <v>1.001363</v>
      </c>
      <c r="C1029" s="179" t="n">
        <v>43923123683</v>
      </c>
      <c r="D1029" s="179" t="n">
        <v>43863350088</v>
      </c>
      <c r="E1029" s="146" t="n">
        <v>0.999435</v>
      </c>
      <c r="F1029" s="179" t="n">
        <v>68424379026</v>
      </c>
      <c r="G1029" s="179" t="n">
        <v>68463047988</v>
      </c>
      <c r="H1029" s="179">
        <f>IFERROR(D1029+G1029,D1029)</f>
        <v/>
      </c>
      <c r="I1029" s="184">
        <f>IFERROR(D1029/H1029,"")</f>
        <v/>
      </c>
      <c r="J1029" s="179" t="n">
        <v>8772670018</v>
      </c>
      <c r="K1029" s="179" t="n">
        <v>17545340035</v>
      </c>
      <c r="L1029" s="179" t="n">
        <v>26318010053</v>
      </c>
    </row>
    <row r="1030" ht="15" customHeight="1" s="95">
      <c r="A1030" s="143" t="n">
        <v>44859</v>
      </c>
      <c r="B1030" s="146" t="n">
        <v>0.999758</v>
      </c>
      <c r="C1030" s="179" t="n">
        <v>43774483587</v>
      </c>
      <c r="D1030" s="179" t="n">
        <v>43785092377</v>
      </c>
      <c r="E1030" s="146" t="n">
        <v>0.998938</v>
      </c>
      <c r="F1030" s="179" t="n">
        <v>68401790564</v>
      </c>
      <c r="G1030" s="179" t="n">
        <v>68474482520</v>
      </c>
      <c r="H1030" s="179">
        <f>IFERROR(D1030+G1030,D1030)</f>
        <v/>
      </c>
      <c r="I1030" s="184">
        <f>IFERROR(D1030/H1030,"")</f>
        <v/>
      </c>
      <c r="J1030" s="179" t="n">
        <v>8757018475</v>
      </c>
      <c r="K1030" s="179" t="n">
        <v>17514036951</v>
      </c>
      <c r="L1030" s="179" t="n">
        <v>26271055426</v>
      </c>
    </row>
    <row r="1031" ht="15" customHeight="1" s="95">
      <c r="A1031" s="143" t="n">
        <v>44860</v>
      </c>
      <c r="B1031" s="146" t="n">
        <v>0.999772</v>
      </c>
      <c r="C1031" s="179" t="n">
        <v>43760353889</v>
      </c>
      <c r="D1031" s="179" t="n">
        <v>43770314412</v>
      </c>
      <c r="E1031" s="146" t="n">
        <v>0.999888</v>
      </c>
      <c r="F1031" s="179" t="n">
        <v>68515959469</v>
      </c>
      <c r="G1031" s="179" t="n">
        <v>68523645926</v>
      </c>
      <c r="H1031" s="179">
        <f>IFERROR(D1031+G1031,D1031)</f>
        <v/>
      </c>
      <c r="I1031" s="184">
        <f>IFERROR(D1031/H1031,"")</f>
        <v/>
      </c>
      <c r="J1031" s="179" t="n">
        <v>8754062882</v>
      </c>
      <c r="K1031" s="179" t="n">
        <v>17508125765</v>
      </c>
      <c r="L1031" s="179" t="n">
        <v>26262188647</v>
      </c>
    </row>
    <row r="1032" ht="15" customHeight="1" s="95">
      <c r="A1032" s="143" t="n">
        <v>44861</v>
      </c>
      <c r="B1032" s="146" t="n">
        <v>0.999893</v>
      </c>
      <c r="C1032" s="179" t="n">
        <v>43823149351</v>
      </c>
      <c r="D1032" s="179" t="n">
        <v>43827839075</v>
      </c>
      <c r="E1032" s="146" t="n">
        <v>1.000025</v>
      </c>
      <c r="F1032" s="179" t="n">
        <v>68539062510</v>
      </c>
      <c r="G1032" s="179" t="n">
        <v>68537350025</v>
      </c>
      <c r="H1032" s="179">
        <f>IFERROR(D1032+G1032,D1032)</f>
        <v/>
      </c>
      <c r="I1032" s="184">
        <f>IFERROR(D1032/H1032,"")</f>
        <v/>
      </c>
      <c r="J1032" s="179" t="n">
        <v>8765567815</v>
      </c>
      <c r="K1032" s="179" t="n">
        <v>17531135630</v>
      </c>
      <c r="L1032" s="179" t="n">
        <v>26296703445</v>
      </c>
    </row>
    <row r="1033" ht="15" customHeight="1" s="95">
      <c r="A1033" s="143" t="n">
        <v>44862</v>
      </c>
      <c r="B1033" s="146" t="n">
        <v>1.000077</v>
      </c>
      <c r="C1033" s="179" t="n">
        <v>43971339153</v>
      </c>
      <c r="D1033" s="179" t="n">
        <v>43967951987</v>
      </c>
      <c r="E1033" s="146" t="n">
        <v>0.9998</v>
      </c>
      <c r="F1033" s="179" t="n">
        <v>68889141732</v>
      </c>
      <c r="G1033" s="179" t="n">
        <v>68902939313</v>
      </c>
      <c r="H1033" s="179">
        <f>IFERROR(D1033+G1033,D1033)</f>
        <v/>
      </c>
      <c r="I1033" s="184">
        <f>IFERROR(D1033/H1033,"")</f>
        <v/>
      </c>
      <c r="J1033" s="179" t="n">
        <v>8793590397</v>
      </c>
      <c r="K1033" s="179" t="n">
        <v>17587180795</v>
      </c>
      <c r="L1033" s="179" t="n">
        <v>26380771192</v>
      </c>
    </row>
    <row r="1034" ht="15" customHeight="1" s="95">
      <c r="A1034" s="143" t="n">
        <v>44863</v>
      </c>
      <c r="B1034" s="146" t="n">
        <v>0.999289</v>
      </c>
      <c r="C1034" s="179" t="n">
        <v>43735636820</v>
      </c>
      <c r="D1034" s="179" t="n">
        <v>43766765741</v>
      </c>
      <c r="E1034" s="146" t="n">
        <v>0.999621</v>
      </c>
      <c r="F1034" s="179" t="n">
        <v>68964914947</v>
      </c>
      <c r="G1034" s="179" t="n">
        <v>68991078020</v>
      </c>
      <c r="H1034" s="179">
        <f>IFERROR(D1034+G1034,D1034)</f>
        <v/>
      </c>
      <c r="I1034" s="184">
        <f>IFERROR(D1034/H1034,"")</f>
        <v/>
      </c>
      <c r="J1034" s="179" t="n">
        <v>8753353148</v>
      </c>
      <c r="K1034" s="179" t="n">
        <v>17506706296</v>
      </c>
      <c r="L1034" s="179" t="n">
        <v>26260059445</v>
      </c>
    </row>
    <row r="1035" ht="15" customHeight="1" s="95">
      <c r="A1035" s="143" t="n">
        <v>44864</v>
      </c>
      <c r="B1035" s="146" t="n">
        <v>0.9993069999999999</v>
      </c>
      <c r="C1035" s="179" t="n">
        <v>43687403699</v>
      </c>
      <c r="D1035" s="179" t="n">
        <v>43717707581</v>
      </c>
      <c r="E1035" s="146" t="n">
        <v>0.9999479999999999</v>
      </c>
      <c r="F1035" s="179" t="n">
        <v>69095205493</v>
      </c>
      <c r="G1035" s="179" t="n">
        <v>69098785688</v>
      </c>
      <c r="H1035" s="179">
        <f>IFERROR(D1035+G1035,D1035)</f>
        <v/>
      </c>
      <c r="I1035" s="184">
        <f>IFERROR(D1035/H1035,"")</f>
        <v/>
      </c>
      <c r="J1035" s="179" t="n">
        <v>8743541516</v>
      </c>
      <c r="K1035" s="179" t="n">
        <v>17487083032</v>
      </c>
      <c r="L1035" s="179" t="n">
        <v>26230624549</v>
      </c>
    </row>
    <row r="1036" ht="15" customHeight="1" s="95">
      <c r="A1036" s="143" t="n">
        <v>44865</v>
      </c>
      <c r="B1036" s="146" t="n">
        <v>0.999764</v>
      </c>
      <c r="C1036" s="179" t="n">
        <v>43650950203</v>
      </c>
      <c r="D1036" s="179" t="n">
        <v>43661258130</v>
      </c>
      <c r="E1036" s="146" t="n">
        <v>1.000053</v>
      </c>
      <c r="F1036" s="179" t="n">
        <v>69094359478</v>
      </c>
      <c r="G1036" s="179" t="n">
        <v>69090705114</v>
      </c>
      <c r="H1036" s="179">
        <f>IFERROR(D1036+G1036,D1036)</f>
        <v/>
      </c>
      <c r="I1036" s="184">
        <f>IFERROR(D1036/H1036,"")</f>
        <v/>
      </c>
      <c r="J1036" s="179" t="n">
        <v>8732251626</v>
      </c>
      <c r="K1036" s="179" t="n">
        <v>17464503252</v>
      </c>
      <c r="L1036" s="179" t="n">
        <v>26196754878</v>
      </c>
    </row>
    <row r="1037" ht="15" customHeight="1" s="95">
      <c r="A1037" s="143" t="n">
        <v>44866</v>
      </c>
      <c r="B1037" s="146" t="n">
        <v>0.999732</v>
      </c>
      <c r="C1037" s="179" t="n">
        <v>43404958127</v>
      </c>
      <c r="D1037" s="179" t="n">
        <v>43416605066</v>
      </c>
      <c r="E1037" s="146" t="n">
        <v>0.9997740000000001</v>
      </c>
      <c r="F1037" s="179" t="n">
        <v>69380585989</v>
      </c>
      <c r="G1037" s="179" t="n">
        <v>69396241356</v>
      </c>
      <c r="H1037" s="179">
        <f>IFERROR(D1037+G1037,D1037)</f>
        <v/>
      </c>
      <c r="I1037" s="184">
        <f>IFERROR(D1037/H1037,"")</f>
        <v/>
      </c>
      <c r="J1037" s="179" t="n">
        <v>8683321013</v>
      </c>
      <c r="K1037" s="179" t="n">
        <v>17366642026</v>
      </c>
      <c r="L1037" s="179" t="n">
        <v>26049963040</v>
      </c>
    </row>
    <row r="1038" ht="15" customHeight="1" s="95">
      <c r="A1038" s="143" t="n">
        <v>44867</v>
      </c>
      <c r="B1038" s="146" t="n">
        <v>1.000892</v>
      </c>
      <c r="C1038" s="179" t="n">
        <v>43002287942</v>
      </c>
      <c r="D1038" s="179" t="n">
        <v>42963956348</v>
      </c>
      <c r="E1038" s="146" t="n">
        <v>1.000245</v>
      </c>
      <c r="F1038" s="179" t="n">
        <v>69425689152</v>
      </c>
      <c r="G1038" s="179" t="n">
        <v>69408690462</v>
      </c>
      <c r="H1038" s="179">
        <f>IFERROR(D1038+G1038,D1038)</f>
        <v/>
      </c>
      <c r="I1038" s="184">
        <f>IFERROR(D1038/H1038,"")</f>
        <v/>
      </c>
      <c r="J1038" s="179" t="n">
        <v>8592791270</v>
      </c>
      <c r="K1038" s="179" t="n">
        <v>17185582539</v>
      </c>
      <c r="L1038" s="179" t="n">
        <v>25778373809</v>
      </c>
    </row>
    <row r="1039" ht="15" customHeight="1" s="95">
      <c r="A1039" s="143" t="n">
        <v>44868</v>
      </c>
      <c r="B1039" s="146" t="n">
        <v>0.999964</v>
      </c>
      <c r="C1039" s="179" t="n">
        <v>42583246690</v>
      </c>
      <c r="D1039" s="179" t="n">
        <v>42584793285</v>
      </c>
      <c r="E1039" s="146" t="n">
        <v>1.000458</v>
      </c>
      <c r="F1039" s="179" t="n">
        <v>69431437615</v>
      </c>
      <c r="G1039" s="179" t="n">
        <v>69399665189</v>
      </c>
      <c r="H1039" s="179">
        <f>IFERROR(D1039+G1039,D1039)</f>
        <v/>
      </c>
      <c r="I1039" s="184">
        <f>IFERROR(D1039/H1039,"")</f>
        <v/>
      </c>
      <c r="J1039" s="179" t="n">
        <v>8516958657</v>
      </c>
      <c r="K1039" s="179" t="n">
        <v>17033917314</v>
      </c>
      <c r="L1039" s="179" t="n">
        <v>25550875971</v>
      </c>
    </row>
    <row r="1040" ht="15" customHeight="1" s="95">
      <c r="A1040" s="143" t="n">
        <v>44869</v>
      </c>
      <c r="B1040" s="146" t="n">
        <v>1.000324</v>
      </c>
      <c r="C1040" s="179" t="n">
        <v>42134427139</v>
      </c>
      <c r="D1040" s="179" t="n">
        <v>42120791122</v>
      </c>
      <c r="E1040" s="146" t="n">
        <v>1.000395</v>
      </c>
      <c r="F1040" s="179" t="n">
        <v>69350142130</v>
      </c>
      <c r="G1040" s="179" t="n">
        <v>69322786081</v>
      </c>
      <c r="H1040" s="179">
        <f>IFERROR(D1040+G1040,D1040)</f>
        <v/>
      </c>
      <c r="I1040" s="184">
        <f>IFERROR(D1040/H1040,"")</f>
        <v/>
      </c>
      <c r="J1040" s="179" t="n">
        <v>8424158224</v>
      </c>
      <c r="K1040" s="179" t="n">
        <v>16848316449</v>
      </c>
      <c r="L1040" s="179" t="n">
        <v>25272474673</v>
      </c>
    </row>
    <row r="1041" ht="15" customHeight="1" s="95">
      <c r="A1041" s="143" t="n">
        <v>44870</v>
      </c>
      <c r="B1041" s="146" t="n">
        <v>1.000171</v>
      </c>
      <c r="C1041" s="179" t="n">
        <v>42096164338</v>
      </c>
      <c r="D1041" s="179" t="n">
        <v>42088976307</v>
      </c>
      <c r="E1041" s="146" t="n">
        <v>0.999918</v>
      </c>
      <c r="F1041" s="179" t="n">
        <v>69355263616</v>
      </c>
      <c r="G1041" s="179" t="n">
        <v>69360964516</v>
      </c>
      <c r="H1041" s="179">
        <f>IFERROR(D1041+G1041,D1041)</f>
        <v/>
      </c>
      <c r="I1041" s="184">
        <f>IFERROR(D1041/H1041,"")</f>
        <v/>
      </c>
      <c r="J1041" s="179" t="n">
        <v>8417795261</v>
      </c>
      <c r="K1041" s="179" t="n">
        <v>16835590523</v>
      </c>
      <c r="L1041" s="179" t="n">
        <v>25253385784</v>
      </c>
    </row>
    <row r="1042" ht="15" customHeight="1" s="95">
      <c r="A1042" s="143" t="n">
        <v>44871</v>
      </c>
      <c r="B1042" s="146" t="n">
        <v>1.000378</v>
      </c>
      <c r="C1042" s="179" t="n">
        <v>42052836506</v>
      </c>
      <c r="D1042" s="179" t="n">
        <v>42036966214</v>
      </c>
      <c r="E1042" s="146" t="n">
        <v>0.999736</v>
      </c>
      <c r="F1042" s="179" t="n">
        <v>69350525154</v>
      </c>
      <c r="G1042" s="179" t="n">
        <v>69368815512</v>
      </c>
      <c r="H1042" s="179">
        <f>IFERROR(D1042+G1042,D1042)</f>
        <v/>
      </c>
      <c r="I1042" s="184">
        <f>IFERROR(D1042/H1042,"")</f>
        <v/>
      </c>
      <c r="J1042" s="179" t="n">
        <v>8407393243</v>
      </c>
      <c r="K1042" s="179" t="n">
        <v>16814786486</v>
      </c>
      <c r="L1042" s="179" t="n">
        <v>25222179728</v>
      </c>
    </row>
    <row r="1043" ht="15" customHeight="1" s="95">
      <c r="A1043" s="143" t="n">
        <v>44872</v>
      </c>
      <c r="B1043" s="146" t="n">
        <v>0.9995039999999999</v>
      </c>
      <c r="C1043" s="179" t="n">
        <v>42327476716</v>
      </c>
      <c r="D1043" s="179" t="n">
        <v>42348490247</v>
      </c>
      <c r="E1043" s="146" t="n">
        <v>0.999788</v>
      </c>
      <c r="F1043" s="179" t="n">
        <v>69346001162</v>
      </c>
      <c r="G1043" s="179" t="n">
        <v>69360692564</v>
      </c>
      <c r="H1043" s="179">
        <f>IFERROR(D1043+G1043,D1043)</f>
        <v/>
      </c>
      <c r="I1043" s="184">
        <f>IFERROR(D1043/H1043,"")</f>
        <v/>
      </c>
      <c r="J1043" s="179" t="n">
        <v>8469698049</v>
      </c>
      <c r="K1043" s="179" t="n">
        <v>16939396099</v>
      </c>
      <c r="L1043" s="179" t="n">
        <v>25409094148</v>
      </c>
    </row>
    <row r="1044" ht="15" customHeight="1" s="95">
      <c r="A1044" s="143" t="n">
        <v>44873</v>
      </c>
      <c r="B1044" s="146" t="n">
        <v>1.001151</v>
      </c>
      <c r="C1044" s="179" t="n">
        <v>43328997278</v>
      </c>
      <c r="D1044" s="179" t="n">
        <v>43279176485</v>
      </c>
      <c r="E1044" s="146" t="n">
        <v>1.000631</v>
      </c>
      <c r="F1044" s="179" t="n">
        <v>69511154153</v>
      </c>
      <c r="G1044" s="179" t="n">
        <v>69467339986</v>
      </c>
      <c r="H1044" s="179">
        <f>IFERROR(D1044+G1044,D1044)</f>
        <v/>
      </c>
      <c r="I1044" s="184">
        <f>IFERROR(D1044/H1044,"")</f>
        <v/>
      </c>
      <c r="J1044" s="179" t="n">
        <v>8655835297</v>
      </c>
      <c r="K1044" s="179" t="n">
        <v>17311670594</v>
      </c>
      <c r="L1044" s="179" t="n">
        <v>25967505891</v>
      </c>
    </row>
    <row r="1045" ht="15" customHeight="1" s="95">
      <c r="A1045" s="143" t="n">
        <v>44874</v>
      </c>
      <c r="B1045" s="146" t="n">
        <v>0.999633</v>
      </c>
      <c r="C1045" s="179" t="n">
        <v>42692116354</v>
      </c>
      <c r="D1045" s="179" t="n">
        <v>42707789814</v>
      </c>
      <c r="E1045" s="146" t="n">
        <v>0.9999400000000001</v>
      </c>
      <c r="F1045" s="179" t="n">
        <v>69513632100</v>
      </c>
      <c r="G1045" s="179" t="n">
        <v>69517800082</v>
      </c>
      <c r="H1045" s="179">
        <f>IFERROR(D1045+G1045,D1045)</f>
        <v/>
      </c>
      <c r="I1045" s="184">
        <f>IFERROR(D1045/H1045,"")</f>
        <v/>
      </c>
      <c r="J1045" s="179" t="n">
        <v>8541557963</v>
      </c>
      <c r="K1045" s="179" t="n">
        <v>17083115926</v>
      </c>
      <c r="L1045" s="179" t="n">
        <v>25624673888</v>
      </c>
    </row>
    <row r="1046" ht="15" customHeight="1" s="95">
      <c r="A1046" s="143" t="n">
        <v>44875</v>
      </c>
      <c r="B1046" s="146" t="n">
        <v>0.9940330000000001</v>
      </c>
      <c r="C1046" s="179" t="n">
        <v>42786320122</v>
      </c>
      <c r="D1046" s="179" t="n">
        <v>43043172302</v>
      </c>
      <c r="E1046" s="146" t="n">
        <v>0.993587</v>
      </c>
      <c r="F1046" s="179" t="n">
        <v>69466521505</v>
      </c>
      <c r="G1046" s="179" t="n">
        <v>69914874917</v>
      </c>
      <c r="H1046" s="179">
        <f>IFERROR(D1046+G1046,D1046)</f>
        <v/>
      </c>
      <c r="I1046" s="184">
        <f>IFERROR(D1046/H1046,"")</f>
        <v/>
      </c>
      <c r="J1046" s="179" t="n">
        <v>8608634460</v>
      </c>
      <c r="K1046" s="179" t="n">
        <v>17217268921</v>
      </c>
      <c r="L1046" s="179" t="n">
        <v>25825903381</v>
      </c>
    </row>
    <row r="1047" ht="15" customHeight="1" s="95">
      <c r="A1047" s="143" t="n">
        <v>44876</v>
      </c>
      <c r="B1047" s="146" t="n">
        <v>1.001457</v>
      </c>
      <c r="C1047" s="179" t="n">
        <v>43650609778</v>
      </c>
      <c r="D1047" s="179" t="n">
        <v>43587095497</v>
      </c>
      <c r="E1047" s="146" t="n">
        <v>1.000119</v>
      </c>
      <c r="F1047" s="179" t="n">
        <v>68441044955</v>
      </c>
      <c r="G1047" s="179" t="n">
        <v>68432870528</v>
      </c>
      <c r="H1047" s="179">
        <f>IFERROR(D1047+G1047,D1047)</f>
        <v/>
      </c>
      <c r="I1047" s="184">
        <f>IFERROR(D1047/H1047,"")</f>
        <v/>
      </c>
      <c r="J1047" s="179" t="n">
        <v>8717419099</v>
      </c>
      <c r="K1047" s="179" t="n">
        <v>17434838199</v>
      </c>
      <c r="L1047" s="179" t="n">
        <v>26152257298</v>
      </c>
    </row>
    <row r="1048" ht="15" customHeight="1" s="95">
      <c r="A1048" s="143" t="n">
        <v>44877</v>
      </c>
      <c r="B1048" s="146" t="n">
        <v>1.004296</v>
      </c>
      <c r="C1048" s="179" t="n">
        <v>43885311174</v>
      </c>
      <c r="D1048" s="179" t="n">
        <v>43697597566</v>
      </c>
      <c r="E1048" s="146" t="n">
        <v>1.003594</v>
      </c>
      <c r="F1048" s="179" t="n">
        <v>68399398020</v>
      </c>
      <c r="G1048" s="179" t="n">
        <v>68154446434</v>
      </c>
      <c r="H1048" s="179">
        <f>IFERROR(D1048+G1048,D1048)</f>
        <v/>
      </c>
      <c r="I1048" s="184">
        <f>IFERROR(D1048/H1048,"")</f>
        <v/>
      </c>
      <c r="J1048" s="179" t="n">
        <v>8739519513</v>
      </c>
      <c r="K1048" s="179" t="n">
        <v>17479039026</v>
      </c>
      <c r="L1048" s="179" t="n">
        <v>26218558540</v>
      </c>
    </row>
    <row r="1049" ht="15" customHeight="1" s="95">
      <c r="A1049" s="143" t="n">
        <v>44878</v>
      </c>
      <c r="B1049" s="146" t="n">
        <v>0.999994</v>
      </c>
      <c r="C1049" s="179" t="n">
        <v>44063041658</v>
      </c>
      <c r="D1049" s="179" t="n">
        <v>44063324856</v>
      </c>
      <c r="E1049" s="146" t="n">
        <v>0.999861</v>
      </c>
      <c r="F1049" s="179" t="n">
        <v>67396572037</v>
      </c>
      <c r="G1049" s="179" t="n">
        <v>67405965484</v>
      </c>
      <c r="H1049" s="179">
        <f>IFERROR(D1049+G1049,D1049)</f>
        <v/>
      </c>
      <c r="I1049" s="184">
        <f>IFERROR(D1049/H1049,"")</f>
        <v/>
      </c>
      <c r="J1049" s="179" t="n">
        <v>8812664971</v>
      </c>
      <c r="K1049" s="179" t="n">
        <v>17625329942</v>
      </c>
      <c r="L1049" s="179" t="n">
        <v>26437994914</v>
      </c>
    </row>
    <row r="1050" ht="15" customHeight="1" s="95">
      <c r="A1050" s="143" t="n">
        <v>44879</v>
      </c>
      <c r="B1050" s="146" t="n">
        <v>1.001781</v>
      </c>
      <c r="C1050" s="179" t="n">
        <v>44093694941</v>
      </c>
      <c r="D1050" s="179" t="n">
        <v>44015283158</v>
      </c>
      <c r="E1050" s="146" t="n">
        <v>1.000482</v>
      </c>
      <c r="F1050" s="179" t="n">
        <v>66441439081</v>
      </c>
      <c r="G1050" s="179" t="n">
        <v>66409433966</v>
      </c>
      <c r="H1050" s="179">
        <f>IFERROR(D1050+G1050,D1050)</f>
        <v/>
      </c>
      <c r="I1050" s="184">
        <f>IFERROR(D1050/H1050,"")</f>
        <v/>
      </c>
      <c r="J1050" s="179" t="n">
        <v>8803056632</v>
      </c>
      <c r="K1050" s="179" t="n">
        <v>17606113263</v>
      </c>
      <c r="L1050" s="179" t="n">
        <v>26409169895</v>
      </c>
    </row>
    <row r="1051" ht="15" customHeight="1" s="95">
      <c r="A1051" s="143" t="n">
        <v>44880</v>
      </c>
      <c r="B1051" s="146" t="n">
        <v>1.001955</v>
      </c>
      <c r="C1051" s="179" t="n">
        <v>44249938149</v>
      </c>
      <c r="D1051" s="179" t="n">
        <v>44163600173</v>
      </c>
      <c r="E1051" s="146" t="n">
        <v>1.001042</v>
      </c>
      <c r="F1051" s="179" t="n">
        <v>66459223430</v>
      </c>
      <c r="G1051" s="179" t="n">
        <v>66390077591</v>
      </c>
      <c r="H1051" s="179">
        <f>IFERROR(D1051+G1051,D1051)</f>
        <v/>
      </c>
      <c r="I1051" s="184">
        <f>IFERROR(D1051/H1051,"")</f>
        <v/>
      </c>
      <c r="J1051" s="179" t="n">
        <v>8832720035</v>
      </c>
      <c r="K1051" s="179" t="n">
        <v>17665440069</v>
      </c>
      <c r="L1051" s="179" t="n">
        <v>26498160104</v>
      </c>
    </row>
    <row r="1052" ht="15" customHeight="1" s="95">
      <c r="A1052" s="143" t="n">
        <v>44881</v>
      </c>
      <c r="B1052" s="146" t="n">
        <v>1.001355</v>
      </c>
      <c r="C1052" s="179" t="n">
        <v>44625634395</v>
      </c>
      <c r="D1052" s="179" t="n">
        <v>44565268184</v>
      </c>
      <c r="E1052" s="146" t="n">
        <v>1.0008</v>
      </c>
      <c r="F1052" s="179" t="n">
        <v>66125312403</v>
      </c>
      <c r="G1052" s="179" t="n">
        <v>66072429776</v>
      </c>
      <c r="H1052" s="179">
        <f>IFERROR(D1052+G1052,D1052)</f>
        <v/>
      </c>
      <c r="I1052" s="184">
        <f>IFERROR(D1052/H1052,"")</f>
        <v/>
      </c>
      <c r="J1052" s="179" t="n">
        <v>8913053637</v>
      </c>
      <c r="K1052" s="179" t="n">
        <v>17826107274</v>
      </c>
      <c r="L1052" s="179" t="n">
        <v>26739160910</v>
      </c>
    </row>
    <row r="1053" ht="15" customHeight="1" s="95">
      <c r="A1053" s="143" t="n">
        <v>44882</v>
      </c>
      <c r="B1053" s="146" t="n">
        <v>1.003394</v>
      </c>
      <c r="C1053" s="179" t="n">
        <v>44380809309</v>
      </c>
      <c r="D1053" s="179" t="n">
        <v>44230670666</v>
      </c>
      <c r="E1053" s="146" t="n">
        <v>1.001089</v>
      </c>
      <c r="F1053" s="179" t="n">
        <v>66019772913</v>
      </c>
      <c r="G1053" s="179" t="n">
        <v>65947923285</v>
      </c>
      <c r="H1053" s="179">
        <f>IFERROR(D1053+G1053,D1053)</f>
        <v/>
      </c>
      <c r="I1053" s="184">
        <f>IFERROR(D1053/H1053,"")</f>
        <v/>
      </c>
      <c r="J1053" s="179" t="n">
        <v>8846134133</v>
      </c>
      <c r="K1053" s="179" t="n">
        <v>17692268266</v>
      </c>
      <c r="L1053" s="179" t="n">
        <v>26538402400</v>
      </c>
    </row>
    <row r="1054" ht="15" customHeight="1" s="95">
      <c r="A1054" s="143" t="n">
        <v>44883</v>
      </c>
      <c r="B1054" s="146" t="n">
        <v>1.000949</v>
      </c>
      <c r="C1054" s="179" t="n">
        <v>44166074835</v>
      </c>
      <c r="D1054" s="179" t="n">
        <v>44124187821</v>
      </c>
      <c r="E1054" s="146" t="n">
        <v>1.001645</v>
      </c>
      <c r="F1054" s="179" t="n">
        <v>65972069594</v>
      </c>
      <c r="G1054" s="179" t="n">
        <v>65863746693</v>
      </c>
      <c r="H1054" s="179">
        <f>IFERROR(D1054+G1054,D1054)</f>
        <v/>
      </c>
      <c r="I1054" s="184">
        <f>IFERROR(D1054/H1054,"")</f>
        <v/>
      </c>
      <c r="J1054" s="179" t="n">
        <v>8824837564</v>
      </c>
      <c r="K1054" s="179" t="n">
        <v>17649675128</v>
      </c>
      <c r="L1054" s="179" t="n">
        <v>26474512693</v>
      </c>
    </row>
    <row r="1055" ht="15" customHeight="1" s="95">
      <c r="A1055" s="143" t="n">
        <v>44884</v>
      </c>
      <c r="B1055" s="146" t="n">
        <v>1.001759</v>
      </c>
      <c r="C1055" s="179" t="n">
        <v>44397713114</v>
      </c>
      <c r="D1055" s="179" t="n">
        <v>44319776760</v>
      </c>
      <c r="E1055" s="146" t="n">
        <v>1.000342</v>
      </c>
      <c r="F1055" s="179" t="n">
        <v>65986696851</v>
      </c>
      <c r="G1055" s="179" t="n">
        <v>65964132947</v>
      </c>
      <c r="H1055" s="179">
        <f>IFERROR(D1055+G1055,D1055)</f>
        <v/>
      </c>
      <c r="I1055" s="184">
        <f>IFERROR(D1055/H1055,"")</f>
        <v/>
      </c>
      <c r="J1055" s="179" t="n">
        <v>8863955352</v>
      </c>
      <c r="K1055" s="179" t="n">
        <v>17727910704</v>
      </c>
      <c r="L1055" s="179" t="n">
        <v>26591866056</v>
      </c>
    </row>
    <row r="1056" ht="15" customHeight="1" s="95">
      <c r="A1056" s="143" t="n">
        <v>44885</v>
      </c>
      <c r="B1056" s="146" t="n">
        <v>1.001057</v>
      </c>
      <c r="C1056" s="179" t="n">
        <v>44454698761</v>
      </c>
      <c r="D1056" s="179" t="n">
        <v>44407762519</v>
      </c>
      <c r="E1056" s="146" t="n">
        <v>1.000205</v>
      </c>
      <c r="F1056" s="179" t="n">
        <v>65965182392</v>
      </c>
      <c r="G1056" s="179" t="n">
        <v>65951687459</v>
      </c>
      <c r="H1056" s="179">
        <f>IFERROR(D1056+G1056,D1056)</f>
        <v/>
      </c>
      <c r="I1056" s="184">
        <f>IFERROR(D1056/H1056,"")</f>
        <v/>
      </c>
      <c r="J1056" s="179" t="n">
        <v>8881552504</v>
      </c>
      <c r="K1056" s="179" t="n">
        <v>17763105008</v>
      </c>
      <c r="L1056" s="179" t="n">
        <v>26644657511</v>
      </c>
    </row>
    <row r="1057" ht="15" customHeight="1" s="95">
      <c r="A1057" s="143" t="n">
        <v>44886</v>
      </c>
      <c r="B1057" s="146" t="n">
        <v>1.002172</v>
      </c>
      <c r="C1057" s="179" t="n">
        <v>44571997620</v>
      </c>
      <c r="D1057" s="179" t="n">
        <v>44475390416</v>
      </c>
      <c r="E1057" s="146" t="n">
        <v>1.001461</v>
      </c>
      <c r="F1057" s="179" t="n">
        <v>65964018960</v>
      </c>
      <c r="G1057" s="179" t="n">
        <v>65867768466</v>
      </c>
      <c r="H1057" s="179">
        <f>IFERROR(D1057+G1057,D1057)</f>
        <v/>
      </c>
      <c r="I1057" s="184">
        <f>IFERROR(D1057/H1057,"")</f>
        <v/>
      </c>
      <c r="J1057" s="179" t="n">
        <v>8895078083</v>
      </c>
      <c r="K1057" s="179" t="n">
        <v>17790156166</v>
      </c>
      <c r="L1057" s="179" t="n">
        <v>26685234250</v>
      </c>
    </row>
    <row r="1058" ht="15" customHeight="1" s="95">
      <c r="A1058" s="143" t="n">
        <v>44887</v>
      </c>
      <c r="B1058" s="146" t="n">
        <v>1.002092</v>
      </c>
      <c r="C1058" s="179" t="n">
        <v>44322455958</v>
      </c>
      <c r="D1058" s="179" t="n">
        <v>44229946627</v>
      </c>
      <c r="E1058" s="146" t="n">
        <v>1.000944</v>
      </c>
      <c r="F1058" s="179" t="n">
        <v>65939717655</v>
      </c>
      <c r="G1058" s="179" t="n">
        <v>65877516832</v>
      </c>
      <c r="H1058" s="179">
        <f>IFERROR(D1058+G1058,D1058)</f>
        <v/>
      </c>
      <c r="I1058" s="184">
        <f>IFERROR(D1058/H1058,"")</f>
        <v/>
      </c>
      <c r="J1058" s="179" t="n">
        <v>8845989325</v>
      </c>
      <c r="K1058" s="179" t="n">
        <v>17691978651</v>
      </c>
      <c r="L1058" s="179" t="n">
        <v>26537967976</v>
      </c>
    </row>
    <row r="1059" ht="15" customHeight="1" s="95">
      <c r="A1059" s="143" t="n">
        <v>44888</v>
      </c>
      <c r="B1059" s="146" t="n">
        <v>0.99934</v>
      </c>
      <c r="C1059" s="179" t="n">
        <v>44137703777</v>
      </c>
      <c r="D1059" s="179" t="n">
        <v>44166868402</v>
      </c>
      <c r="E1059" s="146" t="n">
        <v>0.999045</v>
      </c>
      <c r="F1059" s="179" t="n">
        <v>65597886005</v>
      </c>
      <c r="G1059" s="179" t="n">
        <v>65660579682</v>
      </c>
      <c r="H1059" s="179">
        <f>IFERROR(D1059+G1059,D1059)</f>
        <v/>
      </c>
      <c r="I1059" s="184">
        <f>IFERROR(D1059/H1059,"")</f>
        <v/>
      </c>
      <c r="J1059" s="179" t="n">
        <v>8833373680</v>
      </c>
      <c r="K1059" s="179" t="n">
        <v>17666747361</v>
      </c>
      <c r="L1059" s="179" t="n">
        <v>26500121041</v>
      </c>
    </row>
    <row r="1060" ht="15" customHeight="1" s="95">
      <c r="A1060" s="143" t="n">
        <v>44889</v>
      </c>
      <c r="B1060" s="146" t="n">
        <v>0.998584</v>
      </c>
      <c r="C1060" s="179" t="n">
        <v>43725048309</v>
      </c>
      <c r="D1060" s="179" t="n">
        <v>43787050804</v>
      </c>
      <c r="E1060" s="146" t="n">
        <v>1.000502</v>
      </c>
      <c r="F1060" s="179" t="n">
        <v>65543712562</v>
      </c>
      <c r="G1060" s="179" t="n">
        <v>65510845470</v>
      </c>
      <c r="H1060" s="179">
        <f>IFERROR(D1060+G1060,D1060)</f>
        <v/>
      </c>
      <c r="I1060" s="184">
        <f>IFERROR(D1060/H1060,"")</f>
        <v/>
      </c>
      <c r="J1060" s="179" t="n">
        <v>8757410161</v>
      </c>
      <c r="K1060" s="179" t="n">
        <v>17514820322</v>
      </c>
      <c r="L1060" s="179" t="n">
        <v>26272230482</v>
      </c>
    </row>
    <row r="1061" ht="15" customHeight="1" s="95">
      <c r="A1061" s="143" t="n">
        <v>44890</v>
      </c>
      <c r="B1061" s="146" t="n">
        <v>1.000754</v>
      </c>
      <c r="C1061" s="179" t="n">
        <v>44047195157</v>
      </c>
      <c r="D1061" s="179" t="n">
        <v>44013988086</v>
      </c>
      <c r="E1061" s="146" t="n">
        <v>1.000575</v>
      </c>
      <c r="F1061" s="179" t="n">
        <v>65367598699</v>
      </c>
      <c r="G1061" s="179" t="n">
        <v>65330004670</v>
      </c>
      <c r="H1061" s="179">
        <f>IFERROR(D1061+G1061,D1061)</f>
        <v/>
      </c>
      <c r="I1061" s="184">
        <f>IFERROR(D1061/H1061,"")</f>
        <v/>
      </c>
      <c r="J1061" s="179" t="n">
        <v>8802797617</v>
      </c>
      <c r="K1061" s="179" t="n">
        <v>17605595234</v>
      </c>
      <c r="L1061" s="179" t="n">
        <v>26408392852</v>
      </c>
    </row>
    <row r="1062" ht="15" customHeight="1" s="95">
      <c r="A1062" s="143" t="n">
        <v>44891</v>
      </c>
      <c r="B1062" s="146" t="n">
        <v>1.001764</v>
      </c>
      <c r="C1062" s="179" t="n">
        <v>43961272957</v>
      </c>
      <c r="D1062" s="179" t="n">
        <v>43883880125</v>
      </c>
      <c r="E1062" s="146" t="n">
        <v>0.999675</v>
      </c>
      <c r="F1062" s="179" t="n">
        <v>65345701967</v>
      </c>
      <c r="G1062" s="179" t="n">
        <v>65366929898</v>
      </c>
      <c r="H1062" s="179">
        <f>IFERROR(D1062+G1062,D1062)</f>
        <v/>
      </c>
      <c r="I1062" s="184">
        <f>IFERROR(D1062/H1062,"")</f>
        <v/>
      </c>
      <c r="J1062" s="179" t="n">
        <v>8776776025</v>
      </c>
      <c r="K1062" s="179" t="n">
        <v>17553552050</v>
      </c>
      <c r="L1062" s="179" t="n">
        <v>26330328075</v>
      </c>
    </row>
    <row r="1063" ht="15" customHeight="1" s="95">
      <c r="A1063" s="143" t="n">
        <v>44892</v>
      </c>
      <c r="B1063" s="146" t="n">
        <v>1.000996</v>
      </c>
      <c r="C1063" s="179" t="n">
        <v>44130944749</v>
      </c>
      <c r="D1063" s="179" t="n">
        <v>44087046051</v>
      </c>
      <c r="E1063" s="146" t="n">
        <v>0.999756</v>
      </c>
      <c r="F1063" s="179" t="n">
        <v>65338517247</v>
      </c>
      <c r="G1063" s="179" t="n">
        <v>65354433231</v>
      </c>
      <c r="H1063" s="179">
        <f>IFERROR(D1063+G1063,D1063)</f>
        <v/>
      </c>
      <c r="I1063" s="184">
        <f>IFERROR(D1063/H1063,"")</f>
        <v/>
      </c>
      <c r="J1063" s="179" t="n">
        <v>8817409210</v>
      </c>
      <c r="K1063" s="179" t="n">
        <v>17634818420</v>
      </c>
      <c r="L1063" s="179" t="n">
        <v>26452227631</v>
      </c>
    </row>
    <row r="1064" ht="15" customHeight="1" s="95">
      <c r="A1064" s="143" t="n">
        <v>44893</v>
      </c>
      <c r="B1064" s="146" t="n">
        <v>1.001449</v>
      </c>
      <c r="C1064" s="179" t="n">
        <v>44267982124</v>
      </c>
      <c r="D1064" s="179" t="n">
        <v>44203952592</v>
      </c>
      <c r="E1064" s="146" t="n">
        <v>1.000923</v>
      </c>
      <c r="F1064" s="179" t="n">
        <v>65432655693</v>
      </c>
      <c r="G1064" s="179" t="n">
        <v>65372285812</v>
      </c>
      <c r="H1064" s="179">
        <f>IFERROR(D1064+G1064,D1064)</f>
        <v/>
      </c>
      <c r="I1064" s="184">
        <f>IFERROR(D1064/H1064,"")</f>
        <v/>
      </c>
      <c r="J1064" s="179" t="n">
        <v>8840790518</v>
      </c>
      <c r="K1064" s="179" t="n">
        <v>17681581037</v>
      </c>
      <c r="L1064" s="179" t="n">
        <v>26522371555</v>
      </c>
    </row>
    <row r="1065" ht="15" customHeight="1" s="95">
      <c r="A1065" s="143" t="n">
        <v>44894</v>
      </c>
      <c r="B1065" s="146" t="n">
        <v>1.000884</v>
      </c>
      <c r="C1065" s="179" t="n">
        <v>43639134379</v>
      </c>
      <c r="D1065" s="179" t="n">
        <v>43600592982</v>
      </c>
      <c r="E1065" s="146" t="n">
        <v>1.000362</v>
      </c>
      <c r="F1065" s="179" t="n">
        <v>65361591999</v>
      </c>
      <c r="G1065" s="179" t="n">
        <v>65337935131</v>
      </c>
      <c r="H1065" s="179">
        <f>IFERROR(D1065+G1065,D1065)</f>
        <v/>
      </c>
      <c r="I1065" s="184">
        <f>IFERROR(D1065/H1065,"")</f>
        <v/>
      </c>
      <c r="J1065" s="179" t="n">
        <v>8720118596</v>
      </c>
      <c r="K1065" s="179" t="n">
        <v>17440237193</v>
      </c>
      <c r="L1065" s="179" t="n">
        <v>26160355789</v>
      </c>
    </row>
    <row r="1066" ht="15" customHeight="1" s="95">
      <c r="A1066" s="143" t="n">
        <v>44895</v>
      </c>
      <c r="B1066" s="146" t="n">
        <v>1.000488</v>
      </c>
      <c r="C1066" s="179" t="n">
        <v>43289158814</v>
      </c>
      <c r="D1066" s="179" t="n">
        <v>43268042316</v>
      </c>
      <c r="E1066" s="146" t="n">
        <v>0.999991</v>
      </c>
      <c r="F1066" s="179" t="n">
        <v>65366405161</v>
      </c>
      <c r="G1066" s="179" t="n">
        <v>65366991178</v>
      </c>
      <c r="H1066" s="179">
        <f>IFERROR(D1066+G1066,D1066)</f>
        <v/>
      </c>
      <c r="I1066" s="184">
        <f>IFERROR(D1066/H1066,"")</f>
        <v/>
      </c>
      <c r="J1066" s="179" t="n">
        <v>8653608463</v>
      </c>
      <c r="K1066" s="179" t="n">
        <v>17307216926</v>
      </c>
      <c r="L1066" s="179" t="n">
        <v>25960825390</v>
      </c>
    </row>
    <row r="1067" ht="15" customHeight="1" s="95">
      <c r="A1067" s="143" t="n">
        <v>44896</v>
      </c>
      <c r="B1067" s="146" t="n">
        <v>0.99999</v>
      </c>
      <c r="C1067" s="179" t="n">
        <v>43237688218</v>
      </c>
      <c r="D1067" s="179" t="n">
        <v>43238131169</v>
      </c>
      <c r="E1067" s="146" t="n">
        <v>1.001103</v>
      </c>
      <c r="F1067" s="179" t="n">
        <v>65511131600</v>
      </c>
      <c r="G1067" s="179" t="n">
        <v>65438942000</v>
      </c>
      <c r="H1067" s="179">
        <f>IFERROR(D1067+G1067,D1067)</f>
        <v/>
      </c>
      <c r="I1067" s="184">
        <f>IFERROR(D1067/H1067,"")</f>
        <v/>
      </c>
      <c r="J1067" s="179" t="n">
        <v>8647626234</v>
      </c>
      <c r="K1067" s="179" t="n">
        <v>17295252468</v>
      </c>
      <c r="L1067" s="179" t="n">
        <v>25942878701</v>
      </c>
    </row>
    <row r="1068" ht="15" customHeight="1" s="95">
      <c r="A1068" s="143" t="n">
        <v>44897</v>
      </c>
      <c r="B1068" s="146" t="n">
        <v>0.999812</v>
      </c>
      <c r="C1068" s="179" t="n">
        <v>43038089851</v>
      </c>
      <c r="D1068" s="179" t="n">
        <v>43046174136</v>
      </c>
      <c r="E1068" s="146" t="n">
        <v>1.000496</v>
      </c>
      <c r="F1068" s="179" t="n">
        <v>65641200262</v>
      </c>
      <c r="G1068" s="179" t="n">
        <v>65608652747</v>
      </c>
      <c r="H1068" s="179">
        <f>IFERROR(D1068+G1068,D1068)</f>
        <v/>
      </c>
      <c r="I1068" s="184">
        <f>IFERROR(D1068/H1068,"")</f>
        <v/>
      </c>
      <c r="J1068" s="179" t="n">
        <v>8609234827</v>
      </c>
      <c r="K1068" s="179" t="n">
        <v>17218469654</v>
      </c>
      <c r="L1068" s="179" t="n">
        <v>25827704482</v>
      </c>
    </row>
    <row r="1069" ht="15" customHeight="1" s="95">
      <c r="A1069" s="143" t="n">
        <v>44898</v>
      </c>
      <c r="B1069" s="146" t="n">
        <v>1.001218</v>
      </c>
      <c r="C1069" s="179" t="n">
        <v>43226288018</v>
      </c>
      <c r="D1069" s="179" t="n">
        <v>43173711396</v>
      </c>
      <c r="E1069" s="146" t="n">
        <v>1.000465</v>
      </c>
      <c r="F1069" s="179" t="n">
        <v>65388426943</v>
      </c>
      <c r="G1069" s="179" t="n">
        <v>65358050649</v>
      </c>
      <c r="H1069" s="179">
        <f>IFERROR(D1069+G1069,D1069)</f>
        <v/>
      </c>
      <c r="I1069" s="184">
        <f>IFERROR(D1069/H1069,"")</f>
        <v/>
      </c>
      <c r="J1069" s="179" t="n">
        <v>8634742279</v>
      </c>
      <c r="K1069" s="179" t="n">
        <v>17269484558</v>
      </c>
      <c r="L1069" s="179" t="n">
        <v>25904226838</v>
      </c>
    </row>
    <row r="1070" ht="15" customHeight="1" s="95">
      <c r="A1070" s="143" t="n">
        <v>44899</v>
      </c>
      <c r="B1070" s="146" t="n">
        <v>1.001972</v>
      </c>
      <c r="C1070" s="179" t="n">
        <v>43437755638</v>
      </c>
      <c r="D1070" s="179" t="n">
        <v>43352286423</v>
      </c>
      <c r="E1070" s="146" t="n">
        <v>1.001018</v>
      </c>
      <c r="F1070" s="179" t="n">
        <v>65769558099</v>
      </c>
      <c r="G1070" s="179" t="n">
        <v>65702704916</v>
      </c>
      <c r="H1070" s="179">
        <f>IFERROR(D1070+G1070,D1070)</f>
        <v/>
      </c>
      <c r="I1070" s="184">
        <f>IFERROR(D1070/H1070,"")</f>
        <v/>
      </c>
      <c r="J1070" s="179" t="n">
        <v>8670457285</v>
      </c>
      <c r="K1070" s="179" t="n">
        <v>17340914569</v>
      </c>
      <c r="L1070" s="179" t="n">
        <v>26011371854</v>
      </c>
    </row>
    <row r="1071" ht="15" customHeight="1" s="95">
      <c r="A1071" s="143" t="n">
        <v>44900</v>
      </c>
      <c r="B1071" s="146" t="n">
        <v>1.000281</v>
      </c>
      <c r="C1071" s="179" t="n">
        <v>43453588831</v>
      </c>
      <c r="D1071" s="179" t="n">
        <v>43441370845</v>
      </c>
      <c r="E1071" s="146" t="n">
        <v>1.00123</v>
      </c>
      <c r="F1071" s="179" t="n">
        <v>65557951753</v>
      </c>
      <c r="G1071" s="179" t="n">
        <v>65477416335</v>
      </c>
      <c r="H1071" s="179">
        <f>IFERROR(D1071+G1071,D1071)</f>
        <v/>
      </c>
      <c r="I1071" s="184">
        <f>IFERROR(D1071/H1071,"")</f>
        <v/>
      </c>
      <c r="J1071" s="179" t="n">
        <v>8688274169</v>
      </c>
      <c r="K1071" s="179" t="n">
        <v>17376548338</v>
      </c>
      <c r="L1071" s="179" t="n">
        <v>26064822507</v>
      </c>
    </row>
    <row r="1072" ht="15" customHeight="1" s="95">
      <c r="A1072" s="143" t="n">
        <v>44901</v>
      </c>
      <c r="B1072" s="146" t="n">
        <v>1.000145</v>
      </c>
      <c r="C1072" s="179" t="n">
        <v>43174777144</v>
      </c>
      <c r="D1072" s="179" t="n">
        <v>43168513469</v>
      </c>
      <c r="E1072" s="146" t="n">
        <v>1.000762</v>
      </c>
      <c r="F1072" s="179" t="n">
        <v>65546686928</v>
      </c>
      <c r="G1072" s="179" t="n">
        <v>65496749857</v>
      </c>
      <c r="H1072" s="179">
        <f>IFERROR(D1072+G1072,D1072)</f>
        <v/>
      </c>
      <c r="I1072" s="184">
        <f>IFERROR(D1072/H1072,"")</f>
        <v/>
      </c>
      <c r="J1072" s="179" t="n">
        <v>8633702694</v>
      </c>
      <c r="K1072" s="179" t="n">
        <v>17267405388</v>
      </c>
      <c r="L1072" s="179" t="n">
        <v>25901108081</v>
      </c>
    </row>
    <row r="1073" ht="15" customHeight="1" s="95">
      <c r="A1073" s="143" t="n">
        <v>44902</v>
      </c>
      <c r="B1073" s="146" t="n">
        <v>0.999014</v>
      </c>
      <c r="C1073" s="179" t="n">
        <v>43014542405</v>
      </c>
      <c r="D1073" s="179" t="n">
        <v>43056987043</v>
      </c>
      <c r="E1073" s="146" t="n">
        <v>1.000578</v>
      </c>
      <c r="F1073" s="179" t="n">
        <v>65558601840</v>
      </c>
      <c r="G1073" s="179" t="n">
        <v>65520716761</v>
      </c>
      <c r="H1073" s="179">
        <f>IFERROR(D1073+G1073,D1073)</f>
        <v/>
      </c>
      <c r="I1073" s="184">
        <f>IFERROR(D1073/H1073,"")</f>
        <v/>
      </c>
      <c r="J1073" s="179" t="n">
        <v>8611397409</v>
      </c>
      <c r="K1073" s="179" t="n">
        <v>17222794817</v>
      </c>
      <c r="L1073" s="179" t="n">
        <v>25834192226</v>
      </c>
    </row>
    <row r="1074" ht="15" customHeight="1" s="95">
      <c r="A1074" s="143" t="n">
        <v>44903</v>
      </c>
      <c r="B1074" s="146" t="n">
        <v>1.000511</v>
      </c>
      <c r="C1074" s="179" t="n">
        <v>42841983413</v>
      </c>
      <c r="D1074" s="179" t="n">
        <v>42820087317</v>
      </c>
      <c r="E1074" s="146" t="n">
        <v>1.000401</v>
      </c>
      <c r="F1074" s="179" t="n">
        <v>65717867682</v>
      </c>
      <c r="G1074" s="179" t="n">
        <v>65691523675</v>
      </c>
      <c r="H1074" s="179">
        <f>IFERROR(D1074+G1074,D1074)</f>
        <v/>
      </c>
      <c r="I1074" s="184">
        <f>IFERROR(D1074/H1074,"")</f>
        <v/>
      </c>
      <c r="J1074" s="179" t="n">
        <v>8564017463</v>
      </c>
      <c r="K1074" s="179" t="n">
        <v>17128034927</v>
      </c>
      <c r="L1074" s="179" t="n">
        <v>25692052390</v>
      </c>
    </row>
    <row r="1075" ht="15" customHeight="1" s="95">
      <c r="A1075" s="143" t="n">
        <v>44904</v>
      </c>
      <c r="B1075" s="146" t="n">
        <v>0.999892</v>
      </c>
      <c r="C1075" s="179" t="n">
        <v>42795341793</v>
      </c>
      <c r="D1075" s="179" t="n">
        <v>42799964849</v>
      </c>
      <c r="E1075" s="146" t="n">
        <v>0.999938</v>
      </c>
      <c r="F1075" s="179" t="n">
        <v>65681144306</v>
      </c>
      <c r="G1075" s="179" t="n">
        <v>65685214611</v>
      </c>
      <c r="H1075" s="179">
        <f>IFERROR(D1075+G1075,D1075)</f>
        <v/>
      </c>
      <c r="I1075" s="184">
        <f>IFERROR(D1075/H1075,"")</f>
        <v/>
      </c>
      <c r="J1075" s="179" t="n">
        <v>8559992970</v>
      </c>
      <c r="K1075" s="179" t="n">
        <v>17119985940</v>
      </c>
      <c r="L1075" s="179" t="n">
        <v>25679978909</v>
      </c>
    </row>
    <row r="1076" ht="15" customHeight="1" s="95">
      <c r="A1076" s="143" t="n">
        <v>44905</v>
      </c>
      <c r="B1076" s="146" t="n">
        <v>1.000573</v>
      </c>
      <c r="C1076" s="179" t="n">
        <v>42734846903</v>
      </c>
      <c r="D1076" s="179" t="n">
        <v>42710382569</v>
      </c>
      <c r="E1076" s="146" t="n">
        <v>1.001076</v>
      </c>
      <c r="F1076" s="179" t="n">
        <v>65770950095</v>
      </c>
      <c r="G1076" s="179" t="n">
        <v>65700265812</v>
      </c>
      <c r="H1076" s="179">
        <f>IFERROR(D1076+G1076,D1076)</f>
        <v/>
      </c>
      <c r="I1076" s="184">
        <f>IFERROR(D1076/H1076,"")</f>
        <v/>
      </c>
      <c r="J1076" s="179" t="n">
        <v>8542076514</v>
      </c>
      <c r="K1076" s="179" t="n">
        <v>17084153028</v>
      </c>
      <c r="L1076" s="179" t="n">
        <v>25626229541</v>
      </c>
    </row>
    <row r="1077" ht="15" customHeight="1" s="95">
      <c r="A1077" s="143" t="n">
        <v>44906</v>
      </c>
      <c r="B1077" s="146" t="n">
        <v>1.000763</v>
      </c>
      <c r="C1077" s="179" t="n">
        <v>42708116169</v>
      </c>
      <c r="D1077" s="179" t="n">
        <v>42675557759</v>
      </c>
      <c r="E1077" s="146" t="n">
        <v>0.999672</v>
      </c>
      <c r="F1077" s="179" t="n">
        <v>65729244224</v>
      </c>
      <c r="G1077" s="179" t="n">
        <v>65750781407</v>
      </c>
      <c r="H1077" s="179">
        <f>IFERROR(D1077+G1077,D1077)</f>
        <v/>
      </c>
      <c r="I1077" s="184">
        <f>IFERROR(D1077/H1077,"")</f>
        <v/>
      </c>
      <c r="J1077" s="179" t="n">
        <v>8535111552</v>
      </c>
      <c r="K1077" s="179" t="n">
        <v>17070223104</v>
      </c>
      <c r="L1077" s="179" t="n">
        <v>25605334655</v>
      </c>
    </row>
    <row r="1078" ht="15" customHeight="1" s="95">
      <c r="A1078" s="143" t="n">
        <v>44907</v>
      </c>
      <c r="B1078" s="146" t="n">
        <v>1.001126</v>
      </c>
      <c r="C1078" s="179" t="n">
        <v>42804576873</v>
      </c>
      <c r="D1078" s="179" t="n">
        <v>42756445290</v>
      </c>
      <c r="E1078" s="146" t="n">
        <v>1.000526</v>
      </c>
      <c r="F1078" s="179" t="n">
        <v>65766093056</v>
      </c>
      <c r="G1078" s="179" t="n">
        <v>65731532906</v>
      </c>
      <c r="H1078" s="179">
        <f>IFERROR(D1078+G1078,D1078)</f>
        <v/>
      </c>
      <c r="I1078" s="184">
        <f>IFERROR(D1078/H1078,"")</f>
        <v/>
      </c>
      <c r="J1078" s="179" t="n">
        <v>8551289058</v>
      </c>
      <c r="K1078" s="179" t="n">
        <v>17102578116</v>
      </c>
      <c r="L1078" s="179" t="n">
        <v>25653867174</v>
      </c>
    </row>
    <row r="1079" ht="15" customHeight="1" s="95">
      <c r="A1079" s="143" t="n">
        <v>44908</v>
      </c>
      <c r="B1079" s="146" t="n">
        <v>0.998068</v>
      </c>
      <c r="C1079" s="179" t="n">
        <v>42478597334</v>
      </c>
      <c r="D1079" s="179" t="n">
        <v>42560810796</v>
      </c>
      <c r="E1079" s="146" t="n">
        <v>0.999343</v>
      </c>
      <c r="F1079" s="179" t="n">
        <v>65688467049</v>
      </c>
      <c r="G1079" s="179" t="n">
        <v>65731641521</v>
      </c>
      <c r="H1079" s="179">
        <f>IFERROR(D1079+G1079,D1079)</f>
        <v/>
      </c>
      <c r="I1079" s="184">
        <f>IFERROR(D1079/H1079,"")</f>
        <v/>
      </c>
      <c r="J1079" s="179" t="n">
        <v>8512162159</v>
      </c>
      <c r="K1079" s="179" t="n">
        <v>17024324318</v>
      </c>
      <c r="L1079" s="179" t="n">
        <v>25536486478</v>
      </c>
    </row>
    <row r="1080" ht="15" customHeight="1" s="95">
      <c r="A1080" s="143" t="n">
        <v>44909</v>
      </c>
      <c r="B1080" s="146" t="n">
        <v>0.999757</v>
      </c>
      <c r="C1080" s="179" t="n">
        <v>45046905555</v>
      </c>
      <c r="D1080" s="179" t="n">
        <v>45057855408</v>
      </c>
      <c r="E1080" s="146" t="n">
        <v>0.99971</v>
      </c>
      <c r="F1080" s="179" t="n">
        <v>65815203375</v>
      </c>
      <c r="G1080" s="179" t="n">
        <v>65834323591</v>
      </c>
      <c r="H1080" s="179">
        <f>IFERROR(D1080+G1080,D1080)</f>
        <v/>
      </c>
      <c r="I1080" s="184">
        <f>IFERROR(D1080/H1080,"")</f>
        <v/>
      </c>
      <c r="J1080" s="179" t="n">
        <v>9011571082</v>
      </c>
      <c r="K1080" s="179" t="n">
        <v>18023142163</v>
      </c>
      <c r="L1080" s="179" t="n">
        <v>27034713245</v>
      </c>
    </row>
    <row r="1081" ht="15" customHeight="1" s="95">
      <c r="A1081" s="143" t="n">
        <v>44910</v>
      </c>
      <c r="B1081" s="146" t="n">
        <v>1.00071</v>
      </c>
      <c r="C1081" s="179" t="n">
        <v>45219482768</v>
      </c>
      <c r="D1081" s="179" t="n">
        <v>45187381249</v>
      </c>
      <c r="E1081" s="146" t="n">
        <v>1.000156</v>
      </c>
      <c r="F1081" s="179" t="n">
        <v>65978794246</v>
      </c>
      <c r="G1081" s="179" t="n">
        <v>65968490871</v>
      </c>
      <c r="H1081" s="179">
        <f>IFERROR(D1081+G1081,D1081)</f>
        <v/>
      </c>
      <c r="I1081" s="184">
        <f>IFERROR(D1081/H1081,"")</f>
        <v/>
      </c>
      <c r="J1081" s="179" t="n">
        <v>9037476250</v>
      </c>
      <c r="K1081" s="179" t="n">
        <v>18074952500</v>
      </c>
      <c r="L1081" s="179" t="n">
        <v>27112428749</v>
      </c>
    </row>
    <row r="1082" ht="15" customHeight="1" s="95">
      <c r="A1082" s="143" t="n">
        <v>44911</v>
      </c>
      <c r="B1082" s="146" t="n">
        <v>0.9996620000000001</v>
      </c>
      <c r="C1082" s="179" t="n">
        <v>45135657888</v>
      </c>
      <c r="D1082" s="179" t="n">
        <v>45150931695</v>
      </c>
      <c r="E1082" s="146" t="n">
        <v>0.998623</v>
      </c>
      <c r="F1082" s="179" t="n">
        <v>65997016215</v>
      </c>
      <c r="G1082" s="179" t="n">
        <v>66087993009</v>
      </c>
      <c r="H1082" s="179">
        <f>IFERROR(D1082+G1082,D1082)</f>
        <v/>
      </c>
      <c r="I1082" s="184">
        <f>IFERROR(D1082/H1082,"")</f>
        <v/>
      </c>
      <c r="J1082" s="179" t="n">
        <v>9030186339</v>
      </c>
      <c r="K1082" s="179" t="n">
        <v>18060372678</v>
      </c>
      <c r="L1082" s="179" t="n">
        <v>27090559017</v>
      </c>
    </row>
    <row r="1083" ht="15" customHeight="1" s="95">
      <c r="A1083" s="143" t="n">
        <v>44912</v>
      </c>
      <c r="B1083" s="146" t="n">
        <v>1.00054</v>
      </c>
      <c r="C1083" s="179" t="n">
        <v>44783417674</v>
      </c>
      <c r="D1083" s="179" t="n">
        <v>44759256702</v>
      </c>
      <c r="E1083" s="146" t="n">
        <v>0.998756</v>
      </c>
      <c r="F1083" s="179" t="n">
        <v>65770714186</v>
      </c>
      <c r="G1083" s="179" t="n">
        <v>65852656474</v>
      </c>
      <c r="H1083" s="179">
        <f>IFERROR(D1083+G1083,D1083)</f>
        <v/>
      </c>
      <c r="I1083" s="184">
        <f>IFERROR(D1083/H1083,"")</f>
        <v/>
      </c>
      <c r="J1083" s="179" t="n">
        <v>8951851340</v>
      </c>
      <c r="K1083" s="179" t="n">
        <v>17903702681</v>
      </c>
      <c r="L1083" s="179" t="n">
        <v>26855554021</v>
      </c>
    </row>
    <row r="1084" ht="15" customHeight="1" s="95">
      <c r="A1084" s="143" t="n">
        <v>44913</v>
      </c>
      <c r="B1084" s="146" t="n">
        <v>0.9998590000000001</v>
      </c>
      <c r="C1084" s="179" t="n">
        <v>44962564935</v>
      </c>
      <c r="D1084" s="179" t="n">
        <v>44968901758</v>
      </c>
      <c r="E1084" s="146" t="n">
        <v>1.001305</v>
      </c>
      <c r="F1084" s="179" t="n">
        <v>66069871457</v>
      </c>
      <c r="G1084" s="179" t="n">
        <v>65983759854</v>
      </c>
      <c r="H1084" s="179">
        <f>IFERROR(D1084+G1084,D1084)</f>
        <v/>
      </c>
      <c r="I1084" s="184">
        <f>IFERROR(D1084/H1084,"")</f>
        <v/>
      </c>
      <c r="J1084" s="179" t="n">
        <v>8993780352</v>
      </c>
      <c r="K1084" s="179" t="n">
        <v>17987560703</v>
      </c>
      <c r="L1084" s="179" t="n">
        <v>26981341055</v>
      </c>
    </row>
    <row r="1085" ht="15" customHeight="1" s="95">
      <c r="A1085" s="143" t="n">
        <v>44914</v>
      </c>
      <c r="B1085" s="146" t="n">
        <v>0.99957</v>
      </c>
      <c r="C1085" s="179" t="n">
        <v>44960720772</v>
      </c>
      <c r="D1085" s="179" t="n">
        <v>44980084545</v>
      </c>
      <c r="E1085" s="146" t="n">
        <v>1.000508</v>
      </c>
      <c r="F1085" s="179" t="n">
        <v>66163136479</v>
      </c>
      <c r="G1085" s="179" t="n">
        <v>66129574423</v>
      </c>
      <c r="H1085" s="179">
        <f>IFERROR(D1085+G1085,D1085)</f>
        <v/>
      </c>
      <c r="I1085" s="184">
        <f>IFERROR(D1085/H1085,"")</f>
        <v/>
      </c>
      <c r="J1085" s="179" t="n">
        <v>8996016909</v>
      </c>
      <c r="K1085" s="179" t="n">
        <v>17992033818</v>
      </c>
      <c r="L1085" s="179" t="n">
        <v>26988050727</v>
      </c>
    </row>
    <row r="1086" ht="15" customHeight="1" s="95">
      <c r="A1086" s="143" t="n">
        <v>44915</v>
      </c>
      <c r="B1086" s="146" t="n">
        <v>0.999271</v>
      </c>
      <c r="C1086" s="179" t="n">
        <v>44590089225</v>
      </c>
      <c r="D1086" s="179" t="n">
        <v>44622615535</v>
      </c>
      <c r="E1086" s="146" t="n">
        <v>0.9994189999999999</v>
      </c>
      <c r="F1086" s="179" t="n">
        <v>66174433958</v>
      </c>
      <c r="G1086" s="179" t="n">
        <v>66212888424</v>
      </c>
      <c r="H1086" s="179">
        <f>IFERROR(D1086+G1086,D1086)</f>
        <v/>
      </c>
      <c r="I1086" s="184">
        <f>IFERROR(D1086/H1086,"")</f>
        <v/>
      </c>
      <c r="J1086" s="179" t="n">
        <v>8924523107</v>
      </c>
      <c r="K1086" s="179" t="n">
        <v>17849046214</v>
      </c>
      <c r="L1086" s="179" t="n">
        <v>26773569321</v>
      </c>
    </row>
    <row r="1087" ht="15" customHeight="1" s="95">
      <c r="A1087" s="143" t="n">
        <v>44916</v>
      </c>
      <c r="B1087" s="146" t="n">
        <v>1.000581</v>
      </c>
      <c r="C1087" s="179" t="n">
        <v>44442864038</v>
      </c>
      <c r="D1087" s="179" t="n">
        <v>44417066683</v>
      </c>
      <c r="E1087" s="146" t="n">
        <v>1.000109</v>
      </c>
      <c r="F1087" s="179" t="n">
        <v>66210497794</v>
      </c>
      <c r="G1087" s="179" t="n">
        <v>66203297542</v>
      </c>
      <c r="H1087" s="179">
        <f>IFERROR(D1087+G1087,D1087)</f>
        <v/>
      </c>
      <c r="I1087" s="184">
        <f>IFERROR(D1087/H1087,"")</f>
        <v/>
      </c>
      <c r="J1087" s="179" t="n">
        <v>8883413337</v>
      </c>
      <c r="K1087" s="179" t="n">
        <v>17766826673</v>
      </c>
      <c r="L1087" s="179" t="n">
        <v>26650240010</v>
      </c>
    </row>
    <row r="1088" ht="15" customHeight="1" s="95">
      <c r="A1088" s="143" t="n">
        <v>44917</v>
      </c>
      <c r="B1088" s="146" t="n">
        <v>1.001008</v>
      </c>
      <c r="C1088" s="179" t="n">
        <v>44292111490</v>
      </c>
      <c r="D1088" s="179" t="n">
        <v>44247508361</v>
      </c>
      <c r="E1088" s="146" t="n">
        <v>1.000621</v>
      </c>
      <c r="F1088" s="179" t="n">
        <v>66222410592</v>
      </c>
      <c r="G1088" s="179" t="n">
        <v>66181282039</v>
      </c>
      <c r="H1088" s="179">
        <f>IFERROR(D1088+G1088,D1088)</f>
        <v/>
      </c>
      <c r="I1088" s="184">
        <f>IFERROR(D1088/H1088,"")</f>
        <v/>
      </c>
      <c r="J1088" s="179" t="n">
        <v>8849501672</v>
      </c>
      <c r="K1088" s="179" t="n">
        <v>17699003344</v>
      </c>
      <c r="L1088" s="179" t="n">
        <v>26548505017</v>
      </c>
    </row>
    <row r="1089" ht="15" customHeight="1" s="95">
      <c r="A1089" s="143" t="n">
        <v>44918</v>
      </c>
      <c r="B1089" s="146" t="n">
        <v>1.000493</v>
      </c>
      <c r="C1089" s="179" t="n">
        <v>44195475644</v>
      </c>
      <c r="D1089" s="179" t="n">
        <v>44173694252</v>
      </c>
      <c r="E1089" s="146" t="n">
        <v>1.000558</v>
      </c>
      <c r="F1089" s="179" t="n">
        <v>66253234080</v>
      </c>
      <c r="G1089" s="179" t="n">
        <v>66216313318</v>
      </c>
      <c r="H1089" s="179">
        <f>IFERROR(D1089+G1089,D1089)</f>
        <v/>
      </c>
      <c r="I1089" s="184">
        <f>IFERROR(D1089/H1089,"")</f>
        <v/>
      </c>
      <c r="J1089" s="179" t="n">
        <v>8834738850</v>
      </c>
      <c r="K1089" s="179" t="n">
        <v>17669477701</v>
      </c>
      <c r="L1089" s="179" t="n">
        <v>26504216551</v>
      </c>
    </row>
    <row r="1090" ht="15" customHeight="1" s="95">
      <c r="A1090" s="143" t="n">
        <v>44919</v>
      </c>
      <c r="B1090" s="146" t="n">
        <v>1.000842</v>
      </c>
      <c r="C1090" s="179" t="n">
        <v>44161657753</v>
      </c>
      <c r="D1090" s="179" t="n">
        <v>44124522656</v>
      </c>
      <c r="E1090" s="146" t="n">
        <v>1.000488</v>
      </c>
      <c r="F1090" s="179" t="n">
        <v>66290527437</v>
      </c>
      <c r="G1090" s="179" t="n">
        <v>66258226466</v>
      </c>
      <c r="H1090" s="179">
        <f>IFERROR(D1090+G1090,D1090)</f>
        <v/>
      </c>
      <c r="I1090" s="184">
        <f>IFERROR(D1090/H1090,"")</f>
        <v/>
      </c>
      <c r="J1090" s="179" t="n">
        <v>8824904531</v>
      </c>
      <c r="K1090" s="179" t="n">
        <v>17649809062</v>
      </c>
      <c r="L1090" s="179" t="n">
        <v>26474713594</v>
      </c>
    </row>
    <row r="1091" ht="15" customHeight="1" s="95">
      <c r="A1091" s="143" t="n">
        <v>44920</v>
      </c>
      <c r="B1091" s="146" t="n">
        <v>1.000133</v>
      </c>
      <c r="C1091" s="179" t="n">
        <v>44233781036</v>
      </c>
      <c r="D1091" s="179" t="n">
        <v>44227917232</v>
      </c>
      <c r="E1091" s="146" t="n">
        <v>1.000493</v>
      </c>
      <c r="F1091" s="179" t="n">
        <v>66280331784</v>
      </c>
      <c r="G1091" s="179" t="n">
        <v>66247647090</v>
      </c>
      <c r="H1091" s="179">
        <f>IFERROR(D1091+G1091,D1091)</f>
        <v/>
      </c>
      <c r="I1091" s="184">
        <f>IFERROR(D1091/H1091,"")</f>
        <v/>
      </c>
      <c r="J1091" s="179" t="n">
        <v>8845583446</v>
      </c>
      <c r="K1091" s="179" t="n">
        <v>17691166893</v>
      </c>
      <c r="L1091" s="179" t="n">
        <v>26536750339</v>
      </c>
    </row>
    <row r="1092" ht="15" customHeight="1" s="95">
      <c r="A1092" s="143" t="n">
        <v>44921</v>
      </c>
      <c r="B1092" s="146" t="n">
        <v>1.001202</v>
      </c>
      <c r="C1092" s="179" t="n">
        <v>44372269006</v>
      </c>
      <c r="D1092" s="179" t="n">
        <v>44318992614</v>
      </c>
      <c r="E1092" s="146" t="n">
        <v>1.000802</v>
      </c>
      <c r="F1092" s="179" t="n">
        <v>66260084337</v>
      </c>
      <c r="G1092" s="179" t="n">
        <v>66207009265</v>
      </c>
      <c r="H1092" s="179">
        <f>IFERROR(D1092+G1092,D1092)</f>
        <v/>
      </c>
      <c r="I1092" s="184">
        <f>IFERROR(D1092/H1092,"")</f>
        <v/>
      </c>
      <c r="J1092" s="179" t="n">
        <v>8863798523</v>
      </c>
      <c r="K1092" s="179" t="n">
        <v>17727597046</v>
      </c>
      <c r="L1092" s="179" t="n">
        <v>26591395568</v>
      </c>
    </row>
    <row r="1093" ht="15" customHeight="1" s="95">
      <c r="A1093" s="143" t="n">
        <v>44922</v>
      </c>
      <c r="B1093" s="146" t="n">
        <v>1.000886</v>
      </c>
      <c r="C1093" s="179" t="n">
        <v>44513812934</v>
      </c>
      <c r="D1093" s="179" t="n">
        <v>44474398603</v>
      </c>
      <c r="E1093" s="146" t="n">
        <v>1.00016</v>
      </c>
      <c r="F1093" s="179" t="n">
        <v>66289979631</v>
      </c>
      <c r="G1093" s="179" t="n">
        <v>66279361626</v>
      </c>
      <c r="H1093" s="179">
        <f>IFERROR(D1093+G1093,D1093)</f>
        <v/>
      </c>
      <c r="I1093" s="184">
        <f>IFERROR(D1093/H1093,"")</f>
        <v/>
      </c>
      <c r="J1093" s="179" t="n">
        <v>8894879721</v>
      </c>
      <c r="K1093" s="179" t="n">
        <v>17789759441</v>
      </c>
      <c r="L1093" s="179" t="n">
        <v>26684639162</v>
      </c>
    </row>
    <row r="1094" ht="15" customHeight="1" s="95">
      <c r="A1094" s="143" t="n">
        <v>44923</v>
      </c>
      <c r="B1094" s="146" t="n">
        <v>0.999816</v>
      </c>
      <c r="C1094" s="179" t="n">
        <v>44178052972</v>
      </c>
      <c r="D1094" s="179" t="n">
        <v>44186198933</v>
      </c>
      <c r="E1094" s="146" t="n">
        <v>0.999994</v>
      </c>
      <c r="F1094" s="179" t="n">
        <v>66241360621</v>
      </c>
      <c r="G1094" s="179" t="n">
        <v>66241734547</v>
      </c>
      <c r="H1094" s="179">
        <f>IFERROR(D1094+G1094,D1094)</f>
        <v/>
      </c>
      <c r="I1094" s="184">
        <f>IFERROR(D1094/H1094,"")</f>
        <v/>
      </c>
      <c r="J1094" s="179" t="n">
        <v>8837239787</v>
      </c>
      <c r="K1094" s="179" t="n">
        <v>17674479573</v>
      </c>
      <c r="L1094" s="179" t="n">
        <v>26511719360</v>
      </c>
    </row>
    <row r="1095" ht="15" customHeight="1" s="95">
      <c r="A1095" s="143" t="n">
        <v>44924</v>
      </c>
      <c r="B1095" s="146" t="n">
        <v>1.000596</v>
      </c>
      <c r="C1095" s="179" t="n">
        <v>44400302705</v>
      </c>
      <c r="D1095" s="179" t="n">
        <v>44373838183</v>
      </c>
      <c r="E1095" s="146" t="n">
        <v>0.999814</v>
      </c>
      <c r="F1095" s="179" t="n">
        <v>66232030177</v>
      </c>
      <c r="G1095" s="179" t="n">
        <v>66244333146</v>
      </c>
      <c r="H1095" s="179">
        <f>IFERROR(D1095+G1095,D1095)</f>
        <v/>
      </c>
      <c r="I1095" s="184">
        <f>IFERROR(D1095/H1095,"")</f>
        <v/>
      </c>
      <c r="J1095" s="179" t="n">
        <v>8874767637</v>
      </c>
      <c r="K1095" s="179" t="n">
        <v>17749535273</v>
      </c>
      <c r="L1095" s="179" t="n">
        <v>26624302910</v>
      </c>
    </row>
    <row r="1096" ht="15" customHeight="1" s="95">
      <c r="A1096" s="143" t="n">
        <v>44925</v>
      </c>
      <c r="B1096" s="146" t="n">
        <v>1.00036</v>
      </c>
      <c r="C1096" s="179" t="n">
        <v>44406969867</v>
      </c>
      <c r="D1096" s="179" t="n">
        <v>44390995690</v>
      </c>
      <c r="E1096" s="146" t="n">
        <v>1.000304</v>
      </c>
      <c r="F1096" s="179" t="n">
        <v>66255815696</v>
      </c>
      <c r="G1096" s="179" t="n">
        <v>66235653433</v>
      </c>
      <c r="H1096" s="179">
        <f>IFERROR(D1096+G1096,D1096)</f>
        <v/>
      </c>
      <c r="I1096" s="184">
        <f>IFERROR(D1096/H1096,"")</f>
        <v/>
      </c>
      <c r="J1096" s="179" t="n">
        <v>8878199138</v>
      </c>
      <c r="K1096" s="179" t="n">
        <v>17756398276</v>
      </c>
      <c r="L1096" s="179" t="n">
        <v>26634597414</v>
      </c>
    </row>
    <row r="1097" ht="15" customHeight="1" s="95">
      <c r="A1097" s="143" t="n">
        <v>44926</v>
      </c>
      <c r="B1097" s="146" t="n">
        <v>1.000409</v>
      </c>
      <c r="C1097" s="179" t="n">
        <v>44523297779</v>
      </c>
      <c r="D1097" s="179" t="n">
        <v>44505111768</v>
      </c>
      <c r="E1097" s="146" t="n">
        <v>1.000044</v>
      </c>
      <c r="F1097" s="179" t="n">
        <v>66279043570</v>
      </c>
      <c r="G1097" s="179" t="n">
        <v>66276098639</v>
      </c>
      <c r="H1097" s="179">
        <f>IFERROR(D1097+G1097,D1097)</f>
        <v/>
      </c>
      <c r="I1097" s="184">
        <f>IFERROR(D1097/H1097,"")</f>
        <v/>
      </c>
      <c r="J1097" s="179" t="n">
        <v>8901022354</v>
      </c>
      <c r="K1097" s="179" t="n">
        <v>17802044707</v>
      </c>
      <c r="L1097" s="179" t="n">
        <v>26703067061</v>
      </c>
    </row>
    <row r="1098" ht="15" customHeight="1" s="95">
      <c r="A1098" s="143" t="n">
        <v>44927</v>
      </c>
      <c r="B1098" s="146" t="n">
        <v>1.000615</v>
      </c>
      <c r="C1098" s="179" t="n">
        <v>44528657221</v>
      </c>
      <c r="D1098" s="179" t="n">
        <v>44501276371</v>
      </c>
      <c r="E1098" s="146" t="n">
        <v>1.000126</v>
      </c>
      <c r="F1098" s="179" t="n">
        <v>66226451754</v>
      </c>
      <c r="G1098" s="179" t="n">
        <v>66218096552</v>
      </c>
      <c r="H1098" s="179">
        <f>IFERROR(D1098+G1098,D1098)</f>
        <v/>
      </c>
      <c r="I1098" s="184">
        <f>IFERROR(D1098/H1098,"")</f>
        <v/>
      </c>
      <c r="J1098" s="179" t="n">
        <v>8900255274</v>
      </c>
      <c r="K1098" s="179" t="n">
        <v>17800510548</v>
      </c>
      <c r="L1098" s="179" t="n">
        <v>26700765823</v>
      </c>
    </row>
    <row r="1099" ht="15" customHeight="1" s="95">
      <c r="A1099" s="143" t="n">
        <v>44928</v>
      </c>
      <c r="B1099" s="146" t="n">
        <v>1.000531</v>
      </c>
      <c r="C1099" s="179" t="n">
        <v>44601803873</v>
      </c>
      <c r="D1099" s="179" t="n">
        <v>44578135186</v>
      </c>
      <c r="E1099" s="146" t="n">
        <v>1.000564</v>
      </c>
      <c r="F1099" s="179" t="n">
        <v>66301858477</v>
      </c>
      <c r="G1099" s="179" t="n">
        <v>66264503018</v>
      </c>
      <c r="H1099" s="179">
        <f>IFERROR(D1099+G1099,D1099)</f>
        <v/>
      </c>
      <c r="I1099" s="184">
        <f>IFERROR(D1099/H1099,"")</f>
        <v/>
      </c>
      <c r="J1099" s="179" t="n">
        <v>8915627037</v>
      </c>
      <c r="K1099" s="179" t="n">
        <v>17831254074</v>
      </c>
      <c r="L1099" s="179" t="n">
        <v>26746881112</v>
      </c>
    </row>
    <row r="1100" ht="15" customHeight="1" s="95">
      <c r="A1100" s="143" t="n">
        <v>44929</v>
      </c>
      <c r="B1100" s="146" t="n">
        <v>1.000284</v>
      </c>
      <c r="C1100" s="179" t="n">
        <v>44694019195</v>
      </c>
      <c r="D1100" s="179" t="n">
        <v>44681343063</v>
      </c>
      <c r="E1100" s="146" t="n">
        <v>1.000179</v>
      </c>
      <c r="F1100" s="179" t="n">
        <v>66223251669</v>
      </c>
      <c r="G1100" s="179" t="n">
        <v>66211409504</v>
      </c>
      <c r="H1100" s="179">
        <f>IFERROR(D1100+G1100,D1100)</f>
        <v/>
      </c>
      <c r="I1100" s="184">
        <f>IFERROR(D1100/H1100,"")</f>
        <v/>
      </c>
      <c r="J1100" s="179" t="n">
        <v>8936268613</v>
      </c>
      <c r="K1100" s="179" t="n">
        <v>17872537225</v>
      </c>
      <c r="L1100" s="179" t="n">
        <v>26808805838</v>
      </c>
    </row>
    <row r="1101" ht="15" customHeight="1" s="95">
      <c r="A1101" s="143" t="n">
        <v>44930</v>
      </c>
      <c r="B1101" s="146" t="n">
        <v>1.000749</v>
      </c>
      <c r="C1101" s="179" t="n">
        <v>44202124101</v>
      </c>
      <c r="D1101" s="179" t="n">
        <v>44169033049</v>
      </c>
      <c r="E1101" s="146" t="n">
        <v>1.000054</v>
      </c>
      <c r="F1101" s="179" t="n">
        <v>66274058933</v>
      </c>
      <c r="G1101" s="179" t="n">
        <v>66270479443</v>
      </c>
      <c r="H1101" s="179">
        <f>IFERROR(D1101+G1101,D1101)</f>
        <v/>
      </c>
      <c r="I1101" s="184">
        <f>IFERROR(D1101/H1101,"")</f>
        <v/>
      </c>
      <c r="J1101" s="179" t="n">
        <v>8833806610</v>
      </c>
      <c r="K1101" s="179" t="n">
        <v>17667613220</v>
      </c>
      <c r="L1101" s="179" t="n">
        <v>26501419829</v>
      </c>
    </row>
    <row r="1102" ht="15" customHeight="1" s="95">
      <c r="A1102" s="143" t="n">
        <v>44931</v>
      </c>
      <c r="B1102" s="146" t="n">
        <v>1.00027</v>
      </c>
      <c r="C1102" s="179" t="n">
        <v>44135425876</v>
      </c>
      <c r="D1102" s="179" t="n">
        <v>44123508524</v>
      </c>
      <c r="E1102" s="146" t="n">
        <v>1.000169</v>
      </c>
      <c r="F1102" s="179" t="n">
        <v>66245545660</v>
      </c>
      <c r="G1102" s="179" t="n">
        <v>66234379065</v>
      </c>
      <c r="H1102" s="179">
        <f>IFERROR(D1102+G1102,D1102)</f>
        <v/>
      </c>
      <c r="I1102" s="184">
        <f>IFERROR(D1102/H1102,"")</f>
        <v/>
      </c>
      <c r="J1102" s="179" t="n">
        <v>8824701705</v>
      </c>
      <c r="K1102" s="179" t="n">
        <v>17649403410</v>
      </c>
      <c r="L1102" s="179" t="n">
        <v>26474105114</v>
      </c>
    </row>
    <row r="1103" ht="15" customHeight="1" s="95">
      <c r="A1103" s="143" t="n">
        <v>44932</v>
      </c>
      <c r="B1103" s="146" t="n">
        <v>1.000271</v>
      </c>
      <c r="C1103" s="179" t="n">
        <v>43763429710</v>
      </c>
      <c r="D1103" s="179" t="n">
        <v>43751582696</v>
      </c>
      <c r="E1103" s="146" t="n">
        <v>1.000023</v>
      </c>
      <c r="F1103" s="179" t="n">
        <v>66278648652</v>
      </c>
      <c r="G1103" s="179" t="n">
        <v>66277141292</v>
      </c>
      <c r="H1103" s="179">
        <f>IFERROR(D1103+G1103,D1103)</f>
        <v/>
      </c>
      <c r="I1103" s="184">
        <f>IFERROR(D1103/H1103,"")</f>
        <v/>
      </c>
      <c r="J1103" s="179" t="n">
        <v>8750316539</v>
      </c>
      <c r="K1103" s="179" t="n">
        <v>17500633078</v>
      </c>
      <c r="L1103" s="179" t="n">
        <v>26250949618</v>
      </c>
    </row>
    <row r="1104" ht="15" customHeight="1" s="95">
      <c r="A1104" s="143" t="n">
        <v>44933</v>
      </c>
      <c r="B1104" s="146" t="n">
        <v>1.000506</v>
      </c>
      <c r="C1104" s="179" t="n">
        <v>43712866667</v>
      </c>
      <c r="D1104" s="179" t="n">
        <v>43690752015</v>
      </c>
      <c r="E1104" s="146" t="n">
        <v>1.000002</v>
      </c>
      <c r="F1104" s="179" t="n">
        <v>66263334312</v>
      </c>
      <c r="G1104" s="179" t="n">
        <v>66263178098</v>
      </c>
      <c r="H1104" s="179">
        <f>IFERROR(D1104+G1104,D1104)</f>
        <v/>
      </c>
      <c r="I1104" s="184">
        <f>IFERROR(D1104/H1104,"")</f>
        <v/>
      </c>
      <c r="J1104" s="179" t="n">
        <v>8738150403</v>
      </c>
      <c r="K1104" s="179" t="n">
        <v>17476300806</v>
      </c>
      <c r="L1104" s="179" t="n">
        <v>26214451209</v>
      </c>
    </row>
    <row r="1105" ht="15" customHeight="1" s="95">
      <c r="A1105" s="143" t="n">
        <v>44934</v>
      </c>
      <c r="B1105" s="146" t="n">
        <v>1.000715</v>
      </c>
      <c r="C1105" s="179" t="n">
        <v>43815414263</v>
      </c>
      <c r="D1105" s="179" t="n">
        <v>43784103152</v>
      </c>
      <c r="E1105" s="146" t="n">
        <v>1.000491</v>
      </c>
      <c r="F1105" s="179" t="n">
        <v>66272451611</v>
      </c>
      <c r="G1105" s="179" t="n">
        <v>66239955011</v>
      </c>
      <c r="H1105" s="179">
        <f>IFERROR(D1105+G1105,D1105)</f>
        <v/>
      </c>
      <c r="I1105" s="184">
        <f>IFERROR(D1105/H1105,"")</f>
        <v/>
      </c>
      <c r="J1105" s="179" t="n">
        <v>8756820630</v>
      </c>
      <c r="K1105" s="179" t="n">
        <v>17513641261</v>
      </c>
      <c r="L1105" s="179" t="n">
        <v>26270461891</v>
      </c>
    </row>
    <row r="1106" ht="15" customHeight="1" s="95">
      <c r="A1106" s="143" t="n">
        <v>44935</v>
      </c>
      <c r="B1106" s="146" t="n">
        <v>1.000939</v>
      </c>
      <c r="C1106" s="179" t="n">
        <v>43973957034</v>
      </c>
      <c r="D1106" s="179" t="n">
        <v>43932707704</v>
      </c>
      <c r="E1106" s="146" t="n">
        <v>1.000345</v>
      </c>
      <c r="F1106" s="179" t="n">
        <v>66295359783</v>
      </c>
      <c r="G1106" s="179" t="n">
        <v>66272490385</v>
      </c>
      <c r="H1106" s="179">
        <f>IFERROR(D1106+G1106,D1106)</f>
        <v/>
      </c>
      <c r="I1106" s="184">
        <f>IFERROR(D1106/H1106,"")</f>
        <v/>
      </c>
      <c r="J1106" s="179" t="n">
        <v>8786541541</v>
      </c>
      <c r="K1106" s="179" t="n">
        <v>17573083082</v>
      </c>
      <c r="L1106" s="179" t="n">
        <v>26359624622</v>
      </c>
    </row>
    <row r="1107" ht="15" customHeight="1" s="95">
      <c r="A1107" s="143" t="n">
        <v>44936</v>
      </c>
      <c r="B1107" s="146" t="n">
        <v>1.001211</v>
      </c>
      <c r="C1107" s="179" t="n">
        <v>44012648245</v>
      </c>
      <c r="D1107" s="179" t="n">
        <v>43959403634</v>
      </c>
      <c r="E1107" s="146" t="n">
        <v>1.000745</v>
      </c>
      <c r="F1107" s="179" t="n">
        <v>66315047027</v>
      </c>
      <c r="G1107" s="179" t="n">
        <v>66265699609</v>
      </c>
      <c r="H1107" s="179">
        <f>IFERROR(D1107+G1107,D1107)</f>
        <v/>
      </c>
      <c r="I1107" s="184">
        <f>IFERROR(D1107/H1107,"")</f>
        <v/>
      </c>
      <c r="J1107" s="179" t="n">
        <v>8791880727</v>
      </c>
      <c r="K1107" s="179" t="n">
        <v>17583761454</v>
      </c>
      <c r="L1107" s="179" t="n">
        <v>26375642180</v>
      </c>
    </row>
    <row r="1108" ht="15" customHeight="1" s="95">
      <c r="A1108" s="143" t="n">
        <v>44937</v>
      </c>
      <c r="B1108" s="146" t="n">
        <v>1.000185</v>
      </c>
      <c r="C1108" s="179" t="n">
        <v>43685112246</v>
      </c>
      <c r="D1108" s="179" t="n">
        <v>43677029798</v>
      </c>
      <c r="E1108" s="146" t="n">
        <v>1.000173</v>
      </c>
      <c r="F1108" s="179" t="n">
        <v>66307828854</v>
      </c>
      <c r="G1108" s="179" t="n">
        <v>66296336387</v>
      </c>
      <c r="H1108" s="179">
        <f>IFERROR(D1108+G1108,D1108)</f>
        <v/>
      </c>
      <c r="I1108" s="184">
        <f>IFERROR(D1108/H1108,"")</f>
        <v/>
      </c>
      <c r="J1108" s="179" t="n">
        <v>8735405960</v>
      </c>
      <c r="K1108" s="179" t="n">
        <v>17470811919</v>
      </c>
      <c r="L1108" s="179" t="n">
        <v>26206217879</v>
      </c>
    </row>
    <row r="1109" ht="15" customHeight="1" s="95">
      <c r="A1109" s="143" t="n">
        <v>44938</v>
      </c>
      <c r="B1109" s="146" t="n">
        <v>1.000852</v>
      </c>
      <c r="C1109" s="179" t="n">
        <v>43929682405</v>
      </c>
      <c r="D1109" s="179" t="n">
        <v>43892300680</v>
      </c>
      <c r="E1109" s="146" t="n">
        <v>1.000997</v>
      </c>
      <c r="F1109" s="179" t="n">
        <v>65470424457</v>
      </c>
      <c r="G1109" s="179" t="n">
        <v>65405213926</v>
      </c>
      <c r="H1109" s="179">
        <f>IFERROR(D1109+G1109,D1109)</f>
        <v/>
      </c>
      <c r="I1109" s="184">
        <f>IFERROR(D1109/H1109,"")</f>
        <v/>
      </c>
      <c r="J1109" s="179" t="n">
        <v>8778460136</v>
      </c>
      <c r="K1109" s="179" t="n">
        <v>17556920272</v>
      </c>
      <c r="L1109" s="179" t="n">
        <v>26335380408</v>
      </c>
    </row>
    <row r="1110" ht="15" customHeight="1" s="95">
      <c r="A1110" s="143" t="n">
        <v>44939</v>
      </c>
      <c r="B1110" s="146" t="n">
        <v>0.999911</v>
      </c>
      <c r="C1110" s="179" t="n">
        <v>43933186019</v>
      </c>
      <c r="D1110" s="179" t="n">
        <v>43937078537</v>
      </c>
      <c r="E1110" s="146" t="n">
        <v>1.000375</v>
      </c>
      <c r="F1110" s="179" t="n">
        <v>66278004907</v>
      </c>
      <c r="G1110" s="179" t="n">
        <v>66253158923</v>
      </c>
      <c r="H1110" s="179">
        <f>IFERROR(D1110+G1110,D1110)</f>
        <v/>
      </c>
      <c r="I1110" s="184">
        <f>IFERROR(D1110/H1110,"")</f>
        <v/>
      </c>
      <c r="J1110" s="179" t="n">
        <v>8787415707</v>
      </c>
      <c r="K1110" s="179" t="n">
        <v>17574831415</v>
      </c>
      <c r="L1110" s="179" t="n">
        <v>26362247122</v>
      </c>
    </row>
    <row r="1111" ht="15" customHeight="1" s="95">
      <c r="A1111" s="143" t="n">
        <v>44940</v>
      </c>
      <c r="B1111" s="146" t="n">
        <v>0.999215</v>
      </c>
      <c r="C1111" s="179" t="n">
        <v>43462592152</v>
      </c>
      <c r="D1111" s="179" t="n">
        <v>43496749090</v>
      </c>
      <c r="E1111" s="146" t="n">
        <v>1.000601</v>
      </c>
      <c r="F1111" s="179" t="n">
        <v>66317495370</v>
      </c>
      <c r="G1111" s="179" t="n">
        <v>66277664471</v>
      </c>
      <c r="H1111" s="179">
        <f>IFERROR(D1111+G1111,D1111)</f>
        <v/>
      </c>
      <c r="I1111" s="184">
        <f>IFERROR(D1111/H1111,"")</f>
        <v/>
      </c>
      <c r="J1111" s="179" t="n">
        <v>8699349818</v>
      </c>
      <c r="K1111" s="179" t="n">
        <v>17398699636</v>
      </c>
      <c r="L1111" s="179" t="n">
        <v>26098049454</v>
      </c>
    </row>
    <row r="1112" ht="15" customHeight="1" s="95">
      <c r="A1112" s="143" t="n">
        <v>44941</v>
      </c>
      <c r="B1112" s="146" t="n">
        <v>1.001046</v>
      </c>
      <c r="C1112" s="179" t="n">
        <v>43678264953</v>
      </c>
      <c r="D1112" s="179" t="n">
        <v>43632636973</v>
      </c>
      <c r="E1112" s="146" t="n">
        <v>1.000502</v>
      </c>
      <c r="F1112" s="179" t="n">
        <v>66305842236</v>
      </c>
      <c r="G1112" s="179" t="n">
        <v>66272585056</v>
      </c>
      <c r="H1112" s="179">
        <f>IFERROR(D1112+G1112,D1112)</f>
        <v/>
      </c>
      <c r="I1112" s="184">
        <f>IFERROR(D1112/H1112,"")</f>
        <v/>
      </c>
      <c r="J1112" s="179" t="n">
        <v>8726527395</v>
      </c>
      <c r="K1112" s="179" t="n">
        <v>17453054789</v>
      </c>
      <c r="L1112" s="179" t="n">
        <v>26179582184</v>
      </c>
    </row>
    <row r="1113" ht="15" customHeight="1" s="95">
      <c r="A1113" s="143" t="n">
        <v>44942</v>
      </c>
      <c r="B1113" s="146" t="n">
        <v>0.999146</v>
      </c>
      <c r="C1113" s="179" t="n">
        <v>43833013504</v>
      </c>
      <c r="D1113" s="179" t="n">
        <v>43870496330</v>
      </c>
      <c r="E1113" s="146" t="n">
        <v>1.00009</v>
      </c>
      <c r="F1113" s="179" t="n">
        <v>66370266581</v>
      </c>
      <c r="G1113" s="179" t="n">
        <v>66364305947</v>
      </c>
      <c r="H1113" s="179">
        <f>IFERROR(D1113+G1113,D1113)</f>
        <v/>
      </c>
      <c r="I1113" s="184">
        <f>IFERROR(D1113/H1113,"")</f>
        <v/>
      </c>
      <c r="J1113" s="179" t="n">
        <v>8774099266</v>
      </c>
      <c r="K1113" s="179" t="n">
        <v>17548198532</v>
      </c>
      <c r="L1113" s="179" t="n">
        <v>26322297798</v>
      </c>
    </row>
    <row r="1114" ht="15" customHeight="1" s="95">
      <c r="A1114" s="143" t="n">
        <v>44943</v>
      </c>
      <c r="B1114" s="146" t="n">
        <v>1.000231</v>
      </c>
      <c r="C1114" s="179" t="n">
        <v>43830805552</v>
      </c>
      <c r="D1114" s="179" t="n">
        <v>43820676975</v>
      </c>
      <c r="E1114" s="146" t="n">
        <v>1.000131</v>
      </c>
      <c r="F1114" s="179" t="n">
        <v>66315382010</v>
      </c>
      <c r="G1114" s="179" t="n">
        <v>66306724455</v>
      </c>
      <c r="H1114" s="179">
        <f>IFERROR(D1114+G1114,D1114)</f>
        <v/>
      </c>
      <c r="I1114" s="184">
        <f>IFERROR(D1114/H1114,"")</f>
        <v/>
      </c>
      <c r="J1114" s="179" t="n">
        <v>8764135395</v>
      </c>
      <c r="K1114" s="179" t="n">
        <v>17528270790</v>
      </c>
      <c r="L1114" s="179" t="n">
        <v>26292406185</v>
      </c>
    </row>
    <row r="1115" ht="15" customHeight="1" s="95">
      <c r="A1115" s="143" t="n">
        <v>44944</v>
      </c>
      <c r="B1115" s="146" t="n">
        <v>0.999802</v>
      </c>
      <c r="C1115" s="179" t="n">
        <v>43541671600</v>
      </c>
      <c r="D1115" s="179" t="n">
        <v>43550290640</v>
      </c>
      <c r="E1115" s="146" t="n">
        <v>1.000153</v>
      </c>
      <c r="F1115" s="179" t="n">
        <v>66472290219</v>
      </c>
      <c r="G1115" s="179" t="n">
        <v>66462150181</v>
      </c>
      <c r="H1115" s="179">
        <f>IFERROR(D1115+G1115,D1115)</f>
        <v/>
      </c>
      <c r="I1115" s="184">
        <f>IFERROR(D1115/H1115,"")</f>
        <v/>
      </c>
      <c r="J1115" s="179" t="n">
        <v>8710058128</v>
      </c>
      <c r="K1115" s="179" t="n">
        <v>17420116256</v>
      </c>
      <c r="L1115" s="179" t="n">
        <v>26130174384</v>
      </c>
    </row>
    <row r="1116" ht="15" customHeight="1" s="95">
      <c r="A1116" s="143" t="n">
        <v>44945</v>
      </c>
      <c r="B1116" s="146" t="n">
        <v>0.999749</v>
      </c>
      <c r="C1116" s="179" t="n">
        <v>43107768362</v>
      </c>
      <c r="D1116" s="179" t="n">
        <v>43118598655</v>
      </c>
      <c r="E1116" s="146" t="n">
        <v>1.001295</v>
      </c>
      <c r="F1116" s="179" t="n">
        <v>66549279927</v>
      </c>
      <c r="G1116" s="179" t="n">
        <v>66463189329</v>
      </c>
      <c r="H1116" s="179">
        <f>IFERROR(D1116+G1116,D1116)</f>
        <v/>
      </c>
      <c r="I1116" s="184">
        <f>IFERROR(D1116/H1116,"")</f>
        <v/>
      </c>
      <c r="J1116" s="179" t="n">
        <v>8623719731</v>
      </c>
      <c r="K1116" s="179" t="n">
        <v>17247439462</v>
      </c>
      <c r="L1116" s="179" t="n">
        <v>25871159193</v>
      </c>
    </row>
    <row r="1117" ht="15" customHeight="1" s="95">
      <c r="A1117" s="143" t="n">
        <v>44946</v>
      </c>
      <c r="B1117" s="146" t="n">
        <v>1.000365</v>
      </c>
      <c r="C1117" s="179" t="n">
        <v>43107246611</v>
      </c>
      <c r="D1117" s="179" t="n">
        <v>43091518837</v>
      </c>
      <c r="E1117" s="146" t="n">
        <v>1.000447</v>
      </c>
      <c r="F1117" s="179" t="n">
        <v>66542669715</v>
      </c>
      <c r="G1117" s="179" t="n">
        <v>66512908210</v>
      </c>
      <c r="H1117" s="179">
        <f>IFERROR(D1117+G1117,D1117)</f>
        <v/>
      </c>
      <c r="I1117" s="184">
        <f>IFERROR(D1117/H1117,"")</f>
        <v/>
      </c>
      <c r="J1117" s="179" t="n">
        <v>8618303767</v>
      </c>
      <c r="K1117" s="179" t="n">
        <v>17236607535</v>
      </c>
      <c r="L1117" s="179" t="n">
        <v>25854911302</v>
      </c>
    </row>
    <row r="1118" ht="15" customHeight="1" s="95">
      <c r="A1118" s="143" t="n">
        <v>44947</v>
      </c>
      <c r="B1118" s="146" t="n">
        <v>1.001017</v>
      </c>
      <c r="C1118" s="179" t="n">
        <v>43209684232</v>
      </c>
      <c r="D1118" s="179" t="n">
        <v>43165782997</v>
      </c>
      <c r="E1118" s="146" t="n">
        <v>1.000731</v>
      </c>
      <c r="F1118" s="179" t="n">
        <v>66542663619</v>
      </c>
      <c r="G1118" s="179" t="n">
        <v>66494050948</v>
      </c>
      <c r="H1118" s="179">
        <f>IFERROR(D1118+G1118,D1118)</f>
        <v/>
      </c>
      <c r="I1118" s="184">
        <f>IFERROR(D1118/H1118,"")</f>
        <v/>
      </c>
      <c r="J1118" s="179" t="n">
        <v>8633156599</v>
      </c>
      <c r="K1118" s="179" t="n">
        <v>17266313199</v>
      </c>
      <c r="L1118" s="179" t="n">
        <v>25899469798</v>
      </c>
    </row>
    <row r="1119" ht="15" customHeight="1" s="95">
      <c r="A1119" s="143" t="n">
        <v>44948</v>
      </c>
      <c r="B1119" s="146" t="n">
        <v>0.999505</v>
      </c>
      <c r="C1119" s="179" t="n">
        <v>43327364623</v>
      </c>
      <c r="D1119" s="179" t="n">
        <v>43348828455</v>
      </c>
      <c r="E1119" s="146" t="n">
        <v>1.000023</v>
      </c>
      <c r="F1119" s="179" t="n">
        <v>66376505551</v>
      </c>
      <c r="G1119" s="179" t="n">
        <v>66375005634</v>
      </c>
      <c r="H1119" s="179">
        <f>IFERROR(D1119+G1119,D1119)</f>
        <v/>
      </c>
      <c r="I1119" s="184">
        <f>IFERROR(D1119/H1119,"")</f>
        <v/>
      </c>
      <c r="J1119" s="179" t="n">
        <v>8669765691</v>
      </c>
      <c r="K1119" s="179" t="n">
        <v>17339531382</v>
      </c>
      <c r="L1119" s="179" t="n">
        <v>26009297073</v>
      </c>
    </row>
    <row r="1120" ht="15" customHeight="1" s="95">
      <c r="A1120" s="143" t="n">
        <v>44949</v>
      </c>
      <c r="B1120" s="146" t="n">
        <v>1.001276</v>
      </c>
      <c r="C1120" s="179" t="n">
        <v>43513037553</v>
      </c>
      <c r="D1120" s="179" t="n">
        <v>43457577074</v>
      </c>
      <c r="E1120" s="146" t="n">
        <v>1.000847</v>
      </c>
      <c r="F1120" s="179" t="n">
        <v>66739726193</v>
      </c>
      <c r="G1120" s="179" t="n">
        <v>66683260717</v>
      </c>
      <c r="H1120" s="179">
        <f>IFERROR(D1120+G1120,D1120)</f>
        <v/>
      </c>
      <c r="I1120" s="184">
        <f>IFERROR(D1120/H1120,"")</f>
        <v/>
      </c>
      <c r="J1120" s="179" t="n">
        <v>8691515415</v>
      </c>
      <c r="K1120" s="179" t="n">
        <v>17383030830</v>
      </c>
      <c r="L1120" s="179" t="n">
        <v>26074546244</v>
      </c>
    </row>
    <row r="1121" ht="15" customHeight="1" s="95">
      <c r="A1121" s="143" t="n">
        <v>44950</v>
      </c>
      <c r="B1121" s="146" t="n">
        <v>1.001715</v>
      </c>
      <c r="C1121" s="179" t="n">
        <v>43430853637</v>
      </c>
      <c r="D1121" s="179" t="n">
        <v>43356482702</v>
      </c>
      <c r="E1121" s="146" t="n">
        <v>1.002108</v>
      </c>
      <c r="F1121" s="179" t="n">
        <v>66692161993</v>
      </c>
      <c r="G1121" s="179" t="n">
        <v>66551837738</v>
      </c>
      <c r="H1121" s="179">
        <f>IFERROR(D1121+G1121,D1121)</f>
        <v/>
      </c>
      <c r="I1121" s="184">
        <f>IFERROR(D1121/H1121,"")</f>
        <v/>
      </c>
      <c r="J1121" s="179" t="n">
        <v>8671296540</v>
      </c>
      <c r="K1121" s="179" t="n">
        <v>17342593081</v>
      </c>
      <c r="L1121" s="179" t="n">
        <v>26013889621</v>
      </c>
    </row>
    <row r="1122" ht="15" customHeight="1" s="95">
      <c r="A1122" s="143" t="n">
        <v>44951</v>
      </c>
      <c r="B1122" s="146" t="n">
        <v>1.001129</v>
      </c>
      <c r="C1122" s="179" t="n">
        <v>43719411091</v>
      </c>
      <c r="D1122" s="179" t="n">
        <v>43670120633</v>
      </c>
      <c r="E1122" s="146" t="n">
        <v>0.999682</v>
      </c>
      <c r="F1122" s="179" t="n">
        <v>66885882203</v>
      </c>
      <c r="G1122" s="179" t="n">
        <v>66907132588</v>
      </c>
      <c r="H1122" s="179">
        <f>IFERROR(D1122+G1122,D1122)</f>
        <v/>
      </c>
      <c r="I1122" s="184">
        <f>IFERROR(D1122/H1122,"")</f>
        <v/>
      </c>
      <c r="J1122" s="179" t="n">
        <v>8734024127</v>
      </c>
      <c r="K1122" s="179" t="n">
        <v>17468048253</v>
      </c>
      <c r="L1122" s="179" t="n">
        <v>26202072380</v>
      </c>
    </row>
    <row r="1123" ht="15" customHeight="1" s="95">
      <c r="A1123" s="143" t="n">
        <v>44952</v>
      </c>
      <c r="B1123" s="146" t="n">
        <v>1.000978</v>
      </c>
      <c r="C1123" s="179" t="n">
        <v>43545593015</v>
      </c>
      <c r="D1123" s="179" t="n">
        <v>43503047034</v>
      </c>
      <c r="E1123" s="146" t="n">
        <v>1.002001</v>
      </c>
      <c r="F1123" s="179" t="n">
        <v>67139928234</v>
      </c>
      <c r="G1123" s="179" t="n">
        <v>67005830782</v>
      </c>
      <c r="H1123" s="179">
        <f>IFERROR(D1123+G1123,D1123)</f>
        <v/>
      </c>
      <c r="I1123" s="184">
        <f>IFERROR(D1123/H1123,"")</f>
        <v/>
      </c>
      <c r="J1123" s="179" t="n">
        <v>8700609407</v>
      </c>
      <c r="K1123" s="179" t="n">
        <v>17401218814</v>
      </c>
      <c r="L1123" s="179" t="n">
        <v>26101828220</v>
      </c>
    </row>
    <row r="1124" ht="15" customHeight="1" s="95">
      <c r="A1124" s="143" t="n">
        <v>44953</v>
      </c>
      <c r="B1124" s="146" t="n">
        <v>1.00086</v>
      </c>
      <c r="C1124" s="179" t="n">
        <v>43326277770</v>
      </c>
      <c r="D1124" s="179" t="n">
        <v>43289039584</v>
      </c>
      <c r="E1124" s="146" t="n">
        <v>1.000461</v>
      </c>
      <c r="F1124" s="179" t="n">
        <v>67240886056</v>
      </c>
      <c r="G1124" s="179" t="n">
        <v>67209909111</v>
      </c>
      <c r="H1124" s="179">
        <f>IFERROR(D1124+G1124,D1124)</f>
        <v/>
      </c>
      <c r="I1124" s="184">
        <f>IFERROR(D1124/H1124,"")</f>
        <v/>
      </c>
      <c r="J1124" s="179" t="n">
        <v>8657807917</v>
      </c>
      <c r="K1124" s="179" t="n">
        <v>17315615834</v>
      </c>
      <c r="L1124" s="179" t="n">
        <v>25973423750</v>
      </c>
    </row>
    <row r="1125" ht="15" customHeight="1" s="95">
      <c r="A1125" s="143" t="n">
        <v>44954</v>
      </c>
      <c r="B1125" s="146" t="n">
        <v>1.001011</v>
      </c>
      <c r="C1125" s="179" t="n">
        <v>43080116274</v>
      </c>
      <c r="D1125" s="179" t="n">
        <v>43036602424</v>
      </c>
      <c r="E1125" s="146" t="n">
        <v>1.001232</v>
      </c>
      <c r="F1125" s="179" t="n">
        <v>67373574300</v>
      </c>
      <c r="G1125" s="179" t="n">
        <v>67290642262</v>
      </c>
      <c r="H1125" s="179">
        <f>IFERROR(D1125+G1125,D1125)</f>
        <v/>
      </c>
      <c r="I1125" s="184">
        <f>IFERROR(D1125/H1125,"")</f>
        <v/>
      </c>
      <c r="J1125" s="179" t="n">
        <v>8607320485</v>
      </c>
      <c r="K1125" s="179" t="n">
        <v>17214640970</v>
      </c>
      <c r="L1125" s="179" t="n">
        <v>25821961454</v>
      </c>
    </row>
    <row r="1126" ht="15" customHeight="1" s="95">
      <c r="A1126" s="143" t="n">
        <v>44955</v>
      </c>
      <c r="B1126" s="146" t="n">
        <v>1.000236</v>
      </c>
      <c r="C1126" s="179" t="n">
        <v>43167479981</v>
      </c>
      <c r="D1126" s="179" t="n">
        <v>43157311936</v>
      </c>
      <c r="E1126" s="146" t="n">
        <v>1.000895</v>
      </c>
      <c r="F1126" s="179" t="n">
        <v>67569736303</v>
      </c>
      <c r="G1126" s="179" t="n">
        <v>67509344137</v>
      </c>
      <c r="H1126" s="179">
        <f>IFERROR(D1126+G1126,D1126)</f>
        <v/>
      </c>
      <c r="I1126" s="184">
        <f>IFERROR(D1126/H1126,"")</f>
        <v/>
      </c>
      <c r="J1126" s="179" t="n">
        <v>8631462387</v>
      </c>
      <c r="K1126" s="179" t="n">
        <v>17262924774</v>
      </c>
      <c r="L1126" s="179" t="n">
        <v>25894387162</v>
      </c>
    </row>
    <row r="1127" ht="15" customHeight="1" s="95">
      <c r="A1127" s="143" t="n">
        <v>44956</v>
      </c>
      <c r="B1127" s="146" t="n">
        <v>1.000636</v>
      </c>
      <c r="C1127" s="179" t="n">
        <v>43113082734</v>
      </c>
      <c r="D1127" s="179" t="n">
        <v>43085663232</v>
      </c>
      <c r="E1127" s="146" t="n">
        <v>1.001293</v>
      </c>
      <c r="F1127" s="179" t="n">
        <v>67687123254</v>
      </c>
      <c r="G1127" s="179" t="n">
        <v>67599745973</v>
      </c>
      <c r="H1127" s="179">
        <f>IFERROR(D1127+G1127,D1127)</f>
        <v/>
      </c>
      <c r="I1127" s="184">
        <f>IFERROR(D1127/H1127,"")</f>
        <v/>
      </c>
      <c r="J1127" s="179" t="n">
        <v>8617132646</v>
      </c>
      <c r="K1127" s="179" t="n">
        <v>17234265293</v>
      </c>
      <c r="L1127" s="179" t="n">
        <v>25851397939</v>
      </c>
    </row>
    <row r="1128" ht="15" customHeight="1" s="95">
      <c r="A1128" s="143" t="n">
        <v>44957</v>
      </c>
      <c r="B1128" s="146" t="n">
        <v>1.002194</v>
      </c>
      <c r="C1128" s="179" t="n">
        <v>42731330918</v>
      </c>
      <c r="D1128" s="179" t="n">
        <v>42637768955</v>
      </c>
      <c r="E1128" s="146" t="n">
        <v>1.00142</v>
      </c>
      <c r="F1128" s="179" t="n">
        <v>67779797060</v>
      </c>
      <c r="G1128" s="179" t="n">
        <v>67683676122</v>
      </c>
      <c r="H1128" s="179">
        <f>IFERROR(D1128+G1128,D1128)</f>
        <v/>
      </c>
      <c r="I1128" s="184">
        <f>IFERROR(D1128/H1128,"")</f>
        <v/>
      </c>
      <c r="J1128" s="179" t="n">
        <v>8527553791</v>
      </c>
      <c r="K1128" s="179" t="n">
        <v>17055107582</v>
      </c>
      <c r="L1128" s="179" t="n">
        <v>25582661373</v>
      </c>
    </row>
    <row r="1129" ht="15" customHeight="1" s="95">
      <c r="A1129" s="143" t="n">
        <v>44958</v>
      </c>
      <c r="B1129" s="146" t="n">
        <v>1.000568</v>
      </c>
      <c r="C1129" s="179" t="n">
        <v>42443689338</v>
      </c>
      <c r="D1129" s="179" t="n">
        <v>42419589942</v>
      </c>
      <c r="E1129" s="146" t="n">
        <v>1.00074</v>
      </c>
      <c r="F1129" s="179" t="n">
        <v>67834965073</v>
      </c>
      <c r="G1129" s="179" t="n">
        <v>67784788182</v>
      </c>
      <c r="H1129" s="179">
        <f>IFERROR(D1129+G1129,D1129)</f>
        <v/>
      </c>
      <c r="I1129" s="184">
        <f>IFERROR(D1129/H1129,"")</f>
        <v/>
      </c>
      <c r="J1129" s="179" t="n">
        <v>8483917988</v>
      </c>
      <c r="K1129" s="179" t="n">
        <v>16967835977</v>
      </c>
      <c r="L1129" s="179" t="n">
        <v>25451753965</v>
      </c>
    </row>
    <row r="1130" ht="15" customHeight="1" s="95">
      <c r="A1130" s="143" t="n">
        <v>44959</v>
      </c>
      <c r="B1130" s="146" t="n">
        <v>1.001013</v>
      </c>
      <c r="C1130" s="179" t="n">
        <v>42339805493</v>
      </c>
      <c r="D1130" s="179" t="n">
        <v>42296969035</v>
      </c>
      <c r="E1130" s="146" t="n">
        <v>1.001152</v>
      </c>
      <c r="F1130" s="179" t="n">
        <v>67846146300</v>
      </c>
      <c r="G1130" s="179" t="n">
        <v>67768108531</v>
      </c>
      <c r="H1130" s="179">
        <f>IFERROR(D1130+G1130,D1130)</f>
        <v/>
      </c>
      <c r="I1130" s="184">
        <f>IFERROR(D1130/H1130,"")</f>
        <v/>
      </c>
      <c r="J1130" s="179" t="n">
        <v>8459393807</v>
      </c>
      <c r="K1130" s="179" t="n">
        <v>16918787614</v>
      </c>
      <c r="L1130" s="179" t="n">
        <v>25378181421</v>
      </c>
    </row>
    <row r="1131" ht="15" customHeight="1" s="95">
      <c r="A1131" s="143" t="n">
        <v>44960</v>
      </c>
      <c r="B1131" s="146" t="n">
        <v>1.002254</v>
      </c>
      <c r="C1131" s="179" t="n">
        <v>42540250173</v>
      </c>
      <c r="D1131" s="179" t="n">
        <v>42444568089</v>
      </c>
      <c r="E1131" s="146" t="n">
        <v>1.002126</v>
      </c>
      <c r="F1131" s="179" t="n">
        <v>67892950614</v>
      </c>
      <c r="G1131" s="179" t="n">
        <v>67748903975</v>
      </c>
      <c r="H1131" s="179">
        <f>IFERROR(D1131+G1131,D1131)</f>
        <v/>
      </c>
      <c r="I1131" s="184">
        <f>IFERROR(D1131/H1131,"")</f>
        <v/>
      </c>
      <c r="J1131" s="179" t="n">
        <v>8488913618</v>
      </c>
      <c r="K1131" s="179" t="n">
        <v>16977827236</v>
      </c>
      <c r="L1131" s="179" t="n">
        <v>25466740853</v>
      </c>
    </row>
    <row r="1132" ht="15" customHeight="1" s="95">
      <c r="A1132" s="143" t="n">
        <v>44961</v>
      </c>
      <c r="B1132" s="146" t="n">
        <v>1.000255</v>
      </c>
      <c r="C1132" s="179" t="n">
        <v>41979649585</v>
      </c>
      <c r="D1132" s="179" t="n">
        <v>41968943907</v>
      </c>
      <c r="E1132" s="146" t="n">
        <v>1.000363</v>
      </c>
      <c r="F1132" s="179" t="n">
        <v>68042153687</v>
      </c>
      <c r="G1132" s="179" t="n">
        <v>68017463356</v>
      </c>
      <c r="H1132" s="179">
        <f>IFERROR(D1132+G1132,D1132)</f>
        <v/>
      </c>
      <c r="I1132" s="184">
        <f>IFERROR(D1132/H1132,"")</f>
        <v/>
      </c>
      <c r="J1132" s="179" t="n">
        <v>8393788781</v>
      </c>
      <c r="K1132" s="179" t="n">
        <v>16787577563</v>
      </c>
      <c r="L1132" s="179" t="n">
        <v>25181366344</v>
      </c>
    </row>
    <row r="1133" ht="15" customHeight="1" s="95">
      <c r="A1133" s="143" t="n">
        <v>44962</v>
      </c>
      <c r="B1133" s="146" t="n">
        <v>1.002196</v>
      </c>
      <c r="C1133" s="179" t="n">
        <v>42029296086</v>
      </c>
      <c r="D1133" s="179" t="n">
        <v>41937195717</v>
      </c>
      <c r="E1133" s="146" t="n">
        <v>1.001196</v>
      </c>
      <c r="F1133" s="179" t="n">
        <v>67944713474</v>
      </c>
      <c r="G1133" s="179" t="n">
        <v>67863536175</v>
      </c>
      <c r="H1133" s="179">
        <f>IFERROR(D1133+G1133,D1133)</f>
        <v/>
      </c>
      <c r="I1133" s="184">
        <f>IFERROR(D1133/H1133,"")</f>
        <v/>
      </c>
      <c r="J1133" s="179" t="n">
        <v>8387439143</v>
      </c>
      <c r="K1133" s="179" t="n">
        <v>16774878287</v>
      </c>
      <c r="L1133" s="179" t="n">
        <v>25162317430</v>
      </c>
    </row>
    <row r="1134" ht="15" customHeight="1" s="95">
      <c r="A1134" s="143" t="n">
        <v>44963</v>
      </c>
      <c r="B1134" s="146" t="n">
        <v>0.999844</v>
      </c>
      <c r="C1134" s="179" t="n">
        <v>42057121144</v>
      </c>
      <c r="D1134" s="179" t="n">
        <v>42063693193</v>
      </c>
      <c r="E1134" s="146" t="n">
        <v>1.000268</v>
      </c>
      <c r="F1134" s="179" t="n">
        <v>68114172206</v>
      </c>
      <c r="G1134" s="179" t="n">
        <v>68095925845</v>
      </c>
      <c r="H1134" s="179">
        <f>IFERROR(D1134+G1134,D1134)</f>
        <v/>
      </c>
      <c r="I1134" s="184">
        <f>IFERROR(D1134/H1134,"")</f>
        <v/>
      </c>
      <c r="J1134" s="179" t="n">
        <v>8412738639</v>
      </c>
      <c r="K1134" s="179" t="n">
        <v>16825477277</v>
      </c>
      <c r="L1134" s="179" t="n">
        <v>25238215916</v>
      </c>
    </row>
    <row r="1135" ht="15" customHeight="1" s="95">
      <c r="A1135" s="143" t="n">
        <v>44964</v>
      </c>
      <c r="B1135" s="146" t="n">
        <v>1.000775</v>
      </c>
      <c r="C1135" s="179" t="n">
        <v>41800705575</v>
      </c>
      <c r="D1135" s="179" t="n">
        <v>41768316714</v>
      </c>
      <c r="E1135" s="146" t="n">
        <v>0.9999980000000001</v>
      </c>
      <c r="F1135" s="179" t="n">
        <v>68043274844</v>
      </c>
      <c r="G1135" s="179" t="n">
        <v>68043426865</v>
      </c>
      <c r="H1135" s="179">
        <f>IFERROR(D1135+G1135,D1135)</f>
        <v/>
      </c>
      <c r="I1135" s="184">
        <f>IFERROR(D1135/H1135,"")</f>
        <v/>
      </c>
      <c r="J1135" s="179" t="n">
        <v>8353663343</v>
      </c>
      <c r="K1135" s="179" t="n">
        <v>16707326686</v>
      </c>
      <c r="L1135" s="179" t="n">
        <v>25060990028</v>
      </c>
    </row>
    <row r="1136" ht="15" customHeight="1" s="95">
      <c r="A1136" s="143" t="n">
        <v>44965</v>
      </c>
      <c r="B1136" s="146" t="n">
        <v>1.000934</v>
      </c>
      <c r="C1136" s="179" t="n">
        <v>41821971552</v>
      </c>
      <c r="D1136" s="179" t="n">
        <v>41782947977</v>
      </c>
      <c r="E1136" s="146" t="n">
        <v>1.000727</v>
      </c>
      <c r="F1136" s="179" t="n">
        <v>68265208037</v>
      </c>
      <c r="G1136" s="179" t="n">
        <v>68215621248</v>
      </c>
      <c r="H1136" s="179">
        <f>IFERROR(D1136+G1136,D1136)</f>
        <v/>
      </c>
      <c r="I1136" s="184">
        <f>IFERROR(D1136/H1136,"")</f>
        <v/>
      </c>
      <c r="J1136" s="179" t="n">
        <v>8356589595</v>
      </c>
      <c r="K1136" s="179" t="n">
        <v>16713179191</v>
      </c>
      <c r="L1136" s="179" t="n">
        <v>25069768786</v>
      </c>
    </row>
    <row r="1137" ht="15" customHeight="1" s="95">
      <c r="A1137" s="143" t="n">
        <v>44966</v>
      </c>
      <c r="B1137" s="146" t="n">
        <v>1.000332</v>
      </c>
      <c r="C1137" s="179" t="n">
        <v>41489736570</v>
      </c>
      <c r="D1137" s="179" t="n">
        <v>41475958095</v>
      </c>
      <c r="E1137" s="146" t="n">
        <v>1.000281</v>
      </c>
      <c r="F1137" s="179" t="n">
        <v>68160499147</v>
      </c>
      <c r="G1137" s="179" t="n">
        <v>68141347918</v>
      </c>
      <c r="H1137" s="179">
        <f>IFERROR(D1137+G1137,D1137)</f>
        <v/>
      </c>
      <c r="I1137" s="184">
        <f>IFERROR(D1137/H1137,"")</f>
        <v/>
      </c>
      <c r="J1137" s="179" t="n">
        <v>8295191619</v>
      </c>
      <c r="K1137" s="179" t="n">
        <v>16590383238</v>
      </c>
      <c r="L1137" s="179" t="n">
        <v>24885574857</v>
      </c>
    </row>
    <row r="1138" ht="15" customHeight="1" s="95">
      <c r="A1138" s="143" t="n">
        <v>44967</v>
      </c>
      <c r="B1138" s="146" t="n">
        <v>1.00035</v>
      </c>
      <c r="C1138" s="179" t="n">
        <v>41454455609</v>
      </c>
      <c r="D1138" s="179" t="n">
        <v>41439966306</v>
      </c>
      <c r="E1138" s="146" t="n">
        <v>1.000551</v>
      </c>
      <c r="F1138" s="179" t="n">
        <v>68193338996</v>
      </c>
      <c r="G1138" s="179" t="n">
        <v>68155766691</v>
      </c>
      <c r="H1138" s="179">
        <f>IFERROR(D1138+G1138,D1138)</f>
        <v/>
      </c>
      <c r="I1138" s="184">
        <f>IFERROR(D1138/H1138,"")</f>
        <v/>
      </c>
      <c r="J1138" s="179" t="n">
        <v>8287993261</v>
      </c>
      <c r="K1138" s="179" t="n">
        <v>16575986522</v>
      </c>
      <c r="L1138" s="179" t="n">
        <v>24863979784</v>
      </c>
    </row>
    <row r="1139" ht="15" customHeight="1" s="95">
      <c r="A1139" s="143" t="n">
        <v>44968</v>
      </c>
      <c r="B1139" s="146" t="n">
        <v>1.000248</v>
      </c>
      <c r="C1139" s="179" t="n">
        <v>41396045451</v>
      </c>
      <c r="D1139" s="179" t="n">
        <v>41385797800</v>
      </c>
      <c r="E1139" s="146" t="n">
        <v>0.999877</v>
      </c>
      <c r="F1139" s="179" t="n">
        <v>68366557129</v>
      </c>
      <c r="G1139" s="179" t="n">
        <v>68374965490</v>
      </c>
      <c r="H1139" s="179">
        <f>IFERROR(D1139+G1139,D1139)</f>
        <v/>
      </c>
      <c r="I1139" s="184">
        <f>IFERROR(D1139/H1139,"")</f>
        <v/>
      </c>
      <c r="J1139" s="179" t="n">
        <v>8277159560</v>
      </c>
      <c r="K1139" s="179" t="n">
        <v>16554319120</v>
      </c>
      <c r="L1139" s="179" t="n">
        <v>24831478680</v>
      </c>
    </row>
    <row r="1140" ht="15" customHeight="1" s="95">
      <c r="A1140" s="143" t="n">
        <v>44969</v>
      </c>
      <c r="B1140" s="146" t="n">
        <v>1.001188</v>
      </c>
      <c r="C1140" s="179" t="n">
        <v>41347003133</v>
      </c>
      <c r="D1140" s="179" t="n">
        <v>41297952817</v>
      </c>
      <c r="E1140" s="146" t="n">
        <v>1.00122</v>
      </c>
      <c r="F1140" s="179" t="n">
        <v>68457150720</v>
      </c>
      <c r="G1140" s="179" t="n">
        <v>68373767403</v>
      </c>
      <c r="H1140" s="179">
        <f>IFERROR(D1140+G1140,D1140)</f>
        <v/>
      </c>
      <c r="I1140" s="184">
        <f>IFERROR(D1140/H1140,"")</f>
        <v/>
      </c>
      <c r="J1140" s="179" t="n">
        <v>8259590563</v>
      </c>
      <c r="K1140" s="179" t="n">
        <v>16519181127</v>
      </c>
      <c r="L1140" s="179" t="n">
        <v>24778771690</v>
      </c>
    </row>
    <row r="1141" ht="15" customHeight="1" s="95">
      <c r="A1141" s="143" t="n">
        <v>44970</v>
      </c>
      <c r="B1141" s="146" t="n">
        <v>1.000796</v>
      </c>
      <c r="C1141" s="179" t="n">
        <v>41249501484</v>
      </c>
      <c r="D1141" s="179" t="n">
        <v>41216694122</v>
      </c>
      <c r="E1141" s="146" t="n">
        <v>1.000755</v>
      </c>
      <c r="F1141" s="179" t="n">
        <v>68490999406</v>
      </c>
      <c r="G1141" s="179" t="n">
        <v>68439352993</v>
      </c>
      <c r="H1141" s="179">
        <f>IFERROR(D1141+G1141,D1141)</f>
        <v/>
      </c>
      <c r="I1141" s="184">
        <f>IFERROR(D1141/H1141,"")</f>
        <v/>
      </c>
      <c r="J1141" s="179" t="n">
        <v>8243338824</v>
      </c>
      <c r="K1141" s="179" t="n">
        <v>16486677649</v>
      </c>
      <c r="L1141" s="179" t="n">
        <v>24730016473</v>
      </c>
    </row>
    <row r="1142" ht="15" customHeight="1" s="95">
      <c r="A1142" s="143" t="n">
        <v>44971</v>
      </c>
      <c r="B1142" s="146" t="n">
        <v>0.999677</v>
      </c>
      <c r="C1142" s="179" t="n">
        <v>40964205745</v>
      </c>
      <c r="D1142" s="179" t="n">
        <v>40977428781</v>
      </c>
      <c r="E1142" s="146" t="n">
        <v>1.000397</v>
      </c>
      <c r="F1142" s="179" t="n">
        <v>68427597807</v>
      </c>
      <c r="G1142" s="179" t="n">
        <v>68400410640</v>
      </c>
      <c r="H1142" s="179">
        <f>IFERROR(D1142+G1142,D1142)</f>
        <v/>
      </c>
      <c r="I1142" s="184">
        <f>IFERROR(D1142/H1142,"")</f>
        <v/>
      </c>
      <c r="J1142" s="179" t="n">
        <v>8195485756</v>
      </c>
      <c r="K1142" s="179" t="n">
        <v>16390971512</v>
      </c>
      <c r="L1142" s="179" t="n">
        <v>24586457269</v>
      </c>
    </row>
    <row r="1143" ht="15" customHeight="1" s="95">
      <c r="A1143" s="143" t="n">
        <v>44972</v>
      </c>
      <c r="B1143" s="146" t="n">
        <v>0.9995579999999999</v>
      </c>
      <c r="C1143" s="179" t="n">
        <v>41098392955</v>
      </c>
      <c r="D1143" s="179" t="n">
        <v>41116550479</v>
      </c>
      <c r="E1143" s="146" t="n">
        <v>1.000704</v>
      </c>
      <c r="F1143" s="179" t="n">
        <v>69541171926</v>
      </c>
      <c r="G1143" s="179" t="n">
        <v>69492266029</v>
      </c>
      <c r="H1143" s="179">
        <f>IFERROR(D1143+G1143,D1143)</f>
        <v/>
      </c>
      <c r="I1143" s="184">
        <f>IFERROR(D1143/H1143,"")</f>
        <v/>
      </c>
      <c r="J1143" s="179" t="n">
        <v>8223310096</v>
      </c>
      <c r="K1143" s="179" t="n">
        <v>16446620192</v>
      </c>
      <c r="L1143" s="179" t="n">
        <v>24669930287</v>
      </c>
    </row>
    <row r="1144" ht="15" customHeight="1" s="95">
      <c r="A1144" s="143" t="n">
        <v>44973</v>
      </c>
      <c r="B1144" s="146" t="n">
        <v>0.999976</v>
      </c>
      <c r="C1144" s="179" t="n">
        <v>41418075054</v>
      </c>
      <c r="D1144" s="179" t="n">
        <v>41419062711</v>
      </c>
      <c r="E1144" s="146" t="n">
        <v>0.999834</v>
      </c>
      <c r="F1144" s="179" t="n">
        <v>69502620730</v>
      </c>
      <c r="G1144" s="179" t="n">
        <v>69514189185</v>
      </c>
      <c r="H1144" s="179">
        <f>IFERROR(D1144+G1144,D1144)</f>
        <v/>
      </c>
      <c r="I1144" s="184">
        <f>IFERROR(D1144/H1144,"")</f>
        <v/>
      </c>
      <c r="J1144" s="179" t="n">
        <v>8283812542</v>
      </c>
      <c r="K1144" s="179" t="n">
        <v>16567625084</v>
      </c>
      <c r="L1144" s="179" t="n">
        <v>24851437627</v>
      </c>
    </row>
    <row r="1145" ht="15" customHeight="1" s="95">
      <c r="A1145" s="143" t="n">
        <v>44974</v>
      </c>
      <c r="B1145" s="146" t="n">
        <v>1.006174</v>
      </c>
      <c r="C1145" s="179" t="n">
        <v>41759492748</v>
      </c>
      <c r="D1145" s="179" t="n">
        <v>41503238576</v>
      </c>
      <c r="E1145" s="146" t="n">
        <v>1.00537</v>
      </c>
      <c r="F1145" s="179" t="n">
        <v>69826536196</v>
      </c>
      <c r="G1145" s="179" t="n">
        <v>69453555489</v>
      </c>
      <c r="H1145" s="179">
        <f>IFERROR(D1145+G1145,D1145)</f>
        <v/>
      </c>
      <c r="I1145" s="184">
        <f>IFERROR(D1145/H1145,"")</f>
        <v/>
      </c>
      <c r="J1145" s="179" t="n">
        <v>8300647715</v>
      </c>
      <c r="K1145" s="179" t="n">
        <v>16601295430</v>
      </c>
      <c r="L1145" s="179" t="n">
        <v>24901943146</v>
      </c>
    </row>
    <row r="1146" ht="15" customHeight="1" s="95">
      <c r="A1146" s="143" t="n">
        <v>44975</v>
      </c>
      <c r="B1146" s="146" t="n">
        <v>1.001668</v>
      </c>
      <c r="C1146" s="179" t="n">
        <v>41850455705</v>
      </c>
      <c r="D1146" s="179" t="n">
        <v>41780745173</v>
      </c>
      <c r="E1146" s="146" t="n">
        <v>1.000136</v>
      </c>
      <c r="F1146" s="179" t="n">
        <v>70292722478</v>
      </c>
      <c r="G1146" s="179" t="n">
        <v>70283133578</v>
      </c>
      <c r="H1146" s="179">
        <f>IFERROR(D1146+G1146,D1146)</f>
        <v/>
      </c>
      <c r="I1146" s="184">
        <f>IFERROR(D1146/H1146,"")</f>
        <v/>
      </c>
      <c r="J1146" s="179" t="n">
        <v>8356149035</v>
      </c>
      <c r="K1146" s="179" t="n">
        <v>16712298069</v>
      </c>
      <c r="L1146" s="179" t="n">
        <v>25068447104</v>
      </c>
    </row>
    <row r="1147" ht="15" customHeight="1" s="95">
      <c r="A1147" s="143" t="n">
        <v>44976</v>
      </c>
      <c r="B1147" s="146" t="n">
        <v>1.000485</v>
      </c>
      <c r="C1147" s="179" t="n">
        <v>41847466367</v>
      </c>
      <c r="D1147" s="179" t="n">
        <v>41827161983</v>
      </c>
      <c r="E1147" s="146" t="n">
        <v>1.000518</v>
      </c>
      <c r="F1147" s="179" t="n">
        <v>70285569098</v>
      </c>
      <c r="G1147" s="179" t="n">
        <v>70249176044</v>
      </c>
      <c r="H1147" s="179">
        <f>IFERROR(D1147+G1147,D1147)</f>
        <v/>
      </c>
      <c r="I1147" s="184">
        <f>IFERROR(D1147/H1147,"")</f>
        <v/>
      </c>
      <c r="J1147" s="179" t="n">
        <v>8365432397</v>
      </c>
      <c r="K1147" s="179" t="n">
        <v>16730864793</v>
      </c>
      <c r="L1147" s="179" t="n">
        <v>25096297190</v>
      </c>
    </row>
    <row r="1148" ht="15" customHeight="1" s="95">
      <c r="A1148" s="143" t="n">
        <v>44977</v>
      </c>
      <c r="B1148" s="146" t="n">
        <v>0.998852</v>
      </c>
      <c r="C1148" s="179" t="n">
        <v>41915446075</v>
      </c>
      <c r="D1148" s="179" t="n">
        <v>41963622551</v>
      </c>
      <c r="E1148" s="146" t="n">
        <v>0.999299</v>
      </c>
      <c r="F1148" s="179" t="n">
        <v>70451072573</v>
      </c>
      <c r="G1148" s="179" t="n">
        <v>70500497262</v>
      </c>
      <c r="H1148" s="179">
        <f>IFERROR(D1148+G1148,D1148)</f>
        <v/>
      </c>
      <c r="I1148" s="184">
        <f>IFERROR(D1148/H1148,"")</f>
        <v/>
      </c>
      <c r="J1148" s="179" t="n">
        <v>8392724510</v>
      </c>
      <c r="K1148" s="179" t="n">
        <v>16785449020</v>
      </c>
      <c r="L1148" s="179" t="n">
        <v>25178173531</v>
      </c>
    </row>
    <row r="1149" ht="15" customHeight="1" s="95">
      <c r="A1149" s="143" t="n">
        <v>44978</v>
      </c>
      <c r="B1149" s="146" t="n">
        <v>0.999123</v>
      </c>
      <c r="C1149" s="179" t="n">
        <v>41929600474</v>
      </c>
      <c r="D1149" s="179" t="n">
        <v>41966398746</v>
      </c>
      <c r="E1149" s="146" t="n">
        <v>0.999406</v>
      </c>
      <c r="F1149" s="179" t="n">
        <v>70418439340</v>
      </c>
      <c r="G1149" s="179" t="n">
        <v>70460282803</v>
      </c>
      <c r="H1149" s="179">
        <f>IFERROR(D1149+G1149,D1149)</f>
        <v/>
      </c>
      <c r="I1149" s="184">
        <f>IFERROR(D1149/H1149,"")</f>
        <v/>
      </c>
      <c r="J1149" s="179" t="n">
        <v>8393279749</v>
      </c>
      <c r="K1149" s="179" t="n">
        <v>16786559498</v>
      </c>
      <c r="L1149" s="179" t="n">
        <v>25179839248</v>
      </c>
    </row>
    <row r="1150" ht="15" customHeight="1" s="95">
      <c r="A1150" s="143" t="n">
        <v>44979</v>
      </c>
      <c r="B1150" s="146" t="n">
        <v>1.000821</v>
      </c>
      <c r="C1150" s="179" t="n">
        <v>42150096803</v>
      </c>
      <c r="D1150" s="179" t="n">
        <v>42115529544</v>
      </c>
      <c r="E1150" s="146" t="n">
        <v>1.000439</v>
      </c>
      <c r="F1150" s="179" t="n">
        <v>70456590555</v>
      </c>
      <c r="G1150" s="179" t="n">
        <v>70425694834</v>
      </c>
      <c r="H1150" s="179">
        <f>IFERROR(D1150+G1150,D1150)</f>
        <v/>
      </c>
      <c r="I1150" s="184">
        <f>IFERROR(D1150/H1150,"")</f>
        <v/>
      </c>
      <c r="J1150" s="179" t="n">
        <v>8423105909</v>
      </c>
      <c r="K1150" s="179" t="n">
        <v>16846211818</v>
      </c>
      <c r="L1150" s="179" t="n">
        <v>25269317726</v>
      </c>
    </row>
    <row r="1151" ht="15" customHeight="1" s="95">
      <c r="A1151" s="143" t="n">
        <v>44980</v>
      </c>
      <c r="B1151" s="146" t="n">
        <v>0.99999</v>
      </c>
      <c r="C1151" s="179" t="n">
        <v>42107605596</v>
      </c>
      <c r="D1151" s="179" t="n">
        <v>42108033900</v>
      </c>
      <c r="E1151" s="146" t="n">
        <v>0.999478</v>
      </c>
      <c r="F1151" s="179" t="n">
        <v>70766136200</v>
      </c>
      <c r="G1151" s="179" t="n">
        <v>70803123587</v>
      </c>
      <c r="H1151" s="179">
        <f>IFERROR(D1151+G1151,D1151)</f>
        <v/>
      </c>
      <c r="I1151" s="184">
        <f>IFERROR(D1151/H1151,"")</f>
        <v/>
      </c>
      <c r="J1151" s="179" t="n">
        <v>8421606780</v>
      </c>
      <c r="K1151" s="179" t="n">
        <v>16843213560</v>
      </c>
      <c r="L1151" s="179" t="n">
        <v>25264820340</v>
      </c>
    </row>
    <row r="1152" ht="15" customHeight="1" s="95">
      <c r="A1152" s="143" t="n">
        <v>44981</v>
      </c>
      <c r="B1152" s="146" t="n">
        <v>1.000754</v>
      </c>
      <c r="C1152" s="179" t="n">
        <v>42172684956</v>
      </c>
      <c r="D1152" s="179" t="n">
        <v>42140930240</v>
      </c>
      <c r="E1152" s="146" t="n">
        <v>1.000823</v>
      </c>
      <c r="F1152" s="179" t="n">
        <v>70680138527</v>
      </c>
      <c r="G1152" s="179" t="n">
        <v>70622024911</v>
      </c>
      <c r="H1152" s="179">
        <f>IFERROR(D1152+G1152,D1152)</f>
        <v/>
      </c>
      <c r="I1152" s="184">
        <f>IFERROR(D1152/H1152,"")</f>
        <v/>
      </c>
      <c r="J1152" s="179" t="n">
        <v>8428186048</v>
      </c>
      <c r="K1152" s="179" t="n">
        <v>16856372096</v>
      </c>
      <c r="L1152" s="179" t="n">
        <v>25284558144</v>
      </c>
    </row>
    <row r="1153" ht="15" customHeight="1" s="95">
      <c r="A1153" s="143" t="n">
        <v>44982</v>
      </c>
      <c r="B1153" s="146" t="n">
        <v>0.99988</v>
      </c>
      <c r="C1153" s="179" t="n">
        <v>42586940042</v>
      </c>
      <c r="D1153" s="179" t="n">
        <v>42592067678</v>
      </c>
      <c r="E1153" s="146" t="n">
        <v>0.999823</v>
      </c>
      <c r="F1153" s="179" t="n">
        <v>70811129790</v>
      </c>
      <c r="G1153" s="179" t="n">
        <v>70823657005</v>
      </c>
      <c r="H1153" s="179">
        <f>IFERROR(D1153+G1153,D1153)</f>
        <v/>
      </c>
      <c r="I1153" s="184">
        <f>IFERROR(D1153/H1153,"")</f>
        <v/>
      </c>
      <c r="J1153" s="179" t="n">
        <v>8518413536</v>
      </c>
      <c r="K1153" s="179" t="n">
        <v>17036827071</v>
      </c>
      <c r="L1153" s="179" t="n">
        <v>25555240607</v>
      </c>
    </row>
    <row r="1154" ht="15" customHeight="1" s="95">
      <c r="A1154" s="143" t="n">
        <v>44983</v>
      </c>
      <c r="B1154" s="146" t="n">
        <v>1.000078</v>
      </c>
      <c r="C1154" s="179" t="n">
        <v>42566004100</v>
      </c>
      <c r="D1154" s="179" t="n">
        <v>42562700549</v>
      </c>
      <c r="E1154" s="146" t="n">
        <v>1.00021</v>
      </c>
      <c r="F1154" s="179" t="n">
        <v>70832978696</v>
      </c>
      <c r="G1154" s="179" t="n">
        <v>70818103353</v>
      </c>
      <c r="H1154" s="179">
        <f>IFERROR(D1154+G1154,D1154)</f>
        <v/>
      </c>
      <c r="I1154" s="184">
        <f>IFERROR(D1154/H1154,"")</f>
        <v/>
      </c>
      <c r="J1154" s="179" t="n">
        <v>8512540110</v>
      </c>
      <c r="K1154" s="179" t="n">
        <v>17025080220</v>
      </c>
      <c r="L1154" s="179" t="n">
        <v>25537620329</v>
      </c>
    </row>
    <row r="1155" ht="15" customHeight="1" s="95">
      <c r="A1155" s="143" t="n">
        <v>44984</v>
      </c>
      <c r="B1155" s="146" t="n">
        <v>1.000619</v>
      </c>
      <c r="C1155" s="179" t="n">
        <v>42635599773</v>
      </c>
      <c r="D1155" s="179" t="n">
        <v>42609233823</v>
      </c>
      <c r="E1155" s="146" t="n">
        <v>0.999806</v>
      </c>
      <c r="F1155" s="179" t="n">
        <v>70797067115</v>
      </c>
      <c r="G1155" s="179" t="n">
        <v>70810827181</v>
      </c>
      <c r="H1155" s="179">
        <f>IFERROR(D1155+G1155,D1155)</f>
        <v/>
      </c>
      <c r="I1155" s="184">
        <f>IFERROR(D1155/H1155,"")</f>
        <v/>
      </c>
      <c r="J1155" s="179" t="n">
        <v>8521846765</v>
      </c>
      <c r="K1155" s="179" t="n">
        <v>17043693529</v>
      </c>
      <c r="L1155" s="179" t="n">
        <v>25565540294</v>
      </c>
    </row>
    <row r="1156" ht="15" customHeight="1" s="95">
      <c r="A1156" s="143" t="n">
        <v>44985</v>
      </c>
      <c r="B1156" s="146" t="n">
        <v>1.000753</v>
      </c>
      <c r="C1156" s="179" t="n">
        <v>42555162070</v>
      </c>
      <c r="D1156" s="179" t="n">
        <v>42523136603</v>
      </c>
      <c r="E1156" s="146" t="n">
        <v>1.000582</v>
      </c>
      <c r="F1156" s="179" t="n">
        <v>70918517287</v>
      </c>
      <c r="G1156" s="179" t="n">
        <v>70877292024</v>
      </c>
      <c r="H1156" s="179">
        <f>IFERROR(D1156+G1156,D1156)</f>
        <v/>
      </c>
      <c r="I1156" s="184">
        <f>IFERROR(D1156/H1156,"")</f>
        <v/>
      </c>
      <c r="J1156" s="179" t="n">
        <v>8504627321</v>
      </c>
      <c r="K1156" s="179" t="n">
        <v>17009254641</v>
      </c>
      <c r="L1156" s="179" t="n">
        <v>25513881962</v>
      </c>
    </row>
    <row r="1157" ht="15" customHeight="1" s="95">
      <c r="A1157" s="143" t="n">
        <v>44986</v>
      </c>
      <c r="B1157" s="146" t="n">
        <v>1.000119</v>
      </c>
      <c r="C1157" s="179" t="n">
        <v>42367057301</v>
      </c>
      <c r="D1157" s="179" t="n">
        <v>42362034724</v>
      </c>
      <c r="E1157" s="146" t="n">
        <v>0.998543</v>
      </c>
      <c r="F1157" s="179" t="n">
        <v>70926090372</v>
      </c>
      <c r="G1157" s="179" t="n">
        <v>71029614176</v>
      </c>
      <c r="H1157" s="179">
        <f>IFERROR(D1157+G1157,D1157)</f>
        <v/>
      </c>
      <c r="I1157" s="184">
        <f>IFERROR(D1157/H1157,"")</f>
        <v/>
      </c>
      <c r="J1157" s="179" t="n">
        <v>8472406945</v>
      </c>
      <c r="K1157" s="179" t="n">
        <v>16944813890</v>
      </c>
      <c r="L1157" s="179" t="n">
        <v>25417220834</v>
      </c>
    </row>
    <row r="1158" ht="15" customHeight="1" s="95">
      <c r="A1158" s="143" t="n">
        <v>44987</v>
      </c>
      <c r="B1158" s="146" t="n">
        <v>0.999085</v>
      </c>
      <c r="C1158" s="179" t="n">
        <v>42579603933</v>
      </c>
      <c r="D1158" s="179" t="n">
        <v>42618603736</v>
      </c>
      <c r="E1158" s="146" t="n">
        <v>0.99986</v>
      </c>
      <c r="F1158" s="179" t="n">
        <v>71094389016</v>
      </c>
      <c r="G1158" s="179" t="n">
        <v>71104312721</v>
      </c>
      <c r="H1158" s="179">
        <f>IFERROR(D1158+G1158,D1158)</f>
        <v/>
      </c>
      <c r="I1158" s="184">
        <f>IFERROR(D1158/H1158,"")</f>
        <v/>
      </c>
      <c r="J1158" s="179" t="n">
        <v>8523720747</v>
      </c>
      <c r="K1158" s="179" t="n">
        <v>17047441494</v>
      </c>
      <c r="L1158" s="179" t="n">
        <v>25571162242</v>
      </c>
    </row>
    <row r="1159" ht="15" customHeight="1" s="95">
      <c r="A1159" s="143" t="n">
        <v>44988</v>
      </c>
      <c r="B1159" s="146" t="n">
        <v>0.999628</v>
      </c>
      <c r="C1159" s="179" t="n">
        <v>43133653728</v>
      </c>
      <c r="D1159" s="179" t="n">
        <v>43149709484</v>
      </c>
      <c r="E1159" s="146" t="n">
        <v>1.000016</v>
      </c>
      <c r="F1159" s="179" t="n">
        <v>71089143266</v>
      </c>
      <c r="G1159" s="179" t="n">
        <v>71088030164</v>
      </c>
      <c r="H1159" s="179">
        <f>IFERROR(D1159+G1159,D1159)</f>
        <v/>
      </c>
      <c r="I1159" s="184">
        <f>IFERROR(D1159/H1159,"")</f>
        <v/>
      </c>
      <c r="J1159" s="179" t="n">
        <v>8629941897</v>
      </c>
      <c r="K1159" s="179" t="n">
        <v>17259883794</v>
      </c>
      <c r="L1159" s="179" t="n">
        <v>25889825690</v>
      </c>
    </row>
    <row r="1160" ht="15" customHeight="1" s="95">
      <c r="A1160" s="143" t="n">
        <v>44989</v>
      </c>
      <c r="B1160" s="146" t="n">
        <v>1.000615</v>
      </c>
      <c r="C1160" s="179" t="n">
        <v>43575363881</v>
      </c>
      <c r="D1160" s="179" t="n">
        <v>43548586196</v>
      </c>
      <c r="E1160" s="146" t="n">
        <v>1.000749</v>
      </c>
      <c r="F1160" s="179" t="n">
        <v>71194848065</v>
      </c>
      <c r="G1160" s="179" t="n">
        <v>71141555873</v>
      </c>
      <c r="H1160" s="179">
        <f>IFERROR(D1160+G1160,D1160)</f>
        <v/>
      </c>
      <c r="I1160" s="184">
        <f>IFERROR(D1160/H1160,"")</f>
        <v/>
      </c>
      <c r="J1160" s="179" t="n">
        <v>8709717239</v>
      </c>
      <c r="K1160" s="179" t="n">
        <v>17419434478</v>
      </c>
      <c r="L1160" s="179" t="n">
        <v>26129151718</v>
      </c>
    </row>
    <row r="1161" ht="15" customHeight="1" s="95">
      <c r="A1161" s="143" t="n">
        <v>44990</v>
      </c>
      <c r="B1161" s="146" t="n">
        <v>1.001286</v>
      </c>
      <c r="C1161" s="179" t="n">
        <v>43887802725</v>
      </c>
      <c r="D1161" s="179" t="n">
        <v>43831422111</v>
      </c>
      <c r="E1161" s="146" t="n">
        <v>1.001415</v>
      </c>
      <c r="F1161" s="179" t="n">
        <v>71520391290</v>
      </c>
      <c r="G1161" s="179" t="n">
        <v>71419297497</v>
      </c>
      <c r="H1161" s="179">
        <f>IFERROR(D1161+G1161,D1161)</f>
        <v/>
      </c>
      <c r="I1161" s="184">
        <f>IFERROR(D1161/H1161,"")</f>
        <v/>
      </c>
      <c r="J1161" s="179" t="n">
        <v>8766284422</v>
      </c>
      <c r="K1161" s="179" t="n">
        <v>17532568844</v>
      </c>
      <c r="L1161" s="179" t="n">
        <v>26298853267</v>
      </c>
    </row>
    <row r="1162" ht="15" customHeight="1" s="95">
      <c r="A1162" s="143" t="n">
        <v>44991</v>
      </c>
      <c r="B1162" s="146" t="n">
        <v>1.000803</v>
      </c>
      <c r="C1162" s="179" t="n">
        <v>44026193397</v>
      </c>
      <c r="D1162" s="179" t="n">
        <v>43990863523</v>
      </c>
      <c r="E1162" s="146" t="n">
        <v>1.000188</v>
      </c>
      <c r="F1162" s="179" t="n">
        <v>71463081677</v>
      </c>
      <c r="G1162" s="179" t="n">
        <v>71449628706</v>
      </c>
      <c r="H1162" s="179">
        <f>IFERROR(D1162+G1162,D1162)</f>
        <v/>
      </c>
      <c r="I1162" s="184">
        <f>IFERROR(D1162/H1162,"")</f>
        <v/>
      </c>
      <c r="J1162" s="179" t="n">
        <v>8798172705</v>
      </c>
      <c r="K1162" s="179" t="n">
        <v>17596345409</v>
      </c>
      <c r="L1162" s="179" t="n">
        <v>26394518114</v>
      </c>
    </row>
    <row r="1163" ht="15" customHeight="1" s="95">
      <c r="A1163" s="143" t="n">
        <v>44992</v>
      </c>
      <c r="B1163" s="146" t="n">
        <v>1.000418</v>
      </c>
      <c r="C1163" s="179" t="n">
        <v>43738748396</v>
      </c>
      <c r="D1163" s="179" t="n">
        <v>43720491779</v>
      </c>
      <c r="E1163" s="146" t="n">
        <v>1.000361</v>
      </c>
      <c r="F1163" s="179" t="n">
        <v>71606102630</v>
      </c>
      <c r="G1163" s="179" t="n">
        <v>71580244458</v>
      </c>
      <c r="H1163" s="179">
        <f>IFERROR(D1163+G1163,D1163)</f>
        <v/>
      </c>
      <c r="I1163" s="184">
        <f>IFERROR(D1163/H1163,"")</f>
        <v/>
      </c>
      <c r="J1163" s="179" t="n">
        <v>8744098356</v>
      </c>
      <c r="K1163" s="179" t="n">
        <v>17488196712</v>
      </c>
      <c r="L1163" s="179" t="n">
        <v>26232295067</v>
      </c>
    </row>
    <row r="1164" ht="15" customHeight="1" s="95">
      <c r="A1164" s="143" t="n">
        <v>44993</v>
      </c>
      <c r="B1164" s="146" t="n">
        <v>1.000626</v>
      </c>
      <c r="C1164" s="179" t="n">
        <v>43561666187</v>
      </c>
      <c r="D1164" s="179" t="n">
        <v>43534399070</v>
      </c>
      <c r="E1164" s="146" t="n">
        <v>1.00085</v>
      </c>
      <c r="F1164" s="179" t="n">
        <v>71688065511</v>
      </c>
      <c r="G1164" s="179" t="n">
        <v>71627217100</v>
      </c>
      <c r="H1164" s="179">
        <f>IFERROR(D1164+G1164,D1164)</f>
        <v/>
      </c>
      <c r="I1164" s="184">
        <f>IFERROR(D1164/H1164,"")</f>
        <v/>
      </c>
      <c r="J1164" s="179" t="n">
        <v>8706879814</v>
      </c>
      <c r="K1164" s="179" t="n">
        <v>17413759628</v>
      </c>
      <c r="L1164" s="179" t="n">
        <v>26120639442</v>
      </c>
    </row>
    <row r="1165" ht="15" customHeight="1" s="95">
      <c r="A1165" s="143" t="n">
        <v>44994</v>
      </c>
      <c r="B1165" s="146" t="n">
        <v>1.000842</v>
      </c>
      <c r="C1165" s="179" t="n">
        <v>43511821607</v>
      </c>
      <c r="D1165" s="179" t="n">
        <v>43475232872</v>
      </c>
      <c r="E1165" s="146" t="n">
        <v>1.000015</v>
      </c>
      <c r="F1165" s="179" t="n">
        <v>71860457290</v>
      </c>
      <c r="G1165" s="179" t="n">
        <v>71859354164</v>
      </c>
      <c r="H1165" s="179">
        <f>IFERROR(D1165+G1165,D1165)</f>
        <v/>
      </c>
      <c r="I1165" s="184">
        <f>IFERROR(D1165/H1165,"")</f>
        <v/>
      </c>
      <c r="J1165" s="179" t="n">
        <v>8695046574</v>
      </c>
      <c r="K1165" s="179" t="n">
        <v>17390093149</v>
      </c>
      <c r="L1165" s="179" t="n">
        <v>26085139723</v>
      </c>
    </row>
    <row r="1166" ht="15" customHeight="1" s="95">
      <c r="A1166" s="143" t="n">
        <v>44995</v>
      </c>
      <c r="B1166" s="146" t="n">
        <v>1.001511</v>
      </c>
      <c r="C1166" s="179" t="n">
        <v>43439310148</v>
      </c>
      <c r="D1166" s="179" t="n">
        <v>43373757332</v>
      </c>
      <c r="E1166" s="146" t="n">
        <v>1.001743</v>
      </c>
      <c r="F1166" s="179" t="n">
        <v>71814779749</v>
      </c>
      <c r="G1166" s="179" t="n">
        <v>71689821749</v>
      </c>
      <c r="H1166" s="179">
        <f>IFERROR(D1166+G1166,D1166)</f>
        <v/>
      </c>
      <c r="I1166" s="184">
        <f>IFERROR(D1166/H1166,"")</f>
        <v/>
      </c>
      <c r="J1166" s="179" t="n">
        <v>8674751466</v>
      </c>
      <c r="K1166" s="179" t="n">
        <v>17349502933</v>
      </c>
      <c r="L1166" s="179" t="n">
        <v>26024254399</v>
      </c>
    </row>
    <row r="1167" ht="15" customHeight="1" s="95">
      <c r="A1167" s="143" t="n">
        <v>44996</v>
      </c>
      <c r="B1167" s="146" t="n">
        <v>0.993484</v>
      </c>
      <c r="C1167" s="179" t="n">
        <v>42196527257</v>
      </c>
      <c r="D1167" s="179" t="n">
        <v>42473296895</v>
      </c>
      <c r="E1167" s="146" t="n">
        <v>1.00097</v>
      </c>
      <c r="F1167" s="179" t="n">
        <v>72084236470</v>
      </c>
      <c r="G1167" s="179" t="n">
        <v>72014379333</v>
      </c>
      <c r="H1167" s="179">
        <f>IFERROR(D1167+G1167,D1167)</f>
        <v/>
      </c>
      <c r="I1167" s="184">
        <f>IFERROR(D1167/H1167,"")</f>
        <v/>
      </c>
      <c r="J1167" s="179" t="n">
        <v>8494659379</v>
      </c>
      <c r="K1167" s="179" t="n">
        <v>16989318758</v>
      </c>
      <c r="L1167" s="179" t="n">
        <v>25483978137</v>
      </c>
    </row>
    <row r="1168" ht="15" customHeight="1" s="95">
      <c r="A1168" s="143" t="n">
        <v>44997</v>
      </c>
      <c r="B1168" s="146" t="n">
        <v>0.965578</v>
      </c>
      <c r="C1168" s="179" t="n">
        <v>39414641347</v>
      </c>
      <c r="D1168" s="179" t="n">
        <v>40819728445</v>
      </c>
      <c r="E1168" s="146" t="n">
        <v>1.002925</v>
      </c>
      <c r="F1168" s="179" t="n">
        <v>72265947202</v>
      </c>
      <c r="G1168" s="179" t="n">
        <v>72055183611</v>
      </c>
      <c r="H1168" s="179">
        <f>IFERROR(D1168+G1168,D1168)</f>
        <v/>
      </c>
      <c r="I1168" s="184">
        <f>IFERROR(D1168/H1168,"")</f>
        <v/>
      </c>
      <c r="J1168" s="179" t="n">
        <v>8163945689</v>
      </c>
      <c r="K1168" s="179" t="n">
        <v>16327891378</v>
      </c>
      <c r="L1168" s="179" t="n">
        <v>24491837067</v>
      </c>
    </row>
    <row r="1169" ht="15" customHeight="1" s="95">
      <c r="A1169" s="143" t="n">
        <v>44998</v>
      </c>
      <c r="B1169" s="146" t="n">
        <v>0.993657</v>
      </c>
      <c r="C1169" s="179" t="n">
        <v>40295919420</v>
      </c>
      <c r="D1169" s="179" t="n">
        <v>40553142659</v>
      </c>
      <c r="E1169" s="146" t="n">
        <v>1.007303</v>
      </c>
      <c r="F1169" s="179" t="n">
        <v>72386888341</v>
      </c>
      <c r="G1169" s="179" t="n">
        <v>71862114592</v>
      </c>
      <c r="H1169" s="179">
        <f>IFERROR(D1169+G1169,D1169)</f>
        <v/>
      </c>
      <c r="I1169" s="184">
        <f>IFERROR(D1169/H1169,"")</f>
        <v/>
      </c>
      <c r="J1169" s="179" t="n">
        <v>8110628532</v>
      </c>
      <c r="K1169" s="179" t="n">
        <v>16221257064</v>
      </c>
      <c r="L1169" s="179" t="n">
        <v>24331885595</v>
      </c>
    </row>
    <row r="1170" ht="15" customHeight="1" s="95">
      <c r="A1170" s="143" t="n">
        <v>44999</v>
      </c>
      <c r="B1170" s="146" t="n">
        <v>0.99942</v>
      </c>
      <c r="C1170" s="179" t="n">
        <v>39514923547</v>
      </c>
      <c r="D1170" s="179" t="n">
        <v>39537871096</v>
      </c>
      <c r="E1170" s="146" t="n">
        <v>1.00366</v>
      </c>
      <c r="F1170" s="179" t="n">
        <v>73224130980</v>
      </c>
      <c r="G1170" s="179" t="n">
        <v>72957131479</v>
      </c>
      <c r="H1170" s="179">
        <f>IFERROR(D1170+G1170,D1170)</f>
        <v/>
      </c>
      <c r="I1170" s="184">
        <f>IFERROR(D1170/H1170,"")</f>
        <v/>
      </c>
      <c r="J1170" s="179" t="n">
        <v>7907574219</v>
      </c>
      <c r="K1170" s="179" t="n">
        <v>15815148438</v>
      </c>
      <c r="L1170" s="179" t="n">
        <v>23722722658</v>
      </c>
    </row>
    <row r="1171" ht="15" customHeight="1" s="95">
      <c r="A1171" s="143" t="n">
        <v>45000</v>
      </c>
      <c r="B1171" s="146" t="n">
        <v>1.00081</v>
      </c>
      <c r="C1171" s="179" t="n">
        <v>38426485689</v>
      </c>
      <c r="D1171" s="179" t="n">
        <v>38395391754</v>
      </c>
      <c r="E1171" s="146" t="n">
        <v>1.003882</v>
      </c>
      <c r="F1171" s="179" t="n">
        <v>73662783701</v>
      </c>
      <c r="G1171" s="179" t="n">
        <v>73377947768</v>
      </c>
      <c r="H1171" s="179">
        <f>IFERROR(D1171+G1171,D1171)</f>
        <v/>
      </c>
      <c r="I1171" s="184">
        <f>IFERROR(D1171/H1171,"")</f>
        <v/>
      </c>
      <c r="J1171" s="179" t="n">
        <v>7679078351</v>
      </c>
      <c r="K1171" s="179" t="n">
        <v>15358156702</v>
      </c>
      <c r="L1171" s="179" t="n">
        <v>23037235052</v>
      </c>
    </row>
    <row r="1172" ht="15" customHeight="1" s="95">
      <c r="A1172" s="143" t="n">
        <v>45001</v>
      </c>
      <c r="B1172" s="146" t="n">
        <v>1.003098</v>
      </c>
      <c r="C1172" s="179" t="n">
        <v>37638741570</v>
      </c>
      <c r="D1172" s="179" t="n">
        <v>37522480433</v>
      </c>
      <c r="E1172" s="146" t="n">
        <v>1.006584</v>
      </c>
      <c r="F1172" s="179" t="n">
        <v>74750701091</v>
      </c>
      <c r="G1172" s="179" t="n">
        <v>74261772649</v>
      </c>
      <c r="H1172" s="179">
        <f>IFERROR(D1172+G1172,D1172)</f>
        <v/>
      </c>
      <c r="I1172" s="184">
        <f>IFERROR(D1172/H1172,"")</f>
        <v/>
      </c>
      <c r="J1172" s="179" t="n">
        <v>7504496087</v>
      </c>
      <c r="K1172" s="179" t="n">
        <v>15008992173</v>
      </c>
      <c r="L1172" s="179" t="n">
        <v>22513488260</v>
      </c>
    </row>
    <row r="1173" ht="15" customHeight="1" s="95">
      <c r="A1173" s="143" t="n">
        <v>45002</v>
      </c>
      <c r="B1173" s="146" t="n">
        <v>1.004026</v>
      </c>
      <c r="C1173" s="179" t="n">
        <v>37066939414</v>
      </c>
      <c r="D1173" s="179" t="n">
        <v>36918318873</v>
      </c>
      <c r="E1173" s="146" t="n">
        <v>1.006988</v>
      </c>
      <c r="F1173" s="179" t="n">
        <v>74845805871</v>
      </c>
      <c r="G1173" s="179" t="n">
        <v>74326402068</v>
      </c>
      <c r="H1173" s="179">
        <f>IFERROR(D1173+G1173,D1173)</f>
        <v/>
      </c>
      <c r="I1173" s="184">
        <f>IFERROR(D1173/H1173,"")</f>
        <v/>
      </c>
      <c r="J1173" s="179" t="n">
        <v>7383663775</v>
      </c>
      <c r="K1173" s="179" t="n">
        <v>14767327549</v>
      </c>
      <c r="L1173" s="179" t="n">
        <v>22150991324</v>
      </c>
    </row>
    <row r="1174" ht="15" customHeight="1" s="95">
      <c r="A1174" s="143" t="n">
        <v>45003</v>
      </c>
      <c r="B1174" s="146" t="n">
        <v>1.002458</v>
      </c>
      <c r="C1174" s="179" t="n">
        <v>36353374994</v>
      </c>
      <c r="D1174" s="179" t="n">
        <v>36264234567</v>
      </c>
      <c r="E1174" s="146" t="n">
        <v>1</v>
      </c>
      <c r="F1174" s="179" t="n">
        <v>76181018246</v>
      </c>
      <c r="G1174" s="179" t="n">
        <v>76181018247</v>
      </c>
      <c r="H1174" s="179">
        <f>IFERROR(D1174+G1174,D1174)</f>
        <v/>
      </c>
      <c r="I1174" s="184">
        <f>IFERROR(D1174/H1174,"")</f>
        <v/>
      </c>
      <c r="J1174" s="179" t="n">
        <v>7252846913</v>
      </c>
      <c r="K1174" s="179" t="n">
        <v>14505693827</v>
      </c>
      <c r="L1174" s="179" t="n">
        <v>21758540740</v>
      </c>
    </row>
    <row r="1175" ht="15" customHeight="1" s="95">
      <c r="A1175" s="143" t="n">
        <v>45004</v>
      </c>
      <c r="B1175" s="146" t="n">
        <v>1.004135</v>
      </c>
      <c r="C1175" s="179" t="n">
        <v>36372068012</v>
      </c>
      <c r="D1175" s="179" t="n">
        <v>36222282132</v>
      </c>
      <c r="E1175" s="146" t="n">
        <v>1</v>
      </c>
      <c r="F1175" s="179" t="n">
        <v>76220833431</v>
      </c>
      <c r="G1175" s="179" t="n">
        <v>76220833431</v>
      </c>
      <c r="H1175" s="179">
        <f>IFERROR(D1175+G1175,D1175)</f>
        <v/>
      </c>
      <c r="I1175" s="184">
        <f>IFERROR(D1175/H1175,"")</f>
        <v/>
      </c>
      <c r="J1175" s="179" t="n">
        <v>7244456426</v>
      </c>
      <c r="K1175" s="179" t="n">
        <v>14488912853</v>
      </c>
      <c r="L1175" s="179" t="n">
        <v>21733369279</v>
      </c>
    </row>
    <row r="1176" ht="15" customHeight="1" s="95">
      <c r="A1176" s="143" t="n">
        <v>45005</v>
      </c>
      <c r="B1176" s="146" t="n">
        <v>1.001235</v>
      </c>
      <c r="C1176" s="179" t="n">
        <v>36290783741</v>
      </c>
      <c r="D1176" s="179" t="n">
        <v>36246009770</v>
      </c>
      <c r="E1176" s="146" t="n">
        <v>1.00561</v>
      </c>
      <c r="F1176" s="179" t="n">
        <v>76784764102</v>
      </c>
      <c r="G1176" s="179" t="n">
        <v>76356369787</v>
      </c>
      <c r="H1176" s="179">
        <f>IFERROR(D1176+G1176,D1176)</f>
        <v/>
      </c>
      <c r="I1176" s="184">
        <f>IFERROR(D1176/H1176,"")</f>
        <v/>
      </c>
      <c r="J1176" s="179" t="n">
        <v>7249201954</v>
      </c>
      <c r="K1176" s="179" t="n">
        <v>14498403908</v>
      </c>
      <c r="L1176" s="179" t="n">
        <v>21747605862</v>
      </c>
    </row>
    <row r="1177" ht="15" customHeight="1" s="95">
      <c r="A1177" s="143" t="n">
        <v>45006</v>
      </c>
      <c r="B1177" s="146" t="n">
        <v>1.005927</v>
      </c>
      <c r="C1177" s="179" t="n">
        <v>35577520978</v>
      </c>
      <c r="D1177" s="179" t="n">
        <v>35367902339</v>
      </c>
      <c r="E1177" s="146" t="n">
        <v>1.009594</v>
      </c>
      <c r="F1177" s="179" t="n">
        <v>76852694601</v>
      </c>
      <c r="G1177" s="179" t="n">
        <v>76122372584</v>
      </c>
      <c r="H1177" s="179">
        <f>IFERROR(D1177+G1177,D1177)</f>
        <v/>
      </c>
      <c r="I1177" s="184">
        <f>IFERROR(D1177/H1177,"")</f>
        <v/>
      </c>
      <c r="J1177" s="179" t="n">
        <v>7073580468</v>
      </c>
      <c r="K1177" s="179" t="n">
        <v>14147160936</v>
      </c>
      <c r="L1177" s="179" t="n">
        <v>21220741403</v>
      </c>
    </row>
    <row r="1178" ht="15" customHeight="1" s="95">
      <c r="A1178" s="143" t="n">
        <v>45007</v>
      </c>
      <c r="B1178" s="146" t="n">
        <v>1.003745</v>
      </c>
      <c r="C1178" s="179" t="n">
        <v>35385737113</v>
      </c>
      <c r="D1178" s="179" t="n">
        <v>35253722905</v>
      </c>
      <c r="E1178" s="146" t="n">
        <v>1.006932</v>
      </c>
      <c r="F1178" s="179" t="n">
        <v>77348485075</v>
      </c>
      <c r="G1178" s="179" t="n">
        <v>76816018747</v>
      </c>
      <c r="H1178" s="179">
        <f>IFERROR(D1178+G1178,D1178)</f>
        <v/>
      </c>
      <c r="I1178" s="184">
        <f>IFERROR(D1178/H1178,"")</f>
        <v/>
      </c>
      <c r="J1178" s="179" t="n">
        <v>7050744581</v>
      </c>
      <c r="K1178" s="179" t="n">
        <v>14101489162</v>
      </c>
      <c r="L1178" s="179" t="n">
        <v>21152233743</v>
      </c>
    </row>
    <row r="1179" ht="15" customHeight="1" s="95">
      <c r="A1179" s="143" t="n">
        <v>45008</v>
      </c>
      <c r="B1179" s="146" t="n">
        <v>1.005055</v>
      </c>
      <c r="C1179" s="179" t="n">
        <v>34883051890</v>
      </c>
      <c r="D1179" s="179" t="n">
        <v>34707591070</v>
      </c>
      <c r="E1179" s="146" t="n">
        <v>1.007807</v>
      </c>
      <c r="F1179" s="179" t="n">
        <v>77988820276</v>
      </c>
      <c r="G1179" s="179" t="n">
        <v>77384695530</v>
      </c>
      <c r="H1179" s="179">
        <f>IFERROR(D1179+G1179,D1179)</f>
        <v/>
      </c>
      <c r="I1179" s="184">
        <f>IFERROR(D1179/H1179,"")</f>
        <v/>
      </c>
      <c r="J1179" s="179" t="n">
        <v>6941518214</v>
      </c>
      <c r="K1179" s="179" t="n">
        <v>13883036428</v>
      </c>
      <c r="L1179" s="179" t="n">
        <v>20824554642</v>
      </c>
    </row>
    <row r="1180" ht="15" customHeight="1" s="95">
      <c r="A1180" s="143" t="n">
        <v>45009</v>
      </c>
      <c r="B1180" s="146" t="n">
        <v>1.003115</v>
      </c>
      <c r="C1180" s="179" t="n">
        <v>34528718222</v>
      </c>
      <c r="D1180" s="179" t="n">
        <v>34421491554</v>
      </c>
      <c r="E1180" s="146" t="n">
        <v>1.004765</v>
      </c>
      <c r="F1180" s="179" t="n">
        <v>78372882681</v>
      </c>
      <c r="G1180" s="179" t="n">
        <v>78001174819</v>
      </c>
      <c r="H1180" s="179">
        <f>IFERROR(D1180+G1180,D1180)</f>
        <v/>
      </c>
      <c r="I1180" s="184">
        <f>IFERROR(D1180/H1180,"")</f>
        <v/>
      </c>
      <c r="J1180" s="179" t="n">
        <v>6884298311</v>
      </c>
      <c r="K1180" s="179" t="n">
        <v>13768596622</v>
      </c>
      <c r="L1180" s="179" t="n">
        <v>20652894932</v>
      </c>
    </row>
    <row r="1181" ht="15" customHeight="1" s="95">
      <c r="A1181" s="143" t="n">
        <v>45010</v>
      </c>
      <c r="B1181" s="146" t="n">
        <v>1.00025</v>
      </c>
      <c r="C1181" s="179" t="n">
        <v>34100217344</v>
      </c>
      <c r="D1181" s="179" t="n">
        <v>34091680248</v>
      </c>
      <c r="E1181" s="146" t="n">
        <v>1.001919</v>
      </c>
      <c r="F1181" s="179" t="n">
        <v>79581658858</v>
      </c>
      <c r="G1181" s="179" t="n">
        <v>79429227175</v>
      </c>
      <c r="H1181" s="179">
        <f>IFERROR(D1181+G1181,D1181)</f>
        <v/>
      </c>
      <c r="I1181" s="184">
        <f>IFERROR(D1181/H1181,"")</f>
        <v/>
      </c>
      <c r="J1181" s="179" t="n">
        <v>6818336050</v>
      </c>
      <c r="K1181" s="179" t="n">
        <v>13636672099</v>
      </c>
      <c r="L1181" s="179" t="n">
        <v>20455008149</v>
      </c>
    </row>
    <row r="1182" ht="15" customHeight="1" s="95">
      <c r="A1182" s="143" t="n">
        <v>45011</v>
      </c>
      <c r="B1182" s="146" t="n">
        <v>1.00653</v>
      </c>
      <c r="C1182" s="179" t="n">
        <v>34136834050</v>
      </c>
      <c r="D1182" s="179" t="n">
        <v>33915364508</v>
      </c>
      <c r="E1182" s="146" t="n">
        <v>1.007604</v>
      </c>
      <c r="F1182" s="179" t="n">
        <v>79623139461</v>
      </c>
      <c r="G1182" s="179" t="n">
        <v>79022291663</v>
      </c>
      <c r="H1182" s="179">
        <f>IFERROR(D1182+G1182,D1182)</f>
        <v/>
      </c>
      <c r="I1182" s="184">
        <f>IFERROR(D1182/H1182,"")</f>
        <v/>
      </c>
      <c r="J1182" s="179" t="n">
        <v>6783072902</v>
      </c>
      <c r="K1182" s="179" t="n">
        <v>13566145803</v>
      </c>
      <c r="L1182" s="179" t="n">
        <v>20349218705</v>
      </c>
    </row>
    <row r="1183" ht="15" customHeight="1" s="95">
      <c r="A1183" s="143" t="n">
        <v>45012</v>
      </c>
      <c r="B1183" s="146" t="n">
        <v>0.999799</v>
      </c>
      <c r="C1183" s="179" t="n">
        <v>33902194382</v>
      </c>
      <c r="D1183" s="179" t="n">
        <v>33909020759</v>
      </c>
      <c r="E1183" s="146" t="n">
        <v>1.001103</v>
      </c>
      <c r="F1183" s="179" t="n">
        <v>79174842323</v>
      </c>
      <c r="G1183" s="179" t="n">
        <v>79087643670</v>
      </c>
      <c r="H1183" s="179">
        <f>IFERROR(D1183+G1183,D1183)</f>
        <v/>
      </c>
      <c r="I1183" s="184">
        <f>IFERROR(D1183/H1183,"")</f>
        <v/>
      </c>
      <c r="J1183" s="179" t="n">
        <v>6781804152</v>
      </c>
      <c r="K1183" s="179" t="n">
        <v>13563608304</v>
      </c>
      <c r="L1183" s="179" t="n">
        <v>20345412455</v>
      </c>
    </row>
    <row r="1184" ht="15" customHeight="1" s="95">
      <c r="A1184" s="143" t="n">
        <v>45013</v>
      </c>
      <c r="B1184" s="146" t="n">
        <v>1.001564</v>
      </c>
      <c r="C1184" s="179" t="n">
        <v>33473919599</v>
      </c>
      <c r="D1184" s="179" t="n">
        <v>33421640810</v>
      </c>
      <c r="E1184" s="146" t="n">
        <v>1.002017</v>
      </c>
      <c r="F1184" s="179" t="n">
        <v>79555652816</v>
      </c>
      <c r="G1184" s="179" t="n">
        <v>79395492707</v>
      </c>
      <c r="H1184" s="179">
        <f>IFERROR(D1184+G1184,D1184)</f>
        <v/>
      </c>
      <c r="I1184" s="184">
        <f>IFERROR(D1184/H1184,"")</f>
        <v/>
      </c>
      <c r="J1184" s="179" t="n">
        <v>6684328162</v>
      </c>
      <c r="K1184" s="179" t="n">
        <v>13368656324</v>
      </c>
      <c r="L1184" s="179" t="n">
        <v>20052984486</v>
      </c>
    </row>
    <row r="1185" ht="15" customHeight="1" s="95">
      <c r="A1185" s="143" t="n">
        <v>45014</v>
      </c>
      <c r="B1185" s="146" t="n">
        <v>1.001429</v>
      </c>
      <c r="C1185" s="179" t="n">
        <v>33357305472</v>
      </c>
      <c r="D1185" s="179" t="n">
        <v>33309695490</v>
      </c>
      <c r="E1185" s="146" t="n">
        <v>1.001061</v>
      </c>
      <c r="F1185" s="179" t="n">
        <v>79597410585</v>
      </c>
      <c r="G1185" s="179" t="n">
        <v>79513018564</v>
      </c>
      <c r="H1185" s="179">
        <f>IFERROR(D1185+G1185,D1185)</f>
        <v/>
      </c>
      <c r="I1185" s="184">
        <f>IFERROR(D1185/H1185,"")</f>
        <v/>
      </c>
      <c r="J1185" s="179" t="n">
        <v>6661939098</v>
      </c>
      <c r="K1185" s="179" t="n">
        <v>13323878196</v>
      </c>
      <c r="L1185" s="179" t="n">
        <v>19985817294</v>
      </c>
    </row>
    <row r="1186" ht="15" customHeight="1" s="95">
      <c r="A1186" s="143" t="n">
        <v>45015</v>
      </c>
      <c r="B1186" s="146" t="n">
        <v>0.999799</v>
      </c>
      <c r="C1186" s="179" t="n">
        <v>33299622911</v>
      </c>
      <c r="D1186" s="179" t="n">
        <v>33306326590</v>
      </c>
      <c r="E1186" s="146" t="n">
        <v>1.000677</v>
      </c>
      <c r="F1186" s="179" t="n">
        <v>79636370260</v>
      </c>
      <c r="G1186" s="179" t="n">
        <v>79582526888</v>
      </c>
      <c r="H1186" s="179">
        <f>IFERROR(D1186+G1186,D1186)</f>
        <v/>
      </c>
      <c r="I1186" s="184">
        <f>IFERROR(D1186/H1186,"")</f>
        <v/>
      </c>
      <c r="J1186" s="179" t="n">
        <v>6661265318</v>
      </c>
      <c r="K1186" s="179" t="n">
        <v>13322530636</v>
      </c>
      <c r="L1186" s="179" t="n">
        <v>19983795954</v>
      </c>
    </row>
    <row r="1187" ht="15" customHeight="1" s="95">
      <c r="A1187" s="143" t="n">
        <v>45016</v>
      </c>
      <c r="B1187" s="146" t="n">
        <v>1.000354</v>
      </c>
      <c r="C1187" s="179" t="n">
        <v>32875147350</v>
      </c>
      <c r="D1187" s="179" t="n">
        <v>32863513897</v>
      </c>
      <c r="E1187" s="146" t="n">
        <v>1.000674</v>
      </c>
      <c r="F1187" s="179" t="n">
        <v>79708195096</v>
      </c>
      <c r="G1187" s="179" t="n">
        <v>79654535855</v>
      </c>
      <c r="H1187" s="179">
        <f>IFERROR(D1187+G1187,D1187)</f>
        <v/>
      </c>
      <c r="I1187" s="184">
        <f>IFERROR(D1187/H1187,"")</f>
        <v/>
      </c>
      <c r="J1187" s="179" t="n">
        <v>6572702779</v>
      </c>
      <c r="K1187" s="179" t="n">
        <v>13145405559</v>
      </c>
      <c r="L1187" s="179" t="n">
        <v>19718108338</v>
      </c>
    </row>
    <row r="1188" ht="15" customHeight="1" s="95">
      <c r="A1188" s="143" t="n">
        <v>45017</v>
      </c>
      <c r="B1188" s="146" t="n">
        <v>1.000231</v>
      </c>
      <c r="C1188" s="179" t="n">
        <v>32545003021</v>
      </c>
      <c r="D1188" s="179" t="n">
        <v>32537497313</v>
      </c>
      <c r="E1188" s="146" t="n">
        <v>1.00089</v>
      </c>
      <c r="F1188" s="179" t="n">
        <v>79808588133</v>
      </c>
      <c r="G1188" s="179" t="n">
        <v>79737627368</v>
      </c>
      <c r="H1188" s="179">
        <f>IFERROR(D1188+G1188,D1188)</f>
        <v/>
      </c>
      <c r="I1188" s="184">
        <f>IFERROR(D1188/H1188,"")</f>
        <v/>
      </c>
      <c r="J1188" s="179" t="n">
        <v>6507499463</v>
      </c>
      <c r="K1188" s="179" t="n">
        <v>13014998925</v>
      </c>
      <c r="L1188" s="179" t="n">
        <v>19522498388</v>
      </c>
    </row>
    <row r="1189" ht="15" customHeight="1" s="95">
      <c r="A1189" s="143" t="n">
        <v>45018</v>
      </c>
      <c r="B1189" s="146" t="n">
        <v>1.000488</v>
      </c>
      <c r="C1189" s="179" t="n">
        <v>32545586598</v>
      </c>
      <c r="D1189" s="179" t="n">
        <v>32529717405</v>
      </c>
      <c r="E1189" s="146" t="n">
        <v>1.001187</v>
      </c>
      <c r="F1189" s="179" t="n">
        <v>79772056639</v>
      </c>
      <c r="G1189" s="179" t="n">
        <v>79677452543</v>
      </c>
      <c r="H1189" s="179">
        <f>IFERROR(D1189+G1189,D1189)</f>
        <v/>
      </c>
      <c r="I1189" s="184">
        <f>IFERROR(D1189/H1189,"")</f>
        <v/>
      </c>
      <c r="J1189" s="179" t="n">
        <v>6505943481</v>
      </c>
      <c r="K1189" s="179" t="n">
        <v>13011886962</v>
      </c>
      <c r="L1189" s="179" t="n">
        <v>19517830443</v>
      </c>
    </row>
    <row r="1190" ht="15" customHeight="1" s="95">
      <c r="A1190" s="143" t="n">
        <v>45019</v>
      </c>
      <c r="B1190" s="146" t="n">
        <v>1.001369</v>
      </c>
      <c r="C1190" s="179" t="n">
        <v>32564611321</v>
      </c>
      <c r="D1190" s="179" t="n">
        <v>32520080222</v>
      </c>
      <c r="E1190" s="146" t="n">
        <v>1.002022</v>
      </c>
      <c r="F1190" s="179" t="n">
        <v>79792660516</v>
      </c>
      <c r="G1190" s="179" t="n">
        <v>79631648511</v>
      </c>
      <c r="H1190" s="179">
        <f>IFERROR(D1190+G1190,D1190)</f>
        <v/>
      </c>
      <c r="I1190" s="184">
        <f>IFERROR(D1190/H1190,"")</f>
        <v/>
      </c>
      <c r="J1190" s="179" t="n">
        <v>6504016044</v>
      </c>
      <c r="K1190" s="179" t="n">
        <v>13008032089</v>
      </c>
      <c r="L1190" s="179" t="n">
        <v>19512048133</v>
      </c>
    </row>
    <row r="1191" ht="15" customHeight="1" s="95">
      <c r="A1191" s="143" t="n">
        <v>45020</v>
      </c>
      <c r="B1191" s="146" t="n">
        <v>0.999286</v>
      </c>
      <c r="C1191" s="179" t="n">
        <v>32678368169</v>
      </c>
      <c r="D1191" s="179" t="n">
        <v>32701719229</v>
      </c>
      <c r="E1191" s="146" t="n">
        <v>1.000289</v>
      </c>
      <c r="F1191" s="179" t="n">
        <v>79874799190</v>
      </c>
      <c r="G1191" s="179" t="n">
        <v>79851718226</v>
      </c>
      <c r="H1191" s="179">
        <f>IFERROR(D1191+G1191,D1191)</f>
        <v/>
      </c>
      <c r="I1191" s="184">
        <f>IFERROR(D1191/H1191,"")</f>
        <v/>
      </c>
      <c r="J1191" s="179" t="n">
        <v>6540343846</v>
      </c>
      <c r="K1191" s="179" t="n">
        <v>13080687692</v>
      </c>
      <c r="L1191" s="179" t="n">
        <v>19621031537</v>
      </c>
    </row>
    <row r="1192" ht="15" customHeight="1" s="95">
      <c r="A1192" s="143" t="n">
        <v>45021</v>
      </c>
      <c r="B1192" s="146" t="n">
        <v>1.000599</v>
      </c>
      <c r="C1192" s="179" t="n">
        <v>32706455680</v>
      </c>
      <c r="D1192" s="179" t="n">
        <v>32686865304</v>
      </c>
      <c r="E1192" s="146" t="n">
        <v>1.001189</v>
      </c>
      <c r="F1192" s="179" t="n">
        <v>80081067435</v>
      </c>
      <c r="G1192" s="179" t="n">
        <v>79985960427</v>
      </c>
      <c r="H1192" s="179">
        <f>IFERROR(D1192+G1192,D1192)</f>
        <v/>
      </c>
      <c r="I1192" s="184">
        <f>IFERROR(D1192/H1192,"")</f>
        <v/>
      </c>
      <c r="J1192" s="179" t="n">
        <v>6537373061</v>
      </c>
      <c r="K1192" s="179" t="n">
        <v>13074746122</v>
      </c>
      <c r="L1192" s="179" t="n">
        <v>19612119182</v>
      </c>
    </row>
    <row r="1193" ht="15" customHeight="1" s="95">
      <c r="A1193" s="143" t="n">
        <v>45022</v>
      </c>
      <c r="B1193" s="146" t="n">
        <v>0.999825</v>
      </c>
      <c r="C1193" s="179" t="n">
        <v>32640958002</v>
      </c>
      <c r="D1193" s="179" t="n">
        <v>32646682626</v>
      </c>
      <c r="E1193" s="146" t="n">
        <v>1.000264</v>
      </c>
      <c r="F1193" s="179" t="n">
        <v>80140266879</v>
      </c>
      <c r="G1193" s="179" t="n">
        <v>80119076833</v>
      </c>
      <c r="H1193" s="179">
        <f>IFERROR(D1193+G1193,D1193)</f>
        <v/>
      </c>
      <c r="I1193" s="184">
        <f>IFERROR(D1193/H1193,"")</f>
        <v/>
      </c>
      <c r="J1193" s="179" t="n">
        <v>6529336525</v>
      </c>
      <c r="K1193" s="179" t="n">
        <v>13058673050</v>
      </c>
      <c r="L1193" s="179" t="n">
        <v>19588009576</v>
      </c>
    </row>
    <row r="1194" ht="15" customHeight="1" s="95">
      <c r="A1194" s="143" t="n">
        <v>45023</v>
      </c>
      <c r="B1194" s="146" t="n">
        <v>1.000118</v>
      </c>
      <c r="C1194" s="179" t="n">
        <v>32758616583</v>
      </c>
      <c r="D1194" s="179" t="n">
        <v>32754740168</v>
      </c>
      <c r="E1194" s="146" t="n">
        <v>1.000621</v>
      </c>
      <c r="F1194" s="179" t="n">
        <v>80188675274</v>
      </c>
      <c r="G1194" s="179" t="n">
        <v>80138874300</v>
      </c>
      <c r="H1194" s="179">
        <f>IFERROR(D1194+G1194,D1194)</f>
        <v/>
      </c>
      <c r="I1194" s="184">
        <f>IFERROR(D1194/H1194,"")</f>
        <v/>
      </c>
      <c r="J1194" s="179" t="n">
        <v>6550948034</v>
      </c>
      <c r="K1194" s="179" t="n">
        <v>13101896067</v>
      </c>
      <c r="L1194" s="179" t="n">
        <v>19652844101</v>
      </c>
    </row>
    <row r="1195" ht="15" customHeight="1" s="95">
      <c r="A1195" s="143" t="n">
        <v>45024</v>
      </c>
      <c r="B1195" s="146" t="n">
        <v>1.000648</v>
      </c>
      <c r="C1195" s="179" t="n">
        <v>32617421143</v>
      </c>
      <c r="D1195" s="179" t="n">
        <v>32596305104</v>
      </c>
      <c r="E1195" s="146" t="n">
        <v>1.001106</v>
      </c>
      <c r="F1195" s="179" t="n">
        <v>80268298419</v>
      </c>
      <c r="G1195" s="179" t="n">
        <v>80179631209</v>
      </c>
      <c r="H1195" s="179">
        <f>IFERROR(D1195+G1195,D1195)</f>
        <v/>
      </c>
      <c r="I1195" s="184">
        <f>IFERROR(D1195/H1195,"")</f>
        <v/>
      </c>
      <c r="J1195" s="179" t="n">
        <v>6519261021</v>
      </c>
      <c r="K1195" s="179" t="n">
        <v>13038522042</v>
      </c>
      <c r="L1195" s="179" t="n">
        <v>19557783062</v>
      </c>
    </row>
    <row r="1196" ht="15" customHeight="1" s="95">
      <c r="A1196" s="143" t="n">
        <v>45025</v>
      </c>
      <c r="B1196" s="146" t="n">
        <v>1.000272</v>
      </c>
      <c r="C1196" s="179" t="n">
        <v>32622414240</v>
      </c>
      <c r="D1196" s="179" t="n">
        <v>32613537810</v>
      </c>
      <c r="E1196" s="146" t="n">
        <v>1.001021</v>
      </c>
      <c r="F1196" s="179" t="n">
        <v>80306857722</v>
      </c>
      <c r="G1196" s="179" t="n">
        <v>80224914816</v>
      </c>
      <c r="H1196" s="179">
        <f>IFERROR(D1196+G1196,D1196)</f>
        <v/>
      </c>
      <c r="I1196" s="184">
        <f>IFERROR(D1196/H1196,"")</f>
        <v/>
      </c>
      <c r="J1196" s="179" t="n">
        <v>6522707562</v>
      </c>
      <c r="K1196" s="179" t="n">
        <v>13045415124</v>
      </c>
      <c r="L1196" s="179" t="n">
        <v>19568122686</v>
      </c>
    </row>
    <row r="1197" ht="15" customHeight="1" s="95">
      <c r="A1197" s="143" t="n">
        <v>45026</v>
      </c>
      <c r="B1197" s="146" t="n">
        <v>1.000365</v>
      </c>
      <c r="C1197" s="179" t="n">
        <v>32618005274</v>
      </c>
      <c r="D1197" s="179" t="n">
        <v>32606106048</v>
      </c>
      <c r="E1197" s="146" t="n">
        <v>1.001359</v>
      </c>
      <c r="F1197" s="179" t="n">
        <v>80310814337</v>
      </c>
      <c r="G1197" s="179" t="n">
        <v>80201843832</v>
      </c>
      <c r="H1197" s="179">
        <f>IFERROR(D1197+G1197,D1197)</f>
        <v/>
      </c>
      <c r="I1197" s="184">
        <f>IFERROR(D1197/H1197,"")</f>
        <v/>
      </c>
      <c r="J1197" s="179" t="n">
        <v>6521221210</v>
      </c>
      <c r="K1197" s="179" t="n">
        <v>13042442419</v>
      </c>
      <c r="L1197" s="179" t="n">
        <v>19563663629</v>
      </c>
    </row>
    <row r="1198" ht="15" customHeight="1" s="95">
      <c r="A1198" s="143" t="n">
        <v>45027</v>
      </c>
      <c r="B1198" s="146" t="n">
        <v>1.000369</v>
      </c>
      <c r="C1198" s="179" t="n">
        <v>32369910064</v>
      </c>
      <c r="D1198" s="179" t="n">
        <v>32357978913</v>
      </c>
      <c r="E1198" s="146" t="n">
        <v>1.001167</v>
      </c>
      <c r="F1198" s="179" t="n">
        <v>80390805147</v>
      </c>
      <c r="G1198" s="179" t="n">
        <v>80297137530</v>
      </c>
      <c r="H1198" s="179">
        <f>IFERROR(D1198+G1198,D1198)</f>
        <v/>
      </c>
      <c r="I1198" s="184">
        <f>IFERROR(D1198/H1198,"")</f>
        <v/>
      </c>
      <c r="J1198" s="179" t="n">
        <v>6471595783</v>
      </c>
      <c r="K1198" s="179" t="n">
        <v>12943191565</v>
      </c>
      <c r="L1198" s="179" t="n">
        <v>19414787348</v>
      </c>
    </row>
    <row r="1199" ht="15" customHeight="1" s="95">
      <c r="A1199" s="143" t="n">
        <v>45028</v>
      </c>
      <c r="B1199" s="146" t="n">
        <v>1.000405</v>
      </c>
      <c r="C1199" s="179" t="n">
        <v>32413088278</v>
      </c>
      <c r="D1199" s="179" t="n">
        <v>32399974875</v>
      </c>
      <c r="E1199" s="146" t="n">
        <v>1.001054</v>
      </c>
      <c r="F1199" s="179" t="n">
        <v>80526255295</v>
      </c>
      <c r="G1199" s="179" t="n">
        <v>80441505776</v>
      </c>
      <c r="H1199" s="179">
        <f>IFERROR(D1199+G1199,D1199)</f>
        <v/>
      </c>
      <c r="I1199" s="184">
        <f>IFERROR(D1199/H1199,"")</f>
        <v/>
      </c>
      <c r="J1199" s="179" t="n">
        <v>6479994975</v>
      </c>
      <c r="K1199" s="179" t="n">
        <v>12959989950</v>
      </c>
      <c r="L1199" s="179" t="n">
        <v>19439984925</v>
      </c>
    </row>
    <row r="1200" ht="15" customHeight="1" s="95">
      <c r="A1200" s="143" t="n">
        <v>45029</v>
      </c>
      <c r="B1200" s="146" t="n">
        <v>0.999721</v>
      </c>
      <c r="C1200" s="179" t="n">
        <v>32038453660</v>
      </c>
      <c r="D1200" s="179" t="n">
        <v>32047384413</v>
      </c>
      <c r="E1200" s="146" t="n">
        <v>1.000794</v>
      </c>
      <c r="F1200" s="179" t="n">
        <v>80667591426</v>
      </c>
      <c r="G1200" s="179" t="n">
        <v>80603554556</v>
      </c>
      <c r="H1200" s="179">
        <f>IFERROR(D1200+G1200,D1200)</f>
        <v/>
      </c>
      <c r="I1200" s="184">
        <f>IFERROR(D1200/H1200,"")</f>
        <v/>
      </c>
      <c r="J1200" s="179" t="n">
        <v>6409476883</v>
      </c>
      <c r="K1200" s="179" t="n">
        <v>12818953765</v>
      </c>
      <c r="L1200" s="179" t="n">
        <v>19228430648</v>
      </c>
    </row>
    <row r="1201" ht="15" customHeight="1" s="95">
      <c r="A1201" s="143" t="n">
        <v>45030</v>
      </c>
      <c r="B1201" s="146" t="n">
        <v>1.001245</v>
      </c>
      <c r="C1201" s="179" t="n">
        <v>31978840380</v>
      </c>
      <c r="D1201" s="179" t="n">
        <v>31939082558</v>
      </c>
      <c r="E1201" s="146" t="n">
        <v>1.001766</v>
      </c>
      <c r="F1201" s="179" t="n">
        <v>80886569881</v>
      </c>
      <c r="G1201" s="179" t="n">
        <v>80743980381</v>
      </c>
      <c r="H1201" s="179">
        <f>IFERROR(D1201+G1201,D1201)</f>
        <v/>
      </c>
      <c r="I1201" s="184">
        <f>IFERROR(D1201/H1201,"")</f>
        <v/>
      </c>
      <c r="J1201" s="179" t="n">
        <v>6387816512</v>
      </c>
      <c r="K1201" s="179" t="n">
        <v>12775633023</v>
      </c>
      <c r="L1201" s="179" t="n">
        <v>19163449535</v>
      </c>
    </row>
    <row r="1202" ht="15" customHeight="1" s="95">
      <c r="A1202" s="143" t="n">
        <v>45031</v>
      </c>
      <c r="B1202" s="146" t="n">
        <v>1.000525</v>
      </c>
      <c r="C1202" s="179" t="n">
        <v>31857257937</v>
      </c>
      <c r="D1202" s="179" t="n">
        <v>31840555002</v>
      </c>
      <c r="E1202" s="146" t="n">
        <v>1.001115</v>
      </c>
      <c r="F1202" s="179" t="n">
        <v>80869263894</v>
      </c>
      <c r="G1202" s="179" t="n">
        <v>80779172396</v>
      </c>
      <c r="H1202" s="179">
        <f>IFERROR(D1202+G1202,D1202)</f>
        <v/>
      </c>
      <c r="I1202" s="184">
        <f>IFERROR(D1202/H1202,"")</f>
        <v/>
      </c>
      <c r="J1202" s="179" t="n">
        <v>6368111000</v>
      </c>
      <c r="K1202" s="179" t="n">
        <v>12736222001</v>
      </c>
      <c r="L1202" s="179" t="n">
        <v>19104333001</v>
      </c>
    </row>
    <row r="1203" ht="15" customHeight="1" s="95">
      <c r="A1203" s="143" t="n">
        <v>45032</v>
      </c>
      <c r="B1203" s="146" t="n">
        <v>0.999354</v>
      </c>
      <c r="C1203" s="179" t="n">
        <v>31807237206</v>
      </c>
      <c r="D1203" s="179" t="n">
        <v>31827783620</v>
      </c>
      <c r="E1203" s="146" t="n">
        <v>1.0007</v>
      </c>
      <c r="F1203" s="179" t="n">
        <v>80993005658</v>
      </c>
      <c r="G1203" s="179" t="n">
        <v>80936376807</v>
      </c>
      <c r="H1203" s="179">
        <f>IFERROR(D1203+G1203,D1203)</f>
        <v/>
      </c>
      <c r="I1203" s="184">
        <f>IFERROR(D1203/H1203,"")</f>
        <v/>
      </c>
      <c r="J1203" s="179" t="n">
        <v>6365556724</v>
      </c>
      <c r="K1203" s="179" t="n">
        <v>12731113448</v>
      </c>
      <c r="L1203" s="179" t="n">
        <v>19096670172</v>
      </c>
    </row>
    <row r="1204" ht="15" customHeight="1" s="95">
      <c r="A1204" s="143" t="n">
        <v>45033</v>
      </c>
      <c r="B1204" s="146" t="n">
        <v>1.000377</v>
      </c>
      <c r="C1204" s="179" t="n">
        <v>31843395207</v>
      </c>
      <c r="D1204" s="179" t="n">
        <v>31831382647</v>
      </c>
      <c r="E1204" s="146" t="n">
        <v>1.000897</v>
      </c>
      <c r="F1204" s="179" t="n">
        <v>80983997260</v>
      </c>
      <c r="G1204" s="179" t="n">
        <v>80911422088</v>
      </c>
      <c r="H1204" s="179">
        <f>IFERROR(D1204+G1204,D1204)</f>
        <v/>
      </c>
      <c r="I1204" s="184">
        <f>IFERROR(D1204/H1204,"")</f>
        <v/>
      </c>
      <c r="J1204" s="179" t="n">
        <v>6366276529</v>
      </c>
      <c r="K1204" s="179" t="n">
        <v>12732553059</v>
      </c>
      <c r="L1204" s="179" t="n">
        <v>19098829588</v>
      </c>
    </row>
    <row r="1205" ht="15" customHeight="1" s="95">
      <c r="A1205" s="143" t="n">
        <v>45034</v>
      </c>
      <c r="B1205" s="146" t="n">
        <v>0.999884</v>
      </c>
      <c r="C1205" s="179" t="n">
        <v>31631776001</v>
      </c>
      <c r="D1205" s="179" t="n">
        <v>31635447163</v>
      </c>
      <c r="E1205" s="146" t="n">
        <v>1.001583</v>
      </c>
      <c r="F1205" s="179" t="n">
        <v>81022519469</v>
      </c>
      <c r="G1205" s="179" t="n">
        <v>80894493759</v>
      </c>
      <c r="H1205" s="179">
        <f>IFERROR(D1205+G1205,D1205)</f>
        <v/>
      </c>
      <c r="I1205" s="184">
        <f>IFERROR(D1205/H1205,"")</f>
        <v/>
      </c>
      <c r="J1205" s="179" t="n">
        <v>6327089433</v>
      </c>
      <c r="K1205" s="179" t="n">
        <v>12654178865</v>
      </c>
      <c r="L1205" s="179" t="n">
        <v>18981268298</v>
      </c>
    </row>
    <row r="1206" ht="15" customHeight="1" s="95">
      <c r="A1206" s="143" t="n">
        <v>45035</v>
      </c>
      <c r="B1206" s="146" t="n">
        <v>0.999641</v>
      </c>
      <c r="C1206" s="179" t="n">
        <v>31381919831</v>
      </c>
      <c r="D1206" s="179" t="n">
        <v>31393192586</v>
      </c>
      <c r="E1206" s="146" t="n">
        <v>1.000532</v>
      </c>
      <c r="F1206" s="179" t="n">
        <v>81124243453</v>
      </c>
      <c r="G1206" s="179" t="n">
        <v>81081076605</v>
      </c>
      <c r="H1206" s="179">
        <f>IFERROR(D1206+G1206,D1206)</f>
        <v/>
      </c>
      <c r="I1206" s="184">
        <f>IFERROR(D1206/H1206,"")</f>
        <v/>
      </c>
      <c r="J1206" s="179" t="n">
        <v>6278638517</v>
      </c>
      <c r="K1206" s="179" t="n">
        <v>12557277034</v>
      </c>
      <c r="L1206" s="179" t="n">
        <v>18835915552</v>
      </c>
    </row>
    <row r="1207" ht="15" customHeight="1" s="95">
      <c r="A1207" s="143" t="n">
        <v>45036</v>
      </c>
      <c r="B1207" s="146" t="n">
        <v>1.000924</v>
      </c>
      <c r="C1207" s="179" t="n">
        <v>31274020648</v>
      </c>
      <c r="D1207" s="179" t="n">
        <v>31245144418</v>
      </c>
      <c r="E1207" s="146" t="n">
        <v>1.001357</v>
      </c>
      <c r="F1207" s="179" t="n">
        <v>81576461707</v>
      </c>
      <c r="G1207" s="179" t="n">
        <v>81465924804</v>
      </c>
      <c r="H1207" s="179">
        <f>IFERROR(D1207+G1207,D1207)</f>
        <v/>
      </c>
      <c r="I1207" s="184">
        <f>IFERROR(D1207/H1207,"")</f>
        <v/>
      </c>
      <c r="J1207" s="179" t="n">
        <v>6249028884</v>
      </c>
      <c r="K1207" s="179" t="n">
        <v>12498057767</v>
      </c>
      <c r="L1207" s="179" t="n">
        <v>18747086651</v>
      </c>
    </row>
    <row r="1208" ht="15" customHeight="1" s="95">
      <c r="A1208" s="143" t="n">
        <v>45037</v>
      </c>
      <c r="B1208" s="146" t="n">
        <v>1.000285</v>
      </c>
      <c r="C1208" s="179" t="n">
        <v>30998429491</v>
      </c>
      <c r="D1208" s="179" t="n">
        <v>30989591857</v>
      </c>
      <c r="E1208" s="146" t="n">
        <v>1.000381</v>
      </c>
      <c r="F1208" s="179" t="n">
        <v>81432223467</v>
      </c>
      <c r="G1208" s="179" t="n">
        <v>81401216624</v>
      </c>
      <c r="H1208" s="179">
        <f>IFERROR(D1208+G1208,D1208)</f>
        <v/>
      </c>
      <c r="I1208" s="184">
        <f>IFERROR(D1208/H1208,"")</f>
        <v/>
      </c>
      <c r="J1208" s="179" t="n">
        <v>6197918371</v>
      </c>
      <c r="K1208" s="179" t="n">
        <v>12395836743</v>
      </c>
      <c r="L1208" s="179" t="n">
        <v>18593755114</v>
      </c>
    </row>
    <row r="1209" ht="15" customHeight="1" s="95">
      <c r="A1209" s="143" t="n">
        <v>45038</v>
      </c>
      <c r="B1209" s="146" t="n">
        <v>1.00126</v>
      </c>
      <c r="C1209" s="179" t="n">
        <v>30781229059</v>
      </c>
      <c r="D1209" s="179" t="n">
        <v>30742500291</v>
      </c>
      <c r="E1209" s="146" t="n">
        <v>1.001171</v>
      </c>
      <c r="F1209" s="179" t="n">
        <v>81482240781</v>
      </c>
      <c r="G1209" s="179" t="n">
        <v>81386960578</v>
      </c>
      <c r="H1209" s="179">
        <f>IFERROR(D1209+G1209,D1209)</f>
        <v/>
      </c>
      <c r="I1209" s="184">
        <f>IFERROR(D1209/H1209,"")</f>
        <v/>
      </c>
      <c r="J1209" s="179" t="n">
        <v>6148500058</v>
      </c>
      <c r="K1209" s="179" t="n">
        <v>12297000116</v>
      </c>
      <c r="L1209" s="179" t="n">
        <v>18445500175</v>
      </c>
    </row>
    <row r="1210" ht="15" customHeight="1" s="95">
      <c r="A1210" s="143" t="n">
        <v>45039</v>
      </c>
      <c r="B1210" s="146" t="n">
        <v>1.001342</v>
      </c>
      <c r="C1210" s="179" t="n">
        <v>30800816722</v>
      </c>
      <c r="D1210" s="179" t="n">
        <v>30759540168</v>
      </c>
      <c r="E1210" s="146" t="n">
        <v>1.002001</v>
      </c>
      <c r="F1210" s="179" t="n">
        <v>81601259475</v>
      </c>
      <c r="G1210" s="179" t="n">
        <v>81438306485</v>
      </c>
      <c r="H1210" s="179">
        <f>IFERROR(D1210+G1210,D1210)</f>
        <v/>
      </c>
      <c r="I1210" s="184">
        <f>IFERROR(D1210/H1210,"")</f>
        <v/>
      </c>
      <c r="J1210" s="179" t="n">
        <v>6151908034</v>
      </c>
      <c r="K1210" s="179" t="n">
        <v>12303816067</v>
      </c>
      <c r="L1210" s="179" t="n">
        <v>18455724101</v>
      </c>
    </row>
    <row r="1211" ht="15" customHeight="1" s="95">
      <c r="A1211" s="143" t="n">
        <v>45040</v>
      </c>
      <c r="B1211" s="146" t="n">
        <v>1.000646</v>
      </c>
      <c r="C1211" s="179" t="n">
        <v>30832016787</v>
      </c>
      <c r="D1211" s="179" t="n">
        <v>30812102414</v>
      </c>
      <c r="E1211" s="146" t="n">
        <v>1.001164</v>
      </c>
      <c r="F1211" s="179" t="n">
        <v>81498022564</v>
      </c>
      <c r="G1211" s="179" t="n">
        <v>81403288850</v>
      </c>
      <c r="H1211" s="179">
        <f>IFERROR(D1211+G1211,D1211)</f>
        <v/>
      </c>
      <c r="I1211" s="184">
        <f>IFERROR(D1211/H1211,"")</f>
        <v/>
      </c>
      <c r="J1211" s="179" t="n">
        <v>6162420483</v>
      </c>
      <c r="K1211" s="179" t="n">
        <v>12324840966</v>
      </c>
      <c r="L1211" s="179" t="n">
        <v>18487261448</v>
      </c>
    </row>
    <row r="1212" ht="15" customHeight="1" s="95">
      <c r="A1212" s="143" t="n">
        <v>45041</v>
      </c>
      <c r="B1212" s="146" t="n">
        <v>0.999349</v>
      </c>
      <c r="C1212" s="179" t="n">
        <v>30724101062</v>
      </c>
      <c r="D1212" s="179" t="n">
        <v>30744113922</v>
      </c>
      <c r="E1212" s="146" t="n">
        <v>1.000717</v>
      </c>
      <c r="F1212" s="179" t="n">
        <v>81561952839</v>
      </c>
      <c r="G1212" s="179" t="n">
        <v>81503531504</v>
      </c>
      <c r="H1212" s="179">
        <f>IFERROR(D1212+G1212,D1212)</f>
        <v/>
      </c>
      <c r="I1212" s="184">
        <f>IFERROR(D1212/H1212,"")</f>
        <v/>
      </c>
      <c r="J1212" s="179" t="n">
        <v>6148822784</v>
      </c>
      <c r="K1212" s="179" t="n">
        <v>12297645569</v>
      </c>
      <c r="L1212" s="179" t="n">
        <v>18446468353</v>
      </c>
    </row>
    <row r="1213" ht="15" customHeight="1" s="95">
      <c r="A1213" s="143" t="n">
        <v>45042</v>
      </c>
      <c r="B1213" s="146" t="n">
        <v>1.001014</v>
      </c>
      <c r="C1213" s="179" t="n">
        <v>30730506420</v>
      </c>
      <c r="D1213" s="179" t="n">
        <v>30699383389</v>
      </c>
      <c r="E1213" s="146" t="n">
        <v>1.001474</v>
      </c>
      <c r="F1213" s="179" t="n">
        <v>81650664075</v>
      </c>
      <c r="G1213" s="179" t="n">
        <v>81530511532</v>
      </c>
      <c r="H1213" s="179">
        <f>IFERROR(D1213+G1213,D1213)</f>
        <v/>
      </c>
      <c r="I1213" s="184">
        <f>IFERROR(D1213/H1213,"")</f>
        <v/>
      </c>
      <c r="J1213" s="179" t="n">
        <v>6139876678</v>
      </c>
      <c r="K1213" s="179" t="n">
        <v>12279753356</v>
      </c>
      <c r="L1213" s="179" t="n">
        <v>18419630033</v>
      </c>
    </row>
    <row r="1214" ht="15" customHeight="1" s="95">
      <c r="A1214" s="143" t="n">
        <v>45043</v>
      </c>
      <c r="B1214" s="146" t="n">
        <v>0.999669</v>
      </c>
      <c r="C1214" s="179" t="n">
        <v>30761326833</v>
      </c>
      <c r="D1214" s="179" t="n">
        <v>30771498257</v>
      </c>
      <c r="E1214" s="146" t="n">
        <v>1.000297</v>
      </c>
      <c r="F1214" s="179" t="n">
        <v>81618274278</v>
      </c>
      <c r="G1214" s="179" t="n">
        <v>81594054149</v>
      </c>
      <c r="H1214" s="179">
        <f>IFERROR(D1214+G1214,D1214)</f>
        <v/>
      </c>
      <c r="I1214" s="184">
        <f>IFERROR(D1214/H1214,"")</f>
        <v/>
      </c>
      <c r="J1214" s="179" t="n">
        <v>6154299651</v>
      </c>
      <c r="K1214" s="179" t="n">
        <v>12308599303</v>
      </c>
      <c r="L1214" s="179" t="n">
        <v>18462898954</v>
      </c>
    </row>
    <row r="1215" ht="15" customHeight="1" s="95">
      <c r="A1215" s="143" t="n">
        <v>45044</v>
      </c>
      <c r="B1215" s="146" t="n">
        <v>1.000604</v>
      </c>
      <c r="C1215" s="179" t="n">
        <v>30558401325</v>
      </c>
      <c r="D1215" s="179" t="n">
        <v>30539942603</v>
      </c>
      <c r="E1215" s="146" t="n">
        <v>1.001351</v>
      </c>
      <c r="F1215" s="179" t="n">
        <v>81714368057</v>
      </c>
      <c r="G1215" s="179" t="n">
        <v>81604129101</v>
      </c>
      <c r="H1215" s="179">
        <f>IFERROR(D1215+G1215,D1215)</f>
        <v/>
      </c>
      <c r="I1215" s="184">
        <f>IFERROR(D1215/H1215,"")</f>
        <v/>
      </c>
      <c r="J1215" s="179" t="n">
        <v>6107988521</v>
      </c>
      <c r="K1215" s="179" t="n">
        <v>12215977041</v>
      </c>
      <c r="L1215" s="179" t="n">
        <v>18323965562</v>
      </c>
    </row>
    <row r="1216" ht="15" customHeight="1" s="95">
      <c r="A1216" s="143" t="n">
        <v>45045</v>
      </c>
      <c r="B1216" s="146" t="n">
        <v>1.000077</v>
      </c>
      <c r="C1216" s="179" t="n">
        <v>30505673945</v>
      </c>
      <c r="D1216" s="179" t="n">
        <v>30503316767</v>
      </c>
      <c r="E1216" s="146" t="n">
        <v>1.000794</v>
      </c>
      <c r="F1216" s="179" t="n">
        <v>81713940555</v>
      </c>
      <c r="G1216" s="179" t="n">
        <v>81649124549</v>
      </c>
      <c r="H1216" s="179">
        <f>IFERROR(D1216+G1216,D1216)</f>
        <v/>
      </c>
      <c r="I1216" s="184">
        <f>IFERROR(D1216/H1216,"")</f>
        <v/>
      </c>
      <c r="J1216" s="179" t="n">
        <v>6100663353</v>
      </c>
      <c r="K1216" s="179" t="n">
        <v>12201326707</v>
      </c>
      <c r="L1216" s="179" t="n">
        <v>18301990060</v>
      </c>
    </row>
    <row r="1217" ht="15" customHeight="1" s="95">
      <c r="A1217" s="143" t="n">
        <v>45046</v>
      </c>
      <c r="B1217" s="146" t="n">
        <v>1.000456</v>
      </c>
      <c r="C1217" s="179" t="n">
        <v>30517472541</v>
      </c>
      <c r="D1217" s="179" t="n">
        <v>30503568572</v>
      </c>
      <c r="E1217" s="146" t="n">
        <v>1.000952</v>
      </c>
      <c r="F1217" s="179" t="n">
        <v>81811659037</v>
      </c>
      <c r="G1217" s="179" t="n">
        <v>81733808502</v>
      </c>
      <c r="H1217" s="179">
        <f>IFERROR(D1217+G1217,D1217)</f>
        <v/>
      </c>
      <c r="I1217" s="184">
        <f>IFERROR(D1217/H1217,"")</f>
        <v/>
      </c>
      <c r="J1217" s="179" t="n">
        <v>6100713714</v>
      </c>
      <c r="K1217" s="179" t="n">
        <v>12201427429</v>
      </c>
      <c r="L1217" s="179" t="n">
        <v>18302141143</v>
      </c>
    </row>
    <row r="1218" ht="15" customHeight="1" s="95">
      <c r="A1218" s="143" t="n">
        <v>45047</v>
      </c>
      <c r="B1218" s="146" t="n">
        <v>1.000403</v>
      </c>
      <c r="C1218" s="179" t="n">
        <v>30507262544</v>
      </c>
      <c r="D1218" s="179" t="n">
        <v>30494973085</v>
      </c>
      <c r="E1218" s="146" t="n">
        <v>1.001363</v>
      </c>
      <c r="F1218" s="179" t="n">
        <v>81834959453</v>
      </c>
      <c r="G1218" s="179" t="n">
        <v>81723602225</v>
      </c>
      <c r="H1218" s="179">
        <f>IFERROR(D1218+G1218,D1218)</f>
        <v/>
      </c>
      <c r="I1218" s="184">
        <f>IFERROR(D1218/H1218,"")</f>
        <v/>
      </c>
      <c r="J1218" s="179" t="n">
        <v>6098994617</v>
      </c>
      <c r="K1218" s="179" t="n">
        <v>12197989234</v>
      </c>
      <c r="L1218" s="179" t="n">
        <v>18296983851</v>
      </c>
    </row>
    <row r="1219" ht="15" customHeight="1" s="95">
      <c r="A1219" s="143" t="n">
        <v>45048</v>
      </c>
      <c r="B1219" s="146" t="n">
        <v>1.000663</v>
      </c>
      <c r="C1219" s="179" t="n">
        <v>30401590450</v>
      </c>
      <c r="D1219" s="179" t="n">
        <v>30381437432</v>
      </c>
      <c r="E1219" s="146" t="n">
        <v>1.001332</v>
      </c>
      <c r="F1219" s="179" t="n">
        <v>81873049553</v>
      </c>
      <c r="G1219" s="179" t="n">
        <v>81764110781</v>
      </c>
      <c r="H1219" s="179">
        <f>IFERROR(D1219+G1219,D1219)</f>
        <v/>
      </c>
      <c r="I1219" s="184">
        <f>IFERROR(D1219/H1219,"")</f>
        <v/>
      </c>
      <c r="J1219" s="179" t="n">
        <v>6076287486</v>
      </c>
      <c r="K1219" s="179" t="n">
        <v>12152574973</v>
      </c>
      <c r="L1219" s="179" t="n">
        <v>18228862459</v>
      </c>
    </row>
    <row r="1220" ht="15" customHeight="1" s="95">
      <c r="A1220" s="143" t="n">
        <v>45049</v>
      </c>
      <c r="B1220" s="146" t="n">
        <v>0.998538</v>
      </c>
      <c r="C1220" s="179" t="n">
        <v>30203709587</v>
      </c>
      <c r="D1220" s="179" t="n">
        <v>30247945788</v>
      </c>
      <c r="E1220" s="146" t="n">
        <v>1.001341</v>
      </c>
      <c r="F1220" s="179" t="n">
        <v>81882894005</v>
      </c>
      <c r="G1220" s="179" t="n">
        <v>81773274227</v>
      </c>
      <c r="H1220" s="179">
        <f>IFERROR(D1220+G1220,D1220)</f>
        <v/>
      </c>
      <c r="I1220" s="184">
        <f>IFERROR(D1220/H1220,"")</f>
        <v/>
      </c>
      <c r="J1220" s="179" t="n">
        <v>6049589158</v>
      </c>
      <c r="K1220" s="179" t="n">
        <v>12099178315</v>
      </c>
      <c r="L1220" s="179" t="n">
        <v>18148767473</v>
      </c>
    </row>
    <row r="1221" ht="15" customHeight="1" s="95">
      <c r="A1221" s="143" t="n">
        <v>45050</v>
      </c>
      <c r="B1221" s="146" t="n">
        <v>0.998174</v>
      </c>
      <c r="C1221" s="179" t="n">
        <v>30115550078</v>
      </c>
      <c r="D1221" s="179" t="n">
        <v>30170650703</v>
      </c>
      <c r="E1221" s="146" t="n">
        <v>1.000373</v>
      </c>
      <c r="F1221" s="179" t="n">
        <v>81989333426</v>
      </c>
      <c r="G1221" s="179" t="n">
        <v>81958750585</v>
      </c>
      <c r="H1221" s="179">
        <f>IFERROR(D1221+G1221,D1221)</f>
        <v/>
      </c>
      <c r="I1221" s="184">
        <f>IFERROR(D1221/H1221,"")</f>
        <v/>
      </c>
      <c r="J1221" s="179" t="n">
        <v>6034130141</v>
      </c>
      <c r="K1221" s="179" t="n">
        <v>12068260281</v>
      </c>
      <c r="L1221" s="179" t="n">
        <v>18102390422</v>
      </c>
    </row>
    <row r="1222" ht="15" customHeight="1" s="95">
      <c r="A1222" s="143" t="n">
        <v>45051</v>
      </c>
      <c r="B1222" s="146" t="n">
        <v>0.999884</v>
      </c>
      <c r="C1222" s="179" t="n">
        <v>30144375003</v>
      </c>
      <c r="D1222" s="179" t="n">
        <v>30147861332</v>
      </c>
      <c r="E1222" s="146" t="n">
        <v>1.000574</v>
      </c>
      <c r="F1222" s="179" t="n">
        <v>82166156610</v>
      </c>
      <c r="G1222" s="179" t="n">
        <v>82119054200</v>
      </c>
      <c r="H1222" s="179">
        <f>IFERROR(D1222+G1222,D1222)</f>
        <v/>
      </c>
      <c r="I1222" s="184">
        <f>IFERROR(D1222/H1222,"")</f>
        <v/>
      </c>
      <c r="J1222" s="179" t="n">
        <v>6029572266</v>
      </c>
      <c r="K1222" s="179" t="n">
        <v>12059144533</v>
      </c>
      <c r="L1222" s="179" t="n">
        <v>18088716799</v>
      </c>
    </row>
    <row r="1223" ht="15" customHeight="1" s="95">
      <c r="A1223" s="143" t="n">
        <v>45052</v>
      </c>
      <c r="B1223" s="146" t="n">
        <v>1.000033</v>
      </c>
      <c r="C1223" s="179" t="n">
        <v>30384207596</v>
      </c>
      <c r="D1223" s="179" t="n">
        <v>30383209721</v>
      </c>
      <c r="E1223" s="146" t="n">
        <v>1.001341</v>
      </c>
      <c r="F1223" s="179" t="n">
        <v>82151905581</v>
      </c>
      <c r="G1223" s="179" t="n">
        <v>82041897391</v>
      </c>
      <c r="H1223" s="179">
        <f>IFERROR(D1223+G1223,D1223)</f>
        <v/>
      </c>
      <c r="I1223" s="184">
        <f>IFERROR(D1223/H1223,"")</f>
        <v/>
      </c>
      <c r="J1223" s="179" t="n">
        <v>6076641944</v>
      </c>
      <c r="K1223" s="179" t="n">
        <v>12153283888</v>
      </c>
      <c r="L1223" s="179" t="n">
        <v>18229925833</v>
      </c>
    </row>
    <row r="1224" ht="15" customHeight="1" s="95">
      <c r="A1224" s="143" t="n">
        <v>45053</v>
      </c>
      <c r="B1224" s="146" t="n">
        <v>0.999246</v>
      </c>
      <c r="C1224" s="179" t="n">
        <v>30369654736</v>
      </c>
      <c r="D1224" s="179" t="n">
        <v>30392557298</v>
      </c>
      <c r="E1224" s="146" t="n">
        <v>1.001741</v>
      </c>
      <c r="F1224" s="179" t="n">
        <v>82239351555</v>
      </c>
      <c r="G1224" s="179" t="n">
        <v>82096385815</v>
      </c>
      <c r="H1224" s="179">
        <f>IFERROR(D1224+G1224,D1224)</f>
        <v/>
      </c>
      <c r="I1224" s="184">
        <f>IFERROR(D1224/H1224,"")</f>
        <v/>
      </c>
      <c r="J1224" s="179" t="n">
        <v>6078511460</v>
      </c>
      <c r="K1224" s="179" t="n">
        <v>12157022919</v>
      </c>
      <c r="L1224" s="179" t="n">
        <v>18235534379</v>
      </c>
    </row>
    <row r="1225" ht="15" customHeight="1" s="95">
      <c r="A1225" s="143" t="n">
        <v>45054</v>
      </c>
      <c r="B1225" s="146" t="n">
        <v>1.002494</v>
      </c>
      <c r="C1225" s="179" t="n">
        <v>30342574924</v>
      </c>
      <c r="D1225" s="179" t="n">
        <v>30267074461</v>
      </c>
      <c r="E1225" s="146" t="n">
        <v>1.001478</v>
      </c>
      <c r="F1225" s="179" t="n">
        <v>81979806768</v>
      </c>
      <c r="G1225" s="179" t="n">
        <v>81858829813</v>
      </c>
      <c r="H1225" s="179">
        <f>IFERROR(D1225+G1225,D1225)</f>
        <v/>
      </c>
      <c r="I1225" s="184">
        <f>IFERROR(D1225/H1225,"")</f>
        <v/>
      </c>
      <c r="J1225" s="179" t="n">
        <v>6053414892</v>
      </c>
      <c r="K1225" s="179" t="n">
        <v>12106829784</v>
      </c>
      <c r="L1225" s="179" t="n">
        <v>18160244677</v>
      </c>
    </row>
    <row r="1226" ht="15" customHeight="1" s="95">
      <c r="A1226" s="143" t="n">
        <v>45055</v>
      </c>
      <c r="B1226" s="146" t="n">
        <v>1.000738</v>
      </c>
      <c r="C1226" s="179" t="n">
        <v>30258663502</v>
      </c>
      <c r="D1226" s="179" t="n">
        <v>30236364046</v>
      </c>
      <c r="E1226" s="146" t="n">
        <v>1.000893</v>
      </c>
      <c r="F1226" s="179" t="n">
        <v>82444600542</v>
      </c>
      <c r="G1226" s="179" t="n">
        <v>82371010719</v>
      </c>
      <c r="H1226" s="179">
        <f>IFERROR(D1226+G1226,D1226)</f>
        <v/>
      </c>
      <c r="I1226" s="184">
        <f>IFERROR(D1226/H1226,"")</f>
        <v/>
      </c>
      <c r="J1226" s="179" t="n">
        <v>6047272809</v>
      </c>
      <c r="K1226" s="179" t="n">
        <v>12094545618</v>
      </c>
      <c r="L1226" s="179" t="n">
        <v>18141818428</v>
      </c>
    </row>
    <row r="1227" ht="15" customHeight="1" s="95">
      <c r="A1227" s="143" t="n">
        <v>45056</v>
      </c>
      <c r="B1227" s="146" t="n">
        <v>0.998508</v>
      </c>
      <c r="C1227" s="179" t="n">
        <v>30150202928</v>
      </c>
      <c r="D1227" s="179" t="n">
        <v>30195243563</v>
      </c>
      <c r="E1227" s="146" t="n">
        <v>0.9987740000000001</v>
      </c>
      <c r="F1227" s="179" t="n">
        <v>82501557251</v>
      </c>
      <c r="G1227" s="179" t="n">
        <v>82602862689</v>
      </c>
      <c r="H1227" s="179">
        <f>IFERROR(D1227+G1227,D1227)</f>
        <v/>
      </c>
      <c r="I1227" s="184">
        <f>IFERROR(D1227/H1227,"")</f>
        <v/>
      </c>
      <c r="J1227" s="179" t="n">
        <v>6039048713</v>
      </c>
      <c r="K1227" s="179" t="n">
        <v>12078097425</v>
      </c>
      <c r="L1227" s="179" t="n">
        <v>18117146138</v>
      </c>
    </row>
    <row r="1228" ht="15" customHeight="1" s="95">
      <c r="A1228" s="143" t="n">
        <v>45057</v>
      </c>
      <c r="B1228" s="146" t="n">
        <v>0.998842</v>
      </c>
      <c r="C1228" s="179" t="n">
        <v>30071349958</v>
      </c>
      <c r="D1228" s="179" t="n">
        <v>30106202372</v>
      </c>
      <c r="E1228" s="146" t="n">
        <v>0.999773</v>
      </c>
      <c r="F1228" s="179" t="n">
        <v>82565452645</v>
      </c>
      <c r="G1228" s="179" t="n">
        <v>82584191701</v>
      </c>
      <c r="H1228" s="179">
        <f>IFERROR(D1228+G1228,D1228)</f>
        <v/>
      </c>
      <c r="I1228" s="184">
        <f>IFERROR(D1228/H1228,"")</f>
        <v/>
      </c>
      <c r="J1228" s="179" t="n">
        <v>6021240474</v>
      </c>
      <c r="K1228" s="179" t="n">
        <v>12042480949</v>
      </c>
      <c r="L1228" s="179" t="n">
        <v>18063721423</v>
      </c>
    </row>
    <row r="1229" ht="15" customHeight="1" s="95">
      <c r="A1229" s="143" t="n">
        <v>45058</v>
      </c>
      <c r="B1229" s="146" t="n">
        <v>1.000743</v>
      </c>
      <c r="C1229" s="179" t="n">
        <v>30028195165</v>
      </c>
      <c r="D1229" s="179" t="n">
        <v>30005896437</v>
      </c>
      <c r="E1229" s="146" t="n">
        <v>0.999993</v>
      </c>
      <c r="F1229" s="179" t="n">
        <v>82667039654</v>
      </c>
      <c r="G1229" s="179" t="n">
        <v>82667647738</v>
      </c>
      <c r="H1229" s="179">
        <f>IFERROR(D1229+G1229,D1229)</f>
        <v/>
      </c>
      <c r="I1229" s="184">
        <f>IFERROR(D1229/H1229,"")</f>
        <v/>
      </c>
      <c r="J1229" s="179" t="n">
        <v>6001179287</v>
      </c>
      <c r="K1229" s="179" t="n">
        <v>12002358575</v>
      </c>
      <c r="L1229" s="179" t="n">
        <v>18003537862</v>
      </c>
    </row>
    <row r="1230" ht="15" customHeight="1" s="95">
      <c r="A1230" s="143" t="n">
        <v>45059</v>
      </c>
      <c r="B1230" s="146" t="n">
        <v>1.000833</v>
      </c>
      <c r="C1230" s="179" t="n">
        <v>29970051657</v>
      </c>
      <c r="D1230" s="179" t="n">
        <v>29945115519</v>
      </c>
      <c r="E1230" s="146" t="n">
        <v>1.00106</v>
      </c>
      <c r="F1230" s="179" t="n">
        <v>82799743141</v>
      </c>
      <c r="G1230" s="179" t="n">
        <v>82712090599</v>
      </c>
      <c r="H1230" s="179">
        <f>IFERROR(D1230+G1230,D1230)</f>
        <v/>
      </c>
      <c r="I1230" s="184">
        <f>IFERROR(D1230/H1230,"")</f>
        <v/>
      </c>
      <c r="J1230" s="179" t="n">
        <v>5989023104</v>
      </c>
      <c r="K1230" s="179" t="n">
        <v>11978046208</v>
      </c>
      <c r="L1230" s="179" t="n">
        <v>17967069311</v>
      </c>
    </row>
    <row r="1231" ht="15" customHeight="1" s="95">
      <c r="A1231" s="143" t="n">
        <v>45060</v>
      </c>
      <c r="B1231" s="146" t="n">
        <v>0.998225</v>
      </c>
      <c r="C1231" s="179" t="n">
        <v>30054743760</v>
      </c>
      <c r="D1231" s="179" t="n">
        <v>30108181032</v>
      </c>
      <c r="E1231" s="146" t="n">
        <v>1.000702</v>
      </c>
      <c r="F1231" s="179" t="n">
        <v>83088864855</v>
      </c>
      <c r="G1231" s="179" t="n">
        <v>83030612043</v>
      </c>
      <c r="H1231" s="179">
        <f>IFERROR(D1231+G1231,D1231)</f>
        <v/>
      </c>
      <c r="I1231" s="184">
        <f>IFERROR(D1231/H1231,"")</f>
        <v/>
      </c>
      <c r="J1231" s="179" t="n">
        <v>6021636206</v>
      </c>
      <c r="K1231" s="179" t="n">
        <v>12043272413</v>
      </c>
      <c r="L1231" s="179" t="n">
        <v>18064908619</v>
      </c>
    </row>
    <row r="1232" ht="15" customHeight="1" s="95">
      <c r="A1232" s="143" t="n">
        <v>45061</v>
      </c>
      <c r="B1232" s="146" t="n">
        <v>0.999459</v>
      </c>
      <c r="C1232" s="179" t="n">
        <v>29949809797</v>
      </c>
      <c r="D1232" s="179" t="n">
        <v>29966020268</v>
      </c>
      <c r="E1232" s="146" t="n">
        <v>1.000041</v>
      </c>
      <c r="F1232" s="179" t="n">
        <v>82795486682</v>
      </c>
      <c r="G1232" s="179" t="n">
        <v>82792073774</v>
      </c>
      <c r="H1232" s="179">
        <f>IFERROR(D1232+G1232,D1232)</f>
        <v/>
      </c>
      <c r="I1232" s="184">
        <f>IFERROR(D1232/H1232,"")</f>
        <v/>
      </c>
      <c r="J1232" s="179" t="n">
        <v>5993204054</v>
      </c>
      <c r="K1232" s="179" t="n">
        <v>11986408107</v>
      </c>
      <c r="L1232" s="179" t="n">
        <v>17979612161</v>
      </c>
    </row>
    <row r="1233" ht="15" customHeight="1" s="95">
      <c r="A1233" s="143" t="n">
        <v>45062</v>
      </c>
      <c r="B1233" s="146" t="n">
        <v>1.000716</v>
      </c>
      <c r="C1233" s="179" t="n">
        <v>29792036476</v>
      </c>
      <c r="D1233" s="179" t="n">
        <v>29770717328</v>
      </c>
      <c r="E1233" s="146" t="n">
        <v>1.001635</v>
      </c>
      <c r="F1233" s="179" t="n">
        <v>82803772135</v>
      </c>
      <c r="G1233" s="179" t="n">
        <v>82668607268</v>
      </c>
      <c r="H1233" s="179">
        <f>IFERROR(D1233+G1233,D1233)</f>
        <v/>
      </c>
      <c r="I1233" s="184">
        <f>IFERROR(D1233/H1233,"")</f>
        <v/>
      </c>
      <c r="J1233" s="179" t="n">
        <v>5954143466</v>
      </c>
      <c r="K1233" s="179" t="n">
        <v>11908286931</v>
      </c>
      <c r="L1233" s="179" t="n">
        <v>17862430397</v>
      </c>
    </row>
    <row r="1234" ht="15" customHeight="1" s="95">
      <c r="A1234" s="143" t="n">
        <v>45063</v>
      </c>
      <c r="B1234" s="146" t="n">
        <v>0.999861</v>
      </c>
      <c r="C1234" s="179" t="n">
        <v>29675758792</v>
      </c>
      <c r="D1234" s="179" t="n">
        <v>29679895255</v>
      </c>
      <c r="E1234" s="146" t="n">
        <v>1.000154</v>
      </c>
      <c r="F1234" s="179" t="n">
        <v>82847420820</v>
      </c>
      <c r="G1234" s="179" t="n">
        <v>82834675087</v>
      </c>
      <c r="H1234" s="179">
        <f>IFERROR(D1234+G1234,D1234)</f>
        <v/>
      </c>
      <c r="I1234" s="184">
        <f>IFERROR(D1234/H1234,"")</f>
        <v/>
      </c>
      <c r="J1234" s="179" t="n">
        <v>5935979051</v>
      </c>
      <c r="K1234" s="179" t="n">
        <v>11871958102</v>
      </c>
      <c r="L1234" s="179" t="n">
        <v>17807937153</v>
      </c>
    </row>
    <row r="1235" ht="15" customHeight="1" s="95">
      <c r="A1235" s="143" t="n">
        <v>45064</v>
      </c>
      <c r="B1235" s="146" t="n">
        <v>0.999463</v>
      </c>
      <c r="C1235" s="179" t="n">
        <v>29503039585</v>
      </c>
      <c r="D1235" s="179" t="n">
        <v>29518892585</v>
      </c>
      <c r="E1235" s="146" t="n">
        <v>0.999302</v>
      </c>
      <c r="F1235" s="179" t="n">
        <v>82854296237</v>
      </c>
      <c r="G1235" s="179" t="n">
        <v>82912141176</v>
      </c>
      <c r="H1235" s="179">
        <f>IFERROR(D1235+G1235,D1235)</f>
        <v/>
      </c>
      <c r="I1235" s="184">
        <f>IFERROR(D1235/H1235,"")</f>
        <v/>
      </c>
      <c r="J1235" s="179" t="n">
        <v>5903778517</v>
      </c>
      <c r="K1235" s="179" t="n">
        <v>11807557034</v>
      </c>
      <c r="L1235" s="179" t="n">
        <v>17711335551</v>
      </c>
    </row>
    <row r="1236" ht="15" customHeight="1" s="95">
      <c r="A1236" s="143" t="n">
        <v>45065</v>
      </c>
      <c r="B1236" s="146" t="n">
        <v>0.998042</v>
      </c>
      <c r="C1236" s="179" t="n">
        <v>29610494624</v>
      </c>
      <c r="D1236" s="179" t="n">
        <v>29668595745</v>
      </c>
      <c r="E1236" s="146" t="n">
        <v>0.999371</v>
      </c>
      <c r="F1236" s="179" t="n">
        <v>82877902315</v>
      </c>
      <c r="G1236" s="179" t="n">
        <v>82930106152</v>
      </c>
      <c r="H1236" s="179">
        <f>IFERROR(D1236+G1236,D1236)</f>
        <v/>
      </c>
      <c r="I1236" s="184">
        <f>IFERROR(D1236/H1236,"")</f>
        <v/>
      </c>
      <c r="J1236" s="179" t="n">
        <v>5933719149</v>
      </c>
      <c r="K1236" s="179" t="n">
        <v>11867438298</v>
      </c>
      <c r="L1236" s="179" t="n">
        <v>17801157447</v>
      </c>
    </row>
    <row r="1237" ht="15" customHeight="1" s="95">
      <c r="A1237" s="143" t="n">
        <v>45066</v>
      </c>
      <c r="B1237" s="146" t="n">
        <v>0.999595</v>
      </c>
      <c r="C1237" s="179" t="n">
        <v>29557752770</v>
      </c>
      <c r="D1237" s="179" t="n">
        <v>29569741716</v>
      </c>
      <c r="E1237" s="146" t="n">
        <v>1.000566</v>
      </c>
      <c r="F1237" s="179" t="n">
        <v>82912724184</v>
      </c>
      <c r="G1237" s="179" t="n">
        <v>82865845140</v>
      </c>
      <c r="H1237" s="179">
        <f>IFERROR(D1237+G1237,D1237)</f>
        <v/>
      </c>
      <c r="I1237" s="184">
        <f>IFERROR(D1237/H1237,"")</f>
        <v/>
      </c>
      <c r="J1237" s="179" t="n">
        <v>5913948343</v>
      </c>
      <c r="K1237" s="179" t="n">
        <v>11827896686</v>
      </c>
      <c r="L1237" s="179" t="n">
        <v>17741845030</v>
      </c>
    </row>
    <row r="1238" ht="15" customHeight="1" s="95">
      <c r="A1238" s="143" t="n">
        <v>45067</v>
      </c>
      <c r="B1238" s="146" t="n">
        <v>0.999569</v>
      </c>
      <c r="C1238" s="179" t="n">
        <v>29562931910</v>
      </c>
      <c r="D1238" s="179" t="n">
        <v>29575668136</v>
      </c>
      <c r="E1238" s="146" t="n">
        <v>1.000118</v>
      </c>
      <c r="F1238" s="179" t="n">
        <v>82935921774</v>
      </c>
      <c r="G1238" s="179" t="n">
        <v>82926154054</v>
      </c>
      <c r="H1238" s="179">
        <f>IFERROR(D1238+G1238,D1238)</f>
        <v/>
      </c>
      <c r="I1238" s="184">
        <f>IFERROR(D1238/H1238,"")</f>
        <v/>
      </c>
      <c r="J1238" s="179" t="n">
        <v>5915133627</v>
      </c>
      <c r="K1238" s="179" t="n">
        <v>11830267254</v>
      </c>
      <c r="L1238" s="179" t="n">
        <v>17745400882</v>
      </c>
    </row>
    <row r="1239" ht="15" customHeight="1" s="95">
      <c r="A1239" s="143" t="n">
        <v>45068</v>
      </c>
      <c r="B1239" s="146" t="n">
        <v>0.999741</v>
      </c>
      <c r="C1239" s="179" t="n">
        <v>29549991311</v>
      </c>
      <c r="D1239" s="179" t="n">
        <v>29557657047</v>
      </c>
      <c r="E1239" s="146" t="n">
        <v>1.000398</v>
      </c>
      <c r="F1239" s="179" t="n">
        <v>82951150480</v>
      </c>
      <c r="G1239" s="179" t="n">
        <v>82918159057</v>
      </c>
      <c r="H1239" s="179">
        <f>IFERROR(D1239+G1239,D1239)</f>
        <v/>
      </c>
      <c r="I1239" s="184">
        <f>IFERROR(D1239/H1239,"")</f>
        <v/>
      </c>
      <c r="J1239" s="179" t="n">
        <v>5911531409</v>
      </c>
      <c r="K1239" s="179" t="n">
        <v>11823062819</v>
      </c>
      <c r="L1239" s="179" t="n">
        <v>17734594228</v>
      </c>
    </row>
    <row r="1240" ht="15" customHeight="1" s="95">
      <c r="A1240" s="143" t="n">
        <v>45069</v>
      </c>
      <c r="B1240" s="146" t="n">
        <v>1.000076</v>
      </c>
      <c r="C1240" s="179" t="n">
        <v>29438095224</v>
      </c>
      <c r="D1240" s="179" t="n">
        <v>29435844270</v>
      </c>
      <c r="E1240" s="146" t="n">
        <v>1.00019</v>
      </c>
      <c r="F1240" s="179" t="n">
        <v>82986871465</v>
      </c>
      <c r="G1240" s="179" t="n">
        <v>82971091576</v>
      </c>
      <c r="H1240" s="179">
        <f>IFERROR(D1240+G1240,D1240)</f>
        <v/>
      </c>
      <c r="I1240" s="184">
        <f>IFERROR(D1240/H1240,"")</f>
        <v/>
      </c>
      <c r="J1240" s="179" t="n">
        <v>5887168854</v>
      </c>
      <c r="K1240" s="179" t="n">
        <v>11774337708</v>
      </c>
      <c r="L1240" s="179" t="n">
        <v>17661506562</v>
      </c>
    </row>
    <row r="1241" ht="15" customHeight="1" s="95">
      <c r="A1241" s="143" t="n">
        <v>45070</v>
      </c>
      <c r="B1241" s="146" t="n">
        <v>0.999627</v>
      </c>
      <c r="C1241" s="179" t="n">
        <v>29253725552</v>
      </c>
      <c r="D1241" s="179" t="n">
        <v>29264654570</v>
      </c>
      <c r="E1241" s="146" t="n">
        <v>1.000076</v>
      </c>
      <c r="F1241" s="179" t="n">
        <v>83010344061</v>
      </c>
      <c r="G1241" s="179" t="n">
        <v>83004036311</v>
      </c>
      <c r="H1241" s="179">
        <f>IFERROR(D1241+G1241,D1241)</f>
        <v/>
      </c>
      <c r="I1241" s="184">
        <f>IFERROR(D1241/H1241,"")</f>
        <v/>
      </c>
      <c r="J1241" s="179" t="n">
        <v>5852930914</v>
      </c>
      <c r="K1241" s="179" t="n">
        <v>11705861828</v>
      </c>
      <c r="L1241" s="179" t="n">
        <v>17558792742</v>
      </c>
    </row>
    <row r="1242" ht="15" customHeight="1" s="95">
      <c r="A1242" s="143" t="n">
        <v>45071</v>
      </c>
      <c r="B1242" s="146" t="n">
        <v>1.000016</v>
      </c>
      <c r="C1242" s="179" t="n">
        <v>29158132296</v>
      </c>
      <c r="D1242" s="179" t="n">
        <v>29157674275</v>
      </c>
      <c r="E1242" s="146" t="n">
        <v>0.999663</v>
      </c>
      <c r="F1242" s="179" t="n">
        <v>83087445100</v>
      </c>
      <c r="G1242" s="179" t="n">
        <v>83115428725</v>
      </c>
      <c r="H1242" s="179">
        <f>IFERROR(D1242+G1242,D1242)</f>
        <v/>
      </c>
      <c r="I1242" s="184">
        <f>IFERROR(D1242/H1242,"")</f>
        <v/>
      </c>
      <c r="J1242" s="179" t="n">
        <v>5831534855</v>
      </c>
      <c r="K1242" s="179" t="n">
        <v>11663069710</v>
      </c>
      <c r="L1242" s="179" t="n">
        <v>17494604565</v>
      </c>
    </row>
    <row r="1243" ht="15" customHeight="1" s="95">
      <c r="A1243" s="143" t="n">
        <v>45072</v>
      </c>
      <c r="B1243" s="146" t="n">
        <v>1.000056</v>
      </c>
      <c r="C1243" s="179" t="n">
        <v>29054615189</v>
      </c>
      <c r="D1243" s="179" t="n">
        <v>29052982138</v>
      </c>
      <c r="E1243" s="146" t="n">
        <v>0.999855</v>
      </c>
      <c r="F1243" s="179" t="n">
        <v>83050428815</v>
      </c>
      <c r="G1243" s="179" t="n">
        <v>83062503903</v>
      </c>
      <c r="H1243" s="179">
        <f>IFERROR(D1243+G1243,D1243)</f>
        <v/>
      </c>
      <c r="I1243" s="184">
        <f>IFERROR(D1243/H1243,"")</f>
        <v/>
      </c>
      <c r="J1243" s="179" t="n">
        <v>5810596428</v>
      </c>
      <c r="K1243" s="179" t="n">
        <v>11621192855</v>
      </c>
      <c r="L1243" s="179" t="n">
        <v>17431789283</v>
      </c>
    </row>
    <row r="1244" ht="15" customHeight="1" s="95">
      <c r="A1244" s="143" t="n">
        <v>45073</v>
      </c>
      <c r="B1244" s="146" t="n">
        <v>0.999661</v>
      </c>
      <c r="C1244" s="179" t="n">
        <v>29083852842</v>
      </c>
      <c r="D1244" s="179" t="n">
        <v>29093726849</v>
      </c>
      <c r="E1244" s="146" t="n">
        <v>1.000669</v>
      </c>
      <c r="F1244" s="179" t="n">
        <v>83125090385</v>
      </c>
      <c r="G1244" s="179" t="n">
        <v>83069476659</v>
      </c>
      <c r="H1244" s="179">
        <f>IFERROR(D1244+G1244,D1244)</f>
        <v/>
      </c>
      <c r="I1244" s="184">
        <f>IFERROR(D1244/H1244,"")</f>
        <v/>
      </c>
      <c r="J1244" s="179" t="n">
        <v>5818745370</v>
      </c>
      <c r="K1244" s="179" t="n">
        <v>11637490740</v>
      </c>
      <c r="L1244" s="179" t="n">
        <v>17456236109</v>
      </c>
    </row>
    <row r="1245" ht="15" customHeight="1" s="95">
      <c r="A1245" s="143" t="n">
        <v>45074</v>
      </c>
      <c r="B1245" s="146" t="n">
        <v>0.9981989999999999</v>
      </c>
      <c r="C1245" s="179" t="n">
        <v>29022835526</v>
      </c>
      <c r="D1245" s="179" t="n">
        <v>29075198010</v>
      </c>
      <c r="E1245" s="146" t="n">
        <v>1.000147</v>
      </c>
      <c r="F1245" s="179" t="n">
        <v>83115259981</v>
      </c>
      <c r="G1245" s="179" t="n">
        <v>83103005679</v>
      </c>
      <c r="H1245" s="179">
        <f>IFERROR(D1245+G1245,D1245)</f>
        <v/>
      </c>
      <c r="I1245" s="184">
        <f>IFERROR(D1245/H1245,"")</f>
        <v/>
      </c>
      <c r="J1245" s="179" t="n">
        <v>5815039602</v>
      </c>
      <c r="K1245" s="179" t="n">
        <v>11630079204</v>
      </c>
      <c r="L1245" s="179" t="n">
        <v>17445118806</v>
      </c>
    </row>
    <row r="1246" ht="15" customHeight="1" s="95">
      <c r="A1246" s="143" t="n">
        <v>45075</v>
      </c>
      <c r="B1246" s="146" t="n">
        <v>0.999872</v>
      </c>
      <c r="C1246" s="179" t="n">
        <v>29066405755</v>
      </c>
      <c r="D1246" s="179" t="n">
        <v>29070113144</v>
      </c>
      <c r="E1246" s="146" t="n">
        <v>1.000216</v>
      </c>
      <c r="F1246" s="179" t="n">
        <v>83238961008</v>
      </c>
      <c r="G1246" s="179" t="n">
        <v>83221020577</v>
      </c>
      <c r="H1246" s="179">
        <f>IFERROR(D1246+G1246,D1246)</f>
        <v/>
      </c>
      <c r="I1246" s="184">
        <f>IFERROR(D1246/H1246,"")</f>
        <v/>
      </c>
      <c r="J1246" s="179" t="n">
        <v>5814022629</v>
      </c>
      <c r="K1246" s="179" t="n">
        <v>11628045258</v>
      </c>
      <c r="L1246" s="179" t="n">
        <v>17442067886</v>
      </c>
    </row>
    <row r="1247" ht="15" customHeight="1" s="95">
      <c r="A1247" s="143" t="n">
        <v>45076</v>
      </c>
      <c r="B1247" s="146" t="n">
        <v>1.0011</v>
      </c>
      <c r="C1247" s="179" t="n">
        <v>29069645464</v>
      </c>
      <c r="D1247" s="179" t="n">
        <v>29037704150</v>
      </c>
      <c r="E1247" s="146" t="n">
        <v>1.000454</v>
      </c>
      <c r="F1247" s="179" t="n">
        <v>83179557093</v>
      </c>
      <c r="G1247" s="179" t="n">
        <v>83141823696</v>
      </c>
      <c r="H1247" s="179">
        <f>IFERROR(D1247+G1247,D1247)</f>
        <v/>
      </c>
      <c r="I1247" s="184">
        <f>IFERROR(D1247/H1247,"")</f>
        <v/>
      </c>
      <c r="J1247" s="179" t="n">
        <v>5807540830</v>
      </c>
      <c r="K1247" s="179" t="n">
        <v>11615081660</v>
      </c>
      <c r="L1247" s="179" t="n">
        <v>17422622490</v>
      </c>
    </row>
    <row r="1248" ht="15" customHeight="1" s="95">
      <c r="A1248" s="143" t="n">
        <v>45077</v>
      </c>
      <c r="B1248" s="146" t="n">
        <v>0.999733</v>
      </c>
      <c r="C1248" s="179" t="n">
        <v>28960554486</v>
      </c>
      <c r="D1248" s="179" t="n">
        <v>28968280518</v>
      </c>
      <c r="E1248" s="146" t="n">
        <v>1.000277</v>
      </c>
      <c r="F1248" s="179" t="n">
        <v>83178632658</v>
      </c>
      <c r="G1248" s="179" t="n">
        <v>83155608348</v>
      </c>
      <c r="H1248" s="179">
        <f>IFERROR(D1248+G1248,D1248)</f>
        <v/>
      </c>
      <c r="I1248" s="184">
        <f>IFERROR(D1248/H1248,"")</f>
        <v/>
      </c>
      <c r="J1248" s="179" t="n">
        <v>5793656104</v>
      </c>
      <c r="K1248" s="179" t="n">
        <v>11587312207</v>
      </c>
      <c r="L1248" s="179" t="n">
        <v>17380968311</v>
      </c>
    </row>
    <row r="1249" ht="15" customHeight="1" s="95">
      <c r="A1249" s="143" t="n">
        <v>45078</v>
      </c>
      <c r="B1249" s="146" t="n">
        <v>1.000546</v>
      </c>
      <c r="C1249" s="179" t="n">
        <v>28891039554</v>
      </c>
      <c r="D1249" s="179" t="n">
        <v>28875275262</v>
      </c>
      <c r="E1249" s="146" t="n">
        <v>1.000404</v>
      </c>
      <c r="F1249" s="179" t="n">
        <v>83259425002</v>
      </c>
      <c r="G1249" s="179" t="n">
        <v>83225817859</v>
      </c>
      <c r="H1249" s="179">
        <f>IFERROR(D1249+G1249,D1249)</f>
        <v/>
      </c>
      <c r="I1249" s="184">
        <f>IFERROR(D1249/H1249,"")</f>
        <v/>
      </c>
      <c r="J1249" s="179" t="n">
        <v>5775055052</v>
      </c>
      <c r="K1249" s="179" t="n">
        <v>11550110105</v>
      </c>
      <c r="L1249" s="179" t="n">
        <v>17325165157</v>
      </c>
    </row>
    <row r="1250" ht="15" customHeight="1" s="95">
      <c r="A1250" s="143" t="n">
        <v>45079</v>
      </c>
      <c r="B1250" s="146" t="n">
        <v>1.000106</v>
      </c>
      <c r="C1250" s="179" t="n">
        <v>28986656756</v>
      </c>
      <c r="D1250" s="179" t="n">
        <v>28983579584</v>
      </c>
      <c r="E1250" s="146" t="n">
        <v>1.000282</v>
      </c>
      <c r="F1250" s="179" t="n">
        <v>83245325860</v>
      </c>
      <c r="G1250" s="179" t="n">
        <v>83221823157</v>
      </c>
      <c r="H1250" s="179">
        <f>IFERROR(D1250+G1250,D1250)</f>
        <v/>
      </c>
      <c r="I1250" s="184">
        <f>IFERROR(D1250/H1250,"")</f>
        <v/>
      </c>
      <c r="J1250" s="179" t="n">
        <v>5796715917</v>
      </c>
      <c r="K1250" s="179" t="n">
        <v>11593431834</v>
      </c>
      <c r="L1250" s="179" t="n">
        <v>17390147750</v>
      </c>
    </row>
    <row r="1251" ht="15" customHeight="1" s="95">
      <c r="A1251" s="143" t="n">
        <v>45080</v>
      </c>
      <c r="B1251" s="146" t="n">
        <v>0.999678</v>
      </c>
      <c r="C1251" s="179" t="n">
        <v>28901643507</v>
      </c>
      <c r="D1251" s="179" t="n">
        <v>28910940206</v>
      </c>
      <c r="E1251" s="146" t="n">
        <v>1.000377</v>
      </c>
      <c r="F1251" s="179" t="n">
        <v>83185392884</v>
      </c>
      <c r="G1251" s="179" t="n">
        <v>83154079433</v>
      </c>
      <c r="H1251" s="179">
        <f>IFERROR(D1251+G1251,D1251)</f>
        <v/>
      </c>
      <c r="I1251" s="184">
        <f>IFERROR(D1251/H1251,"")</f>
        <v/>
      </c>
      <c r="J1251" s="179" t="n">
        <v>5782188041</v>
      </c>
      <c r="K1251" s="179" t="n">
        <v>11564376082</v>
      </c>
      <c r="L1251" s="179" t="n">
        <v>17346564124</v>
      </c>
    </row>
    <row r="1252" ht="15" customHeight="1" s="95">
      <c r="A1252" s="143" t="n">
        <v>45081</v>
      </c>
      <c r="B1252" s="146" t="n">
        <v>1.000086</v>
      </c>
      <c r="C1252" s="179" t="n">
        <v>28904346978</v>
      </c>
      <c r="D1252" s="179" t="n">
        <v>28901862891</v>
      </c>
      <c r="E1252" s="146" t="n">
        <v>1.000373</v>
      </c>
      <c r="F1252" s="179" t="n">
        <v>83181185644</v>
      </c>
      <c r="G1252" s="179" t="n">
        <v>83150144127</v>
      </c>
      <c r="H1252" s="179">
        <f>IFERROR(D1252+G1252,D1252)</f>
        <v/>
      </c>
      <c r="I1252" s="184">
        <f>IFERROR(D1252/H1252,"")</f>
        <v/>
      </c>
      <c r="J1252" s="179" t="n">
        <v>5780372578</v>
      </c>
      <c r="K1252" s="179" t="n">
        <v>11560745156</v>
      </c>
      <c r="L1252" s="179" t="n">
        <v>17341117735</v>
      </c>
    </row>
    <row r="1253" ht="15" customHeight="1" s="95">
      <c r="A1253" s="143" t="n">
        <v>45082</v>
      </c>
      <c r="B1253" s="146" t="n">
        <v>1.001676</v>
      </c>
      <c r="C1253" s="179" t="n">
        <v>28974952277</v>
      </c>
      <c r="D1253" s="179" t="n">
        <v>28926484536</v>
      </c>
      <c r="E1253" s="146" t="n">
        <v>1.00246</v>
      </c>
      <c r="F1253" s="179" t="n">
        <v>83202873665</v>
      </c>
      <c r="G1253" s="179" t="n">
        <v>82998656280</v>
      </c>
      <c r="H1253" s="179">
        <f>IFERROR(D1253+G1253,D1253)</f>
        <v/>
      </c>
      <c r="I1253" s="184">
        <f>IFERROR(D1253/H1253,"")</f>
        <v/>
      </c>
      <c r="J1253" s="179" t="n">
        <v>5785296907</v>
      </c>
      <c r="K1253" s="179" t="n">
        <v>11570593814</v>
      </c>
      <c r="L1253" s="179" t="n">
        <v>17355890722</v>
      </c>
    </row>
    <row r="1254" ht="15" customHeight="1" s="95">
      <c r="A1254" s="143" t="n">
        <v>45083</v>
      </c>
      <c r="B1254" s="146" t="n">
        <v>1.000457</v>
      </c>
      <c r="C1254" s="179" t="n">
        <v>28799050860</v>
      </c>
      <c r="D1254" s="179" t="n">
        <v>28785896850</v>
      </c>
      <c r="E1254" s="146" t="n">
        <v>1.00146</v>
      </c>
      <c r="F1254" s="179" t="n">
        <v>83214677269</v>
      </c>
      <c r="G1254" s="179" t="n">
        <v>83093368362</v>
      </c>
      <c r="H1254" s="179">
        <f>IFERROR(D1254+G1254,D1254)</f>
        <v/>
      </c>
      <c r="I1254" s="184">
        <f>IFERROR(D1254/H1254,"")</f>
        <v/>
      </c>
      <c r="J1254" s="179" t="n">
        <v>5757179370</v>
      </c>
      <c r="K1254" s="179" t="n">
        <v>11514358740</v>
      </c>
      <c r="L1254" s="179" t="n">
        <v>17271538110</v>
      </c>
    </row>
    <row r="1255" ht="15" customHeight="1" s="95">
      <c r="A1255" s="143" t="n">
        <v>45084</v>
      </c>
      <c r="B1255" s="146" t="n">
        <v>1.000343</v>
      </c>
      <c r="C1255" s="179" t="n">
        <v>28646537274</v>
      </c>
      <c r="D1255" s="179" t="n">
        <v>28636723540</v>
      </c>
      <c r="E1255" s="146" t="n">
        <v>1.000455</v>
      </c>
      <c r="F1255" s="179" t="n">
        <v>83215224249</v>
      </c>
      <c r="G1255" s="179" t="n">
        <v>83177414784</v>
      </c>
      <c r="H1255" s="179">
        <f>IFERROR(D1255+G1255,D1255)</f>
        <v/>
      </c>
      <c r="I1255" s="184">
        <f>IFERROR(D1255/H1255,"")</f>
        <v/>
      </c>
      <c r="J1255" s="179" t="n">
        <v>5727344708</v>
      </c>
      <c r="K1255" s="179" t="n">
        <v>11454689416</v>
      </c>
      <c r="L1255" s="179" t="n">
        <v>17182034124</v>
      </c>
    </row>
    <row r="1256" ht="15" customHeight="1" s="95">
      <c r="A1256" s="143" t="n">
        <v>45085</v>
      </c>
      <c r="B1256" s="146" t="n">
        <v>0.9998010000000001</v>
      </c>
      <c r="C1256" s="179" t="n">
        <v>28513773615</v>
      </c>
      <c r="D1256" s="179" t="n">
        <v>28519449278</v>
      </c>
      <c r="E1256" s="146" t="n">
        <v>0.999849</v>
      </c>
      <c r="F1256" s="179" t="n">
        <v>83294694375</v>
      </c>
      <c r="G1256" s="179" t="n">
        <v>83307315279</v>
      </c>
      <c r="H1256" s="179">
        <f>IFERROR(D1256+G1256,D1256)</f>
        <v/>
      </c>
      <c r="I1256" s="184">
        <f>IFERROR(D1256/H1256,"")</f>
        <v/>
      </c>
      <c r="J1256" s="179" t="n">
        <v>5703889856</v>
      </c>
      <c r="K1256" s="179" t="n">
        <v>11407779711</v>
      </c>
      <c r="L1256" s="179" t="n">
        <v>17111669567</v>
      </c>
    </row>
    <row r="1257" ht="15" customHeight="1" s="95">
      <c r="A1257" s="143" t="n">
        <v>45086</v>
      </c>
      <c r="B1257" s="146" t="n">
        <v>0.999304</v>
      </c>
      <c r="C1257" s="179" t="n">
        <v>28430725357</v>
      </c>
      <c r="D1257" s="179" t="n">
        <v>28450514776</v>
      </c>
      <c r="E1257" s="146" t="n">
        <v>0.999803</v>
      </c>
      <c r="F1257" s="179" t="n">
        <v>83314341457</v>
      </c>
      <c r="G1257" s="179" t="n">
        <v>83330743343</v>
      </c>
      <c r="H1257" s="179">
        <f>IFERROR(D1257+G1257,D1257)</f>
        <v/>
      </c>
      <c r="I1257" s="184">
        <f>IFERROR(D1257/H1257,"")</f>
        <v/>
      </c>
      <c r="J1257" s="179" t="n">
        <v>5690102955</v>
      </c>
      <c r="K1257" s="179" t="n">
        <v>11380205910</v>
      </c>
      <c r="L1257" s="179" t="n">
        <v>17070308866</v>
      </c>
    </row>
    <row r="1258" ht="15" customHeight="1" s="95">
      <c r="A1258" s="143" t="n">
        <v>45087</v>
      </c>
      <c r="B1258" s="146" t="n">
        <v>0.999937</v>
      </c>
      <c r="C1258" s="179" t="n">
        <v>28327046011</v>
      </c>
      <c r="D1258" s="179" t="n">
        <v>28328838230</v>
      </c>
      <c r="E1258" s="146" t="n">
        <v>0.999935</v>
      </c>
      <c r="F1258" s="179" t="n">
        <v>83340103621</v>
      </c>
      <c r="G1258" s="179" t="n">
        <v>83345490513</v>
      </c>
      <c r="H1258" s="179">
        <f>IFERROR(D1258+G1258,D1258)</f>
        <v/>
      </c>
      <c r="I1258" s="184">
        <f>IFERROR(D1258/H1258,"")</f>
        <v/>
      </c>
      <c r="J1258" s="179" t="n">
        <v>5665767646</v>
      </c>
      <c r="K1258" s="179" t="n">
        <v>11331535292</v>
      </c>
      <c r="L1258" s="179" t="n">
        <v>16997302938</v>
      </c>
    </row>
    <row r="1259" ht="15" customHeight="1" s="95">
      <c r="A1259" s="143" t="n">
        <v>45088</v>
      </c>
      <c r="B1259" s="146" t="n">
        <v>0.999798</v>
      </c>
      <c r="C1259" s="179" t="n">
        <v>28357858207</v>
      </c>
      <c r="D1259" s="179" t="n">
        <v>28363596909</v>
      </c>
      <c r="E1259" s="146" t="n">
        <v>1.000543</v>
      </c>
      <c r="F1259" s="179" t="n">
        <v>83392178490</v>
      </c>
      <c r="G1259" s="179" t="n">
        <v>83346957174</v>
      </c>
      <c r="H1259" s="179">
        <f>IFERROR(D1259+G1259,D1259)</f>
        <v/>
      </c>
      <c r="I1259" s="184">
        <f>IFERROR(D1259/H1259,"")</f>
        <v/>
      </c>
      <c r="J1259" s="179" t="n">
        <v>5672719382</v>
      </c>
      <c r="K1259" s="179" t="n">
        <v>11345438764</v>
      </c>
      <c r="L1259" s="179" t="n">
        <v>17018158145</v>
      </c>
    </row>
    <row r="1260" ht="15" customHeight="1" s="95">
      <c r="A1260" s="143" t="n">
        <v>45089</v>
      </c>
      <c r="B1260" s="146" t="n">
        <v>1.000203</v>
      </c>
      <c r="C1260" s="179" t="n">
        <v>28383743133</v>
      </c>
      <c r="D1260" s="179" t="n">
        <v>28377990045</v>
      </c>
      <c r="E1260" s="146" t="n">
        <v>1.000549</v>
      </c>
      <c r="F1260" s="179" t="n">
        <v>83421999682</v>
      </c>
      <c r="G1260" s="179" t="n">
        <v>83376239620</v>
      </c>
      <c r="H1260" s="179">
        <f>IFERROR(D1260+G1260,D1260)</f>
        <v/>
      </c>
      <c r="I1260" s="184">
        <f>IFERROR(D1260/H1260,"")</f>
        <v/>
      </c>
      <c r="J1260" s="179" t="n">
        <v>5675598009</v>
      </c>
      <c r="K1260" s="179" t="n">
        <v>11351196018</v>
      </c>
      <c r="L1260" s="179" t="n">
        <v>17026794027</v>
      </c>
    </row>
    <row r="1261" ht="15" customHeight="1" s="95">
      <c r="A1261" s="143" t="n">
        <v>45090</v>
      </c>
      <c r="B1261" s="146" t="n">
        <v>1.000355</v>
      </c>
      <c r="C1261" s="179" t="n">
        <v>28303353138</v>
      </c>
      <c r="D1261" s="179" t="n">
        <v>28293309301</v>
      </c>
      <c r="E1261" s="146" t="n">
        <v>1.000362</v>
      </c>
      <c r="F1261" s="179" t="n">
        <v>83412876219</v>
      </c>
      <c r="G1261" s="179" t="n">
        <v>83382704030</v>
      </c>
      <c r="H1261" s="179">
        <f>IFERROR(D1261+G1261,D1261)</f>
        <v/>
      </c>
      <c r="I1261" s="184">
        <f>IFERROR(D1261/H1261,"")</f>
        <v/>
      </c>
      <c r="J1261" s="179" t="n">
        <v>5658661860</v>
      </c>
      <c r="K1261" s="179" t="n">
        <v>11317323720</v>
      </c>
      <c r="L1261" s="179" t="n">
        <v>16975985581</v>
      </c>
    </row>
    <row r="1262" ht="15" customHeight="1" s="95">
      <c r="A1262" s="143" t="n">
        <v>45091</v>
      </c>
      <c r="B1262" s="146" t="n">
        <v>1.000431</v>
      </c>
      <c r="C1262" s="179" t="n">
        <v>28178562862</v>
      </c>
      <c r="D1262" s="179" t="n">
        <v>28166429789</v>
      </c>
      <c r="E1262" s="146" t="n">
        <v>0.999</v>
      </c>
      <c r="F1262" s="179" t="n">
        <v>83477452867</v>
      </c>
      <c r="G1262" s="179" t="n">
        <v>83561021988</v>
      </c>
      <c r="H1262" s="179">
        <f>IFERROR(D1262+G1262,D1262)</f>
        <v/>
      </c>
      <c r="I1262" s="184">
        <f>IFERROR(D1262/H1262,"")</f>
        <v/>
      </c>
      <c r="J1262" s="179" t="n">
        <v>5633285958</v>
      </c>
      <c r="K1262" s="179" t="n">
        <v>11266571916</v>
      </c>
      <c r="L1262" s="179" t="n">
        <v>16899857873</v>
      </c>
    </row>
    <row r="1263" ht="15" customHeight="1" s="95">
      <c r="A1263" s="143" t="n">
        <v>45092</v>
      </c>
      <c r="B1263" s="146" t="n">
        <v>0.999347</v>
      </c>
      <c r="C1263" s="179" t="n">
        <v>28095230727</v>
      </c>
      <c r="D1263" s="179" t="n">
        <v>28113574891</v>
      </c>
      <c r="E1263" s="146" t="n">
        <v>0.999058</v>
      </c>
      <c r="F1263" s="179" t="n">
        <v>83520295613</v>
      </c>
      <c r="G1263" s="179" t="n">
        <v>83599084111</v>
      </c>
      <c r="H1263" s="179">
        <f>IFERROR(D1263+G1263,D1263)</f>
        <v/>
      </c>
      <c r="I1263" s="184">
        <f>IFERROR(D1263/H1263,"")</f>
        <v/>
      </c>
      <c r="J1263" s="179" t="n">
        <v>5622714978</v>
      </c>
      <c r="K1263" s="179" t="n">
        <v>11245429956</v>
      </c>
      <c r="L1263" s="179" t="n">
        <v>16868144935</v>
      </c>
    </row>
    <row r="1264" ht="15" customHeight="1" s="95">
      <c r="A1264" s="143" t="n">
        <v>45093</v>
      </c>
      <c r="B1264" s="146" t="n">
        <v>1.000089</v>
      </c>
      <c r="C1264" s="179" t="n">
        <v>28219492680</v>
      </c>
      <c r="D1264" s="179" t="n">
        <v>28216976082</v>
      </c>
      <c r="E1264" s="146" t="n">
        <v>0.999088</v>
      </c>
      <c r="F1264" s="179" t="n">
        <v>83531769676</v>
      </c>
      <c r="G1264" s="179" t="n">
        <v>83607987640</v>
      </c>
      <c r="H1264" s="179">
        <f>IFERROR(D1264+G1264,D1264)</f>
        <v/>
      </c>
      <c r="I1264" s="184">
        <f>IFERROR(D1264/H1264,"")</f>
        <v/>
      </c>
      <c r="J1264" s="179" t="n">
        <v>5643395216</v>
      </c>
      <c r="K1264" s="179" t="n">
        <v>11286790433</v>
      </c>
      <c r="L1264" s="179" t="n">
        <v>16930185649</v>
      </c>
    </row>
    <row r="1265" ht="15" customHeight="1" s="95">
      <c r="A1265" s="143" t="n">
        <v>45094</v>
      </c>
      <c r="B1265" s="146" t="n">
        <v>0.999759</v>
      </c>
      <c r="C1265" s="179" t="n">
        <v>28340122293</v>
      </c>
      <c r="D1265" s="179" t="n">
        <v>28346964569</v>
      </c>
      <c r="E1265" s="146" t="n">
        <v>0.999366</v>
      </c>
      <c r="F1265" s="179" t="n">
        <v>83512114862</v>
      </c>
      <c r="G1265" s="179" t="n">
        <v>83565135370</v>
      </c>
      <c r="H1265" s="179">
        <f>IFERROR(D1265+G1265,D1265)</f>
        <v/>
      </c>
      <c r="I1265" s="184">
        <f>IFERROR(D1265/H1265,"")</f>
        <v/>
      </c>
      <c r="J1265" s="179" t="n">
        <v>5669392914</v>
      </c>
      <c r="K1265" s="179" t="n">
        <v>11338785828</v>
      </c>
      <c r="L1265" s="179" t="n">
        <v>17008178741</v>
      </c>
    </row>
    <row r="1266" ht="15" customHeight="1" s="95">
      <c r="A1266" s="143" t="n">
        <v>45095</v>
      </c>
      <c r="B1266" s="146" t="n">
        <v>0.999417</v>
      </c>
      <c r="C1266" s="179" t="n">
        <v>28337781547</v>
      </c>
      <c r="D1266" s="179" t="n">
        <v>28354305900</v>
      </c>
      <c r="E1266" s="146" t="n">
        <v>0.998907</v>
      </c>
      <c r="F1266" s="179" t="n">
        <v>83510630760</v>
      </c>
      <c r="G1266" s="179" t="n">
        <v>83602003778</v>
      </c>
      <c r="H1266" s="179">
        <f>IFERROR(D1266+G1266,D1266)</f>
        <v/>
      </c>
      <c r="I1266" s="184">
        <f>IFERROR(D1266/H1266,"")</f>
        <v/>
      </c>
      <c r="J1266" s="179" t="n">
        <v>5670861180</v>
      </c>
      <c r="K1266" s="179" t="n">
        <v>11341722360</v>
      </c>
      <c r="L1266" s="179" t="n">
        <v>17012583540</v>
      </c>
    </row>
    <row r="1267" ht="15" customHeight="1" s="95">
      <c r="A1267" s="143" t="n">
        <v>45096</v>
      </c>
      <c r="B1267" s="146" t="n">
        <v>0.999524</v>
      </c>
      <c r="C1267" s="179" t="n">
        <v>28345755930</v>
      </c>
      <c r="D1267" s="179" t="n">
        <v>28359254596</v>
      </c>
      <c r="E1267" s="146" t="n">
        <v>0.999607</v>
      </c>
      <c r="F1267" s="179" t="n">
        <v>83130615716</v>
      </c>
      <c r="G1267" s="179" t="n">
        <v>83163266782</v>
      </c>
      <c r="H1267" s="179">
        <f>IFERROR(D1267+G1267,D1267)</f>
        <v/>
      </c>
      <c r="I1267" s="184">
        <f>IFERROR(D1267/H1267,"")</f>
        <v/>
      </c>
      <c r="J1267" s="179" t="n">
        <v>5671850919</v>
      </c>
      <c r="K1267" s="179" t="n">
        <v>11343701838</v>
      </c>
      <c r="L1267" s="179" t="n">
        <v>17015552758</v>
      </c>
    </row>
    <row r="1268" ht="15" customHeight="1" s="95">
      <c r="A1268" s="143" t="n">
        <v>45097</v>
      </c>
      <c r="B1268" s="146" t="n">
        <v>1.000327</v>
      </c>
      <c r="C1268" s="179" t="n">
        <v>28459798311</v>
      </c>
      <c r="D1268" s="179" t="n">
        <v>28450507070</v>
      </c>
      <c r="E1268" s="146" t="n">
        <v>1.000119</v>
      </c>
      <c r="F1268" s="179" t="n">
        <v>83176269486</v>
      </c>
      <c r="G1268" s="179" t="n">
        <v>83166392127</v>
      </c>
      <c r="H1268" s="179">
        <f>IFERROR(D1268+G1268,D1268)</f>
        <v/>
      </c>
      <c r="I1268" s="184">
        <f>IFERROR(D1268/H1268,"")</f>
        <v/>
      </c>
      <c r="J1268" s="179" t="n">
        <v>5690101414</v>
      </c>
      <c r="K1268" s="179" t="n">
        <v>11380202828</v>
      </c>
      <c r="L1268" s="179" t="n">
        <v>17070304242</v>
      </c>
    </row>
    <row r="1269" ht="15" customHeight="1" s="95">
      <c r="A1269" s="143" t="n">
        <v>45098</v>
      </c>
      <c r="B1269" s="146" t="n">
        <v>0.999767</v>
      </c>
      <c r="C1269" s="179" t="n">
        <v>28523107198</v>
      </c>
      <c r="D1269" s="179" t="n">
        <v>28529761288</v>
      </c>
      <c r="E1269" s="146" t="n">
        <v>0.999061</v>
      </c>
      <c r="F1269" s="179" t="n">
        <v>83135121982</v>
      </c>
      <c r="G1269" s="179" t="n">
        <v>83213298715</v>
      </c>
      <c r="H1269" s="179">
        <f>IFERROR(D1269+G1269,D1269)</f>
        <v/>
      </c>
      <c r="I1269" s="184">
        <f>IFERROR(D1269/H1269,"")</f>
        <v/>
      </c>
      <c r="J1269" s="179" t="n">
        <v>5705952258</v>
      </c>
      <c r="K1269" s="179" t="n">
        <v>11411904515</v>
      </c>
      <c r="L1269" s="179" t="n">
        <v>17117856773</v>
      </c>
    </row>
    <row r="1270" ht="15" customHeight="1" s="95">
      <c r="A1270" s="143" t="n">
        <v>45099</v>
      </c>
      <c r="B1270" s="146" t="n">
        <v>0.9996350000000001</v>
      </c>
      <c r="C1270" s="179" t="n">
        <v>28460264104</v>
      </c>
      <c r="D1270" s="179" t="n">
        <v>28470648062</v>
      </c>
      <c r="E1270" s="146" t="n">
        <v>1.000841</v>
      </c>
      <c r="F1270" s="179" t="n">
        <v>83170086674</v>
      </c>
      <c r="G1270" s="179" t="n">
        <v>83100159486</v>
      </c>
      <c r="H1270" s="179">
        <f>IFERROR(D1270+G1270,D1270)</f>
        <v/>
      </c>
      <c r="I1270" s="184">
        <f>IFERROR(D1270/H1270,"")</f>
        <v/>
      </c>
      <c r="J1270" s="179" t="n">
        <v>5694129612</v>
      </c>
      <c r="K1270" s="179" t="n">
        <v>11388259225</v>
      </c>
      <c r="L1270" s="179" t="n">
        <v>17082388837</v>
      </c>
    </row>
    <row r="1271" ht="15" customHeight="1" s="95">
      <c r="A1271" s="143" t="n">
        <v>45100</v>
      </c>
      <c r="B1271" s="146" t="n">
        <v>0.9998050000000001</v>
      </c>
      <c r="C1271" s="179" t="n">
        <v>28483323820</v>
      </c>
      <c r="D1271" s="179" t="n">
        <v>28488874797</v>
      </c>
      <c r="E1271" s="146" t="n">
        <v>1.000856</v>
      </c>
      <c r="F1271" s="179" t="n">
        <v>83172721039</v>
      </c>
      <c r="G1271" s="179" t="n">
        <v>83101588602</v>
      </c>
      <c r="H1271" s="179">
        <f>IFERROR(D1271+G1271,D1271)</f>
        <v/>
      </c>
      <c r="I1271" s="184">
        <f>IFERROR(D1271/H1271,"")</f>
        <v/>
      </c>
      <c r="J1271" s="179" t="n">
        <v>5697774959</v>
      </c>
      <c r="K1271" s="179" t="n">
        <v>11395549919</v>
      </c>
      <c r="L1271" s="179" t="n">
        <v>17093324878</v>
      </c>
    </row>
    <row r="1272" ht="15" customHeight="1" s="95">
      <c r="A1272" s="143" t="n">
        <v>45101</v>
      </c>
      <c r="B1272" s="146" t="n">
        <v>1.000134</v>
      </c>
      <c r="C1272" s="179" t="n">
        <v>28467230856</v>
      </c>
      <c r="D1272" s="179" t="n">
        <v>28463410044</v>
      </c>
      <c r="E1272" s="146" t="n">
        <v>1.000699</v>
      </c>
      <c r="F1272" s="179" t="n">
        <v>83349230026</v>
      </c>
      <c r="G1272" s="179" t="n">
        <v>83291015758</v>
      </c>
      <c r="H1272" s="179">
        <f>IFERROR(D1272+G1272,D1272)</f>
        <v/>
      </c>
      <c r="I1272" s="184">
        <f>IFERROR(D1272/H1272,"")</f>
        <v/>
      </c>
      <c r="J1272" s="179" t="n">
        <v>5692682009</v>
      </c>
      <c r="K1272" s="179" t="n">
        <v>11385364018</v>
      </c>
      <c r="L1272" s="179" t="n">
        <v>17078046026</v>
      </c>
    </row>
    <row r="1273" ht="15" customHeight="1" s="95">
      <c r="A1273" s="143" t="n">
        <v>45102</v>
      </c>
      <c r="B1273" s="146" t="n">
        <v>1.000057</v>
      </c>
      <c r="C1273" s="179" t="n">
        <v>28474568747</v>
      </c>
      <c r="D1273" s="179" t="n">
        <v>28472956618</v>
      </c>
      <c r="E1273" s="146" t="n">
        <v>1.000873</v>
      </c>
      <c r="F1273" s="179" t="n">
        <v>83310443944</v>
      </c>
      <c r="G1273" s="179" t="n">
        <v>83237804557</v>
      </c>
      <c r="H1273" s="179">
        <f>IFERROR(D1273+G1273,D1273)</f>
        <v/>
      </c>
      <c r="I1273" s="184">
        <f>IFERROR(D1273/H1273,"")</f>
        <v/>
      </c>
      <c r="J1273" s="179" t="n">
        <v>5694591324</v>
      </c>
      <c r="K1273" s="179" t="n">
        <v>11389182647</v>
      </c>
      <c r="L1273" s="179" t="n">
        <v>17083773971</v>
      </c>
    </row>
    <row r="1274" ht="15" customHeight="1" s="95">
      <c r="A1274" s="143" t="n">
        <v>45103</v>
      </c>
      <c r="B1274" s="146" t="n">
        <v>0.999369</v>
      </c>
      <c r="C1274" s="179" t="n">
        <v>28458880892</v>
      </c>
      <c r="D1274" s="179" t="n">
        <v>28476845926</v>
      </c>
      <c r="E1274" s="146" t="n">
        <v>0.9997</v>
      </c>
      <c r="F1274" s="179" t="n">
        <v>83241756372</v>
      </c>
      <c r="G1274" s="179" t="n">
        <v>83266743725</v>
      </c>
      <c r="H1274" s="179">
        <f>IFERROR(D1274+G1274,D1274)</f>
        <v/>
      </c>
      <c r="I1274" s="184">
        <f>IFERROR(D1274/H1274,"")</f>
        <v/>
      </c>
      <c r="J1274" s="179" t="n">
        <v>5695369185</v>
      </c>
      <c r="K1274" s="179" t="n">
        <v>11390738370</v>
      </c>
      <c r="L1274" s="179" t="n">
        <v>17086107556</v>
      </c>
    </row>
    <row r="1275" ht="15" customHeight="1" s="95">
      <c r="A1275" s="143" t="n">
        <v>45104</v>
      </c>
      <c r="B1275" s="146" t="n">
        <v>1.00139</v>
      </c>
      <c r="C1275" s="179" t="n">
        <v>28371551696</v>
      </c>
      <c r="D1275" s="179" t="n">
        <v>28332164084</v>
      </c>
      <c r="E1275" s="146" t="n">
        <v>1.00025</v>
      </c>
      <c r="F1275" s="179" t="n">
        <v>83129801763</v>
      </c>
      <c r="G1275" s="179" t="n">
        <v>83109016864</v>
      </c>
      <c r="H1275" s="179">
        <f>IFERROR(D1275+G1275,D1275)</f>
        <v/>
      </c>
      <c r="I1275" s="184">
        <f>IFERROR(D1275/H1275,"")</f>
        <v/>
      </c>
      <c r="J1275" s="179" t="n">
        <v>5666432817</v>
      </c>
      <c r="K1275" s="179" t="n">
        <v>11332865634</v>
      </c>
      <c r="L1275" s="179" t="n">
        <v>16999298450</v>
      </c>
    </row>
    <row r="1276" ht="15" customHeight="1" s="95">
      <c r="A1276" s="143" t="n">
        <v>45105</v>
      </c>
      <c r="B1276" s="146" t="n">
        <v>0.999739</v>
      </c>
      <c r="C1276" s="179" t="n">
        <v>28225577858</v>
      </c>
      <c r="D1276" s="179" t="n">
        <v>28232947740</v>
      </c>
      <c r="E1276" s="146" t="n">
        <v>0.99982</v>
      </c>
      <c r="F1276" s="179" t="n">
        <v>83283881739</v>
      </c>
      <c r="G1276" s="179" t="n">
        <v>83298858222</v>
      </c>
      <c r="H1276" s="179">
        <f>IFERROR(D1276+G1276,D1276)</f>
        <v/>
      </c>
      <c r="I1276" s="184">
        <f>IFERROR(D1276/H1276,"")</f>
        <v/>
      </c>
      <c r="J1276" s="179" t="n">
        <v>5646589548</v>
      </c>
      <c r="K1276" s="179" t="n">
        <v>11293179096</v>
      </c>
      <c r="L1276" s="179" t="n">
        <v>16939768644</v>
      </c>
    </row>
    <row r="1277" ht="15" customHeight="1" s="95">
      <c r="A1277" s="143" t="n">
        <v>45106</v>
      </c>
      <c r="B1277" s="146" t="n">
        <v>0.999633</v>
      </c>
      <c r="C1277" s="179" t="n">
        <v>28123528987</v>
      </c>
      <c r="D1277" s="179" t="n">
        <v>28133847662</v>
      </c>
      <c r="E1277" s="146" t="n">
        <v>0.999451</v>
      </c>
      <c r="F1277" s="179" t="n">
        <v>83317728409</v>
      </c>
      <c r="G1277" s="179" t="n">
        <v>83363526363</v>
      </c>
      <c r="H1277" s="179">
        <f>IFERROR(D1277+G1277,D1277)</f>
        <v/>
      </c>
      <c r="I1277" s="184">
        <f>IFERROR(D1277/H1277,"")</f>
        <v/>
      </c>
      <c r="J1277" s="179" t="n">
        <v>5626769532</v>
      </c>
      <c r="K1277" s="179" t="n">
        <v>11253539065</v>
      </c>
      <c r="L1277" s="179" t="n">
        <v>16880308597</v>
      </c>
    </row>
    <row r="1278" ht="15" customHeight="1" s="95">
      <c r="A1278" s="143" t="n">
        <v>45107</v>
      </c>
      <c r="B1278" s="146" t="n">
        <v>0.999752</v>
      </c>
      <c r="C1278" s="179" t="n">
        <v>27953686257</v>
      </c>
      <c r="D1278" s="179" t="n">
        <v>27960631968</v>
      </c>
      <c r="E1278" s="146" t="n">
        <v>1.000383</v>
      </c>
      <c r="F1278" s="179" t="n">
        <v>83395956301</v>
      </c>
      <c r="G1278" s="179" t="n">
        <v>83364001077</v>
      </c>
      <c r="H1278" s="179">
        <f>IFERROR(D1278+G1278,D1278)</f>
        <v/>
      </c>
      <c r="I1278" s="184">
        <f>IFERROR(D1278/H1278,"")</f>
        <v/>
      </c>
      <c r="J1278" s="179" t="n">
        <v>5592126394</v>
      </c>
      <c r="K1278" s="179" t="n">
        <v>11184252787</v>
      </c>
      <c r="L1278" s="179" t="n">
        <v>16776379181</v>
      </c>
    </row>
    <row r="1279" ht="15" customHeight="1" s="95">
      <c r="A1279" s="143" t="n">
        <v>45108</v>
      </c>
      <c r="B1279" s="146" t="n">
        <v>1.000428</v>
      </c>
      <c r="C1279" s="179" t="n">
        <v>27367221915</v>
      </c>
      <c r="D1279" s="179" t="n">
        <v>27355520412</v>
      </c>
      <c r="E1279" s="146" t="n">
        <v>0.999596</v>
      </c>
      <c r="F1279" s="179" t="n">
        <v>83284621552</v>
      </c>
      <c r="G1279" s="179" t="n">
        <v>83318244375</v>
      </c>
      <c r="H1279" s="179">
        <f>IFERROR(D1279+G1279,D1279)</f>
        <v/>
      </c>
      <c r="I1279" s="184">
        <f>IFERROR(D1279/H1279,"")</f>
        <v/>
      </c>
      <c r="J1279" s="179" t="n">
        <v>5471104082</v>
      </c>
      <c r="K1279" s="179" t="n">
        <v>10942208165</v>
      </c>
      <c r="L1279" s="179" t="n">
        <v>16413312247</v>
      </c>
    </row>
    <row r="1280" ht="15" customHeight="1" s="95">
      <c r="A1280" s="143" t="n">
        <v>45109</v>
      </c>
      <c r="B1280" s="146" t="n">
        <v>0.99992</v>
      </c>
      <c r="C1280" s="179" t="n">
        <v>27391541347</v>
      </c>
      <c r="D1280" s="179" t="n">
        <v>27393719263</v>
      </c>
      <c r="E1280" s="146" t="n">
        <v>1.000183</v>
      </c>
      <c r="F1280" s="179" t="n">
        <v>83335613301</v>
      </c>
      <c r="G1280" s="179" t="n">
        <v>83320328136</v>
      </c>
      <c r="H1280" s="179">
        <f>IFERROR(D1280+G1280,D1280)</f>
        <v/>
      </c>
      <c r="I1280" s="184">
        <f>IFERROR(D1280/H1280,"")</f>
        <v/>
      </c>
      <c r="J1280" s="179" t="n">
        <v>5478743853</v>
      </c>
      <c r="K1280" s="179" t="n">
        <v>10957487705</v>
      </c>
      <c r="L1280" s="179" t="n">
        <v>16436231558</v>
      </c>
    </row>
    <row r="1281" ht="15" customHeight="1" s="95">
      <c r="A1281" s="143" t="n">
        <v>45110</v>
      </c>
      <c r="B1281" s="146" t="n">
        <v>0.9997779999999999</v>
      </c>
      <c r="C1281" s="179" t="n">
        <v>27389450379</v>
      </c>
      <c r="D1281" s="179" t="n">
        <v>27395535836</v>
      </c>
      <c r="E1281" s="146" t="n">
        <v>0.999019</v>
      </c>
      <c r="F1281" s="179" t="n">
        <v>83275413162</v>
      </c>
      <c r="G1281" s="179" t="n">
        <v>83357175991</v>
      </c>
      <c r="H1281" s="179">
        <f>IFERROR(D1281+G1281,D1281)</f>
        <v/>
      </c>
      <c r="I1281" s="184">
        <f>IFERROR(D1281/H1281,"")</f>
        <v/>
      </c>
      <c r="J1281" s="179" t="n">
        <v>5479107167</v>
      </c>
      <c r="K1281" s="179" t="n">
        <v>10958214334</v>
      </c>
      <c r="L1281" s="179" t="n">
        <v>16437321502</v>
      </c>
    </row>
    <row r="1282" ht="15" customHeight="1" s="95">
      <c r="A1282" s="143" t="n">
        <v>45111</v>
      </c>
      <c r="B1282" s="146" t="n">
        <v>0.999672</v>
      </c>
      <c r="C1282" s="179" t="n">
        <v>27689207015</v>
      </c>
      <c r="D1282" s="179" t="n">
        <v>27698290176</v>
      </c>
      <c r="E1282" s="146" t="n">
        <v>0.999796</v>
      </c>
      <c r="F1282" s="179" t="n">
        <v>83340559709</v>
      </c>
      <c r="G1282" s="179" t="n">
        <v>83357598665</v>
      </c>
      <c r="H1282" s="179">
        <f>IFERROR(D1282+G1282,D1282)</f>
        <v/>
      </c>
      <c r="I1282" s="184">
        <f>IFERROR(D1282/H1282,"")</f>
        <v/>
      </c>
      <c r="J1282" s="179" t="n">
        <v>5539658035</v>
      </c>
      <c r="K1282" s="179" t="n">
        <v>11079316070</v>
      </c>
      <c r="L1282" s="179" t="n">
        <v>16618974106</v>
      </c>
    </row>
    <row r="1283" ht="15" customHeight="1" s="95">
      <c r="A1283" s="143" t="n">
        <v>45112</v>
      </c>
      <c r="B1283" s="146" t="n">
        <v>1.000177</v>
      </c>
      <c r="C1283" s="179" t="n">
        <v>27754724322</v>
      </c>
      <c r="D1283" s="179" t="n">
        <v>27749823052</v>
      </c>
      <c r="E1283" s="146" t="n">
        <v>0.999939</v>
      </c>
      <c r="F1283" s="179" t="n">
        <v>83379982352</v>
      </c>
      <c r="G1283" s="179" t="n">
        <v>83385108640</v>
      </c>
      <c r="H1283" s="179">
        <f>IFERROR(D1283+G1283,D1283)</f>
        <v/>
      </c>
      <c r="I1283" s="184">
        <f>IFERROR(D1283/H1283,"")</f>
        <v/>
      </c>
      <c r="J1283" s="179" t="n">
        <v>5549964610</v>
      </c>
      <c r="K1283" s="179" t="n">
        <v>11099929221</v>
      </c>
      <c r="L1283" s="179" t="n">
        <v>16649893831</v>
      </c>
    </row>
    <row r="1284" ht="15" customHeight="1" s="95">
      <c r="A1284" s="143" t="n">
        <v>45113</v>
      </c>
      <c r="B1284" s="146" t="n">
        <v>0.999402</v>
      </c>
      <c r="C1284" s="179" t="n">
        <v>27662665651</v>
      </c>
      <c r="D1284" s="179" t="n">
        <v>27679219319</v>
      </c>
      <c r="E1284" s="146" t="n">
        <v>0.999232</v>
      </c>
      <c r="F1284" s="179" t="n">
        <v>83318318450</v>
      </c>
      <c r="G1284" s="179" t="n">
        <v>83382321138</v>
      </c>
      <c r="H1284" s="179">
        <f>IFERROR(D1284+G1284,D1284)</f>
        <v/>
      </c>
      <c r="I1284" s="184">
        <f>IFERROR(D1284/H1284,"")</f>
        <v/>
      </c>
      <c r="J1284" s="179" t="n">
        <v>5535843864</v>
      </c>
      <c r="K1284" s="179" t="n">
        <v>11071687728</v>
      </c>
      <c r="L1284" s="179" t="n">
        <v>16607531591</v>
      </c>
    </row>
    <row r="1285" ht="15" customHeight="1" s="95">
      <c r="A1285" s="143" t="n">
        <v>45114</v>
      </c>
      <c r="B1285" s="146" t="n">
        <v>0.999822</v>
      </c>
      <c r="C1285" s="179" t="n">
        <v>27577560159</v>
      </c>
      <c r="D1285" s="179" t="n">
        <v>27582477665</v>
      </c>
      <c r="E1285" s="146" t="n">
        <v>0.999999</v>
      </c>
      <c r="F1285" s="179" t="n">
        <v>83485321161</v>
      </c>
      <c r="G1285" s="179" t="n">
        <v>83485392718</v>
      </c>
      <c r="H1285" s="179">
        <f>IFERROR(D1285+G1285,D1285)</f>
        <v/>
      </c>
      <c r="I1285" s="184">
        <f>IFERROR(D1285/H1285,"")</f>
        <v/>
      </c>
      <c r="J1285" s="179" t="n">
        <v>5516495533</v>
      </c>
      <c r="K1285" s="179" t="n">
        <v>11032991066</v>
      </c>
      <c r="L1285" s="179" t="n">
        <v>16549486599</v>
      </c>
    </row>
    <row r="1286" ht="15" customHeight="1" s="95">
      <c r="A1286" s="143" t="n">
        <v>45115</v>
      </c>
      <c r="B1286" s="146" t="n">
        <v>0.999623</v>
      </c>
      <c r="C1286" s="179" t="n">
        <v>27490882353</v>
      </c>
      <c r="D1286" s="179" t="n">
        <v>27501259205</v>
      </c>
      <c r="E1286" s="146" t="n">
        <v>1.000122</v>
      </c>
      <c r="F1286" s="179" t="n">
        <v>83361580540</v>
      </c>
      <c r="G1286" s="179" t="n">
        <v>83351390271</v>
      </c>
      <c r="H1286" s="179">
        <f>IFERROR(D1286+G1286,D1286)</f>
        <v/>
      </c>
      <c r="I1286" s="184">
        <f>IFERROR(D1286/H1286,"")</f>
        <v/>
      </c>
      <c r="J1286" s="179" t="n">
        <v>5500251841</v>
      </c>
      <c r="K1286" s="179" t="n">
        <v>11000503682</v>
      </c>
      <c r="L1286" s="179" t="n">
        <v>16500755523</v>
      </c>
    </row>
    <row r="1287" ht="15" customHeight="1" s="95">
      <c r="A1287" s="143" t="n">
        <v>45116</v>
      </c>
      <c r="B1287" s="146" t="n">
        <v>1.000804</v>
      </c>
      <c r="C1287" s="179" t="n">
        <v>27520618446</v>
      </c>
      <c r="D1287" s="179" t="n">
        <v>27498504356</v>
      </c>
      <c r="E1287" s="146" t="n">
        <v>1.000242</v>
      </c>
      <c r="F1287" s="179" t="n">
        <v>83400094970</v>
      </c>
      <c r="G1287" s="179" t="n">
        <v>83379893160</v>
      </c>
      <c r="H1287" s="179">
        <f>IFERROR(D1287+G1287,D1287)</f>
        <v/>
      </c>
      <c r="I1287" s="184">
        <f>IFERROR(D1287/H1287,"")</f>
        <v/>
      </c>
      <c r="J1287" s="179" t="n">
        <v>5499700871</v>
      </c>
      <c r="K1287" s="179" t="n">
        <v>10999401742</v>
      </c>
      <c r="L1287" s="179" t="n">
        <v>16499102614</v>
      </c>
    </row>
    <row r="1288" ht="15" customHeight="1" s="95">
      <c r="A1288" s="143" t="n">
        <v>45117</v>
      </c>
      <c r="B1288" s="146" t="n">
        <v>1.000105</v>
      </c>
      <c r="C1288" s="179" t="n">
        <v>27497914255</v>
      </c>
      <c r="D1288" s="179" t="n">
        <v>27495037155</v>
      </c>
      <c r="E1288" s="146" t="n">
        <v>0.9998359999999999</v>
      </c>
      <c r="F1288" s="179" t="n">
        <v>83401941911</v>
      </c>
      <c r="G1288" s="179" t="n">
        <v>83415636460</v>
      </c>
      <c r="H1288" s="179">
        <f>IFERROR(D1288+G1288,D1288)</f>
        <v/>
      </c>
      <c r="I1288" s="184">
        <f>IFERROR(D1288/H1288,"")</f>
        <v/>
      </c>
      <c r="J1288" s="179" t="n">
        <v>5499007431</v>
      </c>
      <c r="K1288" s="179" t="n">
        <v>10998014862</v>
      </c>
      <c r="L1288" s="179" t="n">
        <v>16497022293</v>
      </c>
    </row>
    <row r="1289" ht="15" customHeight="1" s="95">
      <c r="A1289" s="143" t="n">
        <v>45118</v>
      </c>
      <c r="B1289" s="146" t="n">
        <v>0.999758</v>
      </c>
      <c r="C1289" s="179" t="n">
        <v>27383207895</v>
      </c>
      <c r="D1289" s="179" t="n">
        <v>27389823661</v>
      </c>
      <c r="E1289" s="146" t="n">
        <v>1.000096</v>
      </c>
      <c r="F1289" s="179" t="n">
        <v>83357075149</v>
      </c>
      <c r="G1289" s="179" t="n">
        <v>83349066901</v>
      </c>
      <c r="H1289" s="179">
        <f>IFERROR(D1289+G1289,D1289)</f>
        <v/>
      </c>
      <c r="I1289" s="184">
        <f>IFERROR(D1289/H1289,"")</f>
        <v/>
      </c>
      <c r="J1289" s="179" t="n">
        <v>5477964732</v>
      </c>
      <c r="K1289" s="179" t="n">
        <v>10955929464</v>
      </c>
      <c r="L1289" s="179" t="n">
        <v>16433894197</v>
      </c>
    </row>
    <row r="1290" ht="15" customHeight="1" s="95">
      <c r="A1290" s="143" t="n">
        <v>45119</v>
      </c>
      <c r="B1290" s="146" t="n">
        <v>1.000114</v>
      </c>
      <c r="C1290" s="179" t="n">
        <v>27372801556</v>
      </c>
      <c r="D1290" s="179" t="n">
        <v>27369692614</v>
      </c>
      <c r="E1290" s="146" t="n">
        <v>1.000126</v>
      </c>
      <c r="F1290" s="179" t="n">
        <v>83401280506</v>
      </c>
      <c r="G1290" s="179" t="n">
        <v>83390750132</v>
      </c>
      <c r="H1290" s="179">
        <f>IFERROR(D1290+G1290,D1290)</f>
        <v/>
      </c>
      <c r="I1290" s="184">
        <f>IFERROR(D1290/H1290,"")</f>
        <v/>
      </c>
      <c r="J1290" s="179" t="n">
        <v>5473938523</v>
      </c>
      <c r="K1290" s="179" t="n">
        <v>10947877046</v>
      </c>
      <c r="L1290" s="179" t="n">
        <v>16421815568</v>
      </c>
    </row>
    <row r="1291" ht="15" customHeight="1" s="95">
      <c r="A1291" s="143" t="n">
        <v>45120</v>
      </c>
      <c r="B1291" s="146" t="n">
        <v>1.00049</v>
      </c>
      <c r="C1291" s="179" t="n">
        <v>27274501888</v>
      </c>
      <c r="D1291" s="179" t="n">
        <v>27261130781</v>
      </c>
      <c r="E1291" s="146" t="n">
        <v>1.000507</v>
      </c>
      <c r="F1291" s="179" t="n">
        <v>83403277912</v>
      </c>
      <c r="G1291" s="179" t="n">
        <v>83360976254</v>
      </c>
      <c r="H1291" s="179">
        <f>IFERROR(D1291+G1291,D1291)</f>
        <v/>
      </c>
      <c r="I1291" s="184">
        <f>IFERROR(D1291/H1291,"")</f>
        <v/>
      </c>
      <c r="J1291" s="179" t="n">
        <v>5452226156</v>
      </c>
      <c r="K1291" s="179" t="n">
        <v>10904452312</v>
      </c>
      <c r="L1291" s="179" t="n">
        <v>16356678469</v>
      </c>
    </row>
    <row r="1292" ht="15" customHeight="1" s="95">
      <c r="A1292" s="143" t="n">
        <v>45121</v>
      </c>
      <c r="B1292" s="146" t="n">
        <v>0.999008</v>
      </c>
      <c r="C1292" s="179" t="n">
        <v>27379899146</v>
      </c>
      <c r="D1292" s="179" t="n">
        <v>27407085393</v>
      </c>
      <c r="E1292" s="146" t="n">
        <v>1.000392</v>
      </c>
      <c r="F1292" s="179" t="n">
        <v>83325381227</v>
      </c>
      <c r="G1292" s="179" t="n">
        <v>83292763601</v>
      </c>
      <c r="H1292" s="179">
        <f>IFERROR(D1292+G1292,D1292)</f>
        <v/>
      </c>
      <c r="I1292" s="184">
        <f>IFERROR(D1292/H1292,"")</f>
        <v/>
      </c>
      <c r="J1292" s="179" t="n">
        <v>5481417079</v>
      </c>
      <c r="K1292" s="179" t="n">
        <v>10962834157</v>
      </c>
      <c r="L1292" s="179" t="n">
        <v>16444251236</v>
      </c>
    </row>
    <row r="1293" ht="15" customHeight="1" s="95">
      <c r="A1293" s="143" t="n">
        <v>45122</v>
      </c>
      <c r="B1293" s="146" t="n">
        <v>1.000131</v>
      </c>
      <c r="C1293" s="179" t="n">
        <v>27253533176</v>
      </c>
      <c r="D1293" s="179" t="n">
        <v>27249976206</v>
      </c>
      <c r="E1293" s="146" t="n">
        <v>1.000707</v>
      </c>
      <c r="F1293" s="179" t="n">
        <v>83642019367</v>
      </c>
      <c r="G1293" s="179" t="n">
        <v>83582956367</v>
      </c>
      <c r="H1293" s="179">
        <f>IFERROR(D1293+G1293,D1293)</f>
        <v/>
      </c>
      <c r="I1293" s="184">
        <f>IFERROR(D1293/H1293,"")</f>
        <v/>
      </c>
      <c r="J1293" s="179" t="n">
        <v>5449995241</v>
      </c>
      <c r="K1293" s="179" t="n">
        <v>10899990482</v>
      </c>
      <c r="L1293" s="179" t="n">
        <v>16349985724</v>
      </c>
    </row>
    <row r="1294" ht="15" customHeight="1" s="95">
      <c r="A1294" s="143" t="n">
        <v>45123</v>
      </c>
      <c r="B1294" s="146" t="n">
        <v>1.000122</v>
      </c>
      <c r="C1294" s="179" t="n">
        <v>27284376844</v>
      </c>
      <c r="D1294" s="179" t="n">
        <v>27281039982</v>
      </c>
      <c r="E1294" s="146" t="n">
        <v>1.000653</v>
      </c>
      <c r="F1294" s="179" t="n">
        <v>83663934660</v>
      </c>
      <c r="G1294" s="179" t="n">
        <v>83609330373</v>
      </c>
      <c r="H1294" s="179">
        <f>IFERROR(D1294+G1294,D1294)</f>
        <v/>
      </c>
      <c r="I1294" s="184">
        <f>IFERROR(D1294/H1294,"")</f>
        <v/>
      </c>
      <c r="J1294" s="179" t="n">
        <v>5456207996</v>
      </c>
      <c r="K1294" s="179" t="n">
        <v>10912415993</v>
      </c>
      <c r="L1294" s="179" t="n">
        <v>16368623989</v>
      </c>
    </row>
    <row r="1295" ht="15" customHeight="1" s="95">
      <c r="A1295" s="143" t="n">
        <v>45124</v>
      </c>
      <c r="B1295" s="146" t="n">
        <v>1.000003</v>
      </c>
      <c r="C1295" s="179" t="n">
        <v>27220350352</v>
      </c>
      <c r="D1295" s="179" t="n">
        <v>27220255506</v>
      </c>
      <c r="E1295" s="146" t="n">
        <v>1.000548</v>
      </c>
      <c r="F1295" s="179" t="n">
        <v>83509799726</v>
      </c>
      <c r="G1295" s="179" t="n">
        <v>83464037490</v>
      </c>
      <c r="H1295" s="179">
        <f>IFERROR(D1295+G1295,D1295)</f>
        <v/>
      </c>
      <c r="I1295" s="184">
        <f>IFERROR(D1295/H1295,"")</f>
        <v/>
      </c>
      <c r="J1295" s="179" t="n">
        <v>5444051101</v>
      </c>
      <c r="K1295" s="179" t="n">
        <v>10888102202</v>
      </c>
      <c r="L1295" s="179" t="n">
        <v>16332153304</v>
      </c>
    </row>
    <row r="1296" ht="15" customHeight="1" s="95">
      <c r="A1296" s="143" t="n">
        <v>45125</v>
      </c>
      <c r="B1296" s="146" t="n">
        <v>0.999034</v>
      </c>
      <c r="C1296" s="179" t="n">
        <v>27030808524</v>
      </c>
      <c r="D1296" s="179" t="n">
        <v>27056935267</v>
      </c>
      <c r="E1296" s="146" t="n">
        <v>0.999807</v>
      </c>
      <c r="F1296" s="179" t="n">
        <v>83743480630</v>
      </c>
      <c r="G1296" s="179" t="n">
        <v>83759630564</v>
      </c>
      <c r="H1296" s="179">
        <f>IFERROR(D1296+G1296,D1296)</f>
        <v/>
      </c>
      <c r="I1296" s="184">
        <f>IFERROR(D1296/H1296,"")</f>
        <v/>
      </c>
      <c r="J1296" s="179" t="n">
        <v>5411387053</v>
      </c>
      <c r="K1296" s="179" t="n">
        <v>10822774107</v>
      </c>
      <c r="L1296" s="179" t="n">
        <v>16234161160</v>
      </c>
    </row>
    <row r="1297" ht="15" customHeight="1" s="95">
      <c r="A1297" s="143" t="n">
        <v>45126</v>
      </c>
      <c r="B1297" s="146" t="n">
        <v>1.000883</v>
      </c>
      <c r="C1297" s="179" t="n">
        <v>27005085335</v>
      </c>
      <c r="D1297" s="179" t="n">
        <v>26981263011</v>
      </c>
      <c r="E1297" s="146" t="n">
        <v>1.000481</v>
      </c>
      <c r="F1297" s="179" t="n">
        <v>83790732854</v>
      </c>
      <c r="G1297" s="179" t="n">
        <v>83750452908</v>
      </c>
      <c r="H1297" s="179">
        <f>IFERROR(D1297+G1297,D1297)</f>
        <v/>
      </c>
      <c r="I1297" s="184">
        <f>IFERROR(D1297/H1297,"")</f>
        <v/>
      </c>
      <c r="J1297" s="179" t="n">
        <v>5396252602</v>
      </c>
      <c r="K1297" s="179" t="n">
        <v>10792505204</v>
      </c>
      <c r="L1297" s="179" t="n">
        <v>16188757807</v>
      </c>
    </row>
    <row r="1298" ht="15" customHeight="1" s="95">
      <c r="A1298" s="143" t="n">
        <v>45127</v>
      </c>
      <c r="B1298" s="146" t="n">
        <v>1.000051</v>
      </c>
      <c r="C1298" s="179" t="n">
        <v>26981643197</v>
      </c>
      <c r="D1298" s="179" t="n">
        <v>26980270351</v>
      </c>
      <c r="E1298" s="146" t="n">
        <v>1.000293</v>
      </c>
      <c r="F1298" s="179" t="n">
        <v>83734085145</v>
      </c>
      <c r="G1298" s="179" t="n">
        <v>83709568601</v>
      </c>
      <c r="H1298" s="179">
        <f>IFERROR(D1298+G1298,D1298)</f>
        <v/>
      </c>
      <c r="I1298" s="184">
        <f>IFERROR(D1298/H1298,"")</f>
        <v/>
      </c>
      <c r="J1298" s="179" t="n">
        <v>5396054070</v>
      </c>
      <c r="K1298" s="179" t="n">
        <v>10792108140</v>
      </c>
      <c r="L1298" s="179" t="n">
        <v>16188162211</v>
      </c>
    </row>
    <row r="1299" ht="15" customHeight="1" s="95">
      <c r="A1299" s="143" t="n">
        <v>45128</v>
      </c>
      <c r="B1299" s="146" t="n">
        <v>0.999468</v>
      </c>
      <c r="C1299" s="179" t="n">
        <v>26923508798</v>
      </c>
      <c r="D1299" s="179" t="n">
        <v>26937852889</v>
      </c>
      <c r="E1299" s="146" t="n">
        <v>1.000199</v>
      </c>
      <c r="F1299" s="179" t="n">
        <v>83839342615</v>
      </c>
      <c r="G1299" s="179" t="n">
        <v>83822639670</v>
      </c>
      <c r="H1299" s="179">
        <f>IFERROR(D1299+G1299,D1299)</f>
        <v/>
      </c>
      <c r="I1299" s="184">
        <f>IFERROR(D1299/H1299,"")</f>
        <v/>
      </c>
      <c r="J1299" s="179" t="n">
        <v>5387570578</v>
      </c>
      <c r="K1299" s="179" t="n">
        <v>10775141156</v>
      </c>
      <c r="L1299" s="179" t="n">
        <v>16162711733</v>
      </c>
    </row>
    <row r="1300" ht="15" customHeight="1" s="95">
      <c r="A1300" s="143" t="n">
        <v>45129</v>
      </c>
      <c r="B1300" s="146" t="n">
        <v>0.999596</v>
      </c>
      <c r="C1300" s="179" t="n">
        <v>26853748455</v>
      </c>
      <c r="D1300" s="179" t="n">
        <v>26864593327</v>
      </c>
      <c r="E1300" s="146" t="n">
        <v>1.00005</v>
      </c>
      <c r="F1300" s="179" t="n">
        <v>83784332315</v>
      </c>
      <c r="G1300" s="179" t="n">
        <v>83780111282</v>
      </c>
      <c r="H1300" s="179">
        <f>IFERROR(D1300+G1300,D1300)</f>
        <v/>
      </c>
      <c r="I1300" s="184">
        <f>IFERROR(D1300/H1300,"")</f>
        <v/>
      </c>
      <c r="J1300" s="179" t="n">
        <v>5372918665</v>
      </c>
      <c r="K1300" s="179" t="n">
        <v>10745837331</v>
      </c>
      <c r="L1300" s="179" t="n">
        <v>16118755996</v>
      </c>
    </row>
    <row r="1301" ht="15" customHeight="1" s="95">
      <c r="A1301" s="143" t="n">
        <v>45130</v>
      </c>
      <c r="B1301" s="146" t="n">
        <v>0.999706</v>
      </c>
      <c r="C1301" s="179" t="n">
        <v>26847685807</v>
      </c>
      <c r="D1301" s="179" t="n">
        <v>26855577710</v>
      </c>
      <c r="E1301" s="146" t="n">
        <v>0.999749</v>
      </c>
      <c r="F1301" s="179" t="n">
        <v>83804674505</v>
      </c>
      <c r="G1301" s="179" t="n">
        <v>83825710346</v>
      </c>
      <c r="H1301" s="179">
        <f>IFERROR(D1301+G1301,D1301)</f>
        <v/>
      </c>
      <c r="I1301" s="184">
        <f>IFERROR(D1301/H1301,"")</f>
        <v/>
      </c>
      <c r="J1301" s="179" t="n">
        <v>5371115542</v>
      </c>
      <c r="K1301" s="179" t="n">
        <v>10742231084</v>
      </c>
      <c r="L1301" s="179" t="n">
        <v>16113346626</v>
      </c>
    </row>
    <row r="1302" ht="15" customHeight="1" s="95">
      <c r="A1302" s="143" t="n">
        <v>45131</v>
      </c>
      <c r="B1302" s="146" t="n">
        <v>0.999549</v>
      </c>
      <c r="C1302" s="179" t="n">
        <v>26846574717</v>
      </c>
      <c r="D1302" s="179" t="n">
        <v>26858699607</v>
      </c>
      <c r="E1302" s="146" t="n">
        <v>0.999898</v>
      </c>
      <c r="F1302" s="179" t="n">
        <v>83755687819</v>
      </c>
      <c r="G1302" s="179" t="n">
        <v>83764197110</v>
      </c>
      <c r="H1302" s="179">
        <f>IFERROR(D1302+G1302,D1302)</f>
        <v/>
      </c>
      <c r="I1302" s="184">
        <f>IFERROR(D1302/H1302,"")</f>
        <v/>
      </c>
      <c r="J1302" s="179" t="n">
        <v>5371739921</v>
      </c>
      <c r="K1302" s="179" t="n">
        <v>10743479843</v>
      </c>
      <c r="L1302" s="179" t="n">
        <v>16115219764</v>
      </c>
    </row>
    <row r="1303" ht="15" customHeight="1" s="95">
      <c r="A1303" s="143" t="n">
        <v>45132</v>
      </c>
      <c r="B1303" s="146" t="n">
        <v>1.000162</v>
      </c>
      <c r="C1303" s="179" t="n">
        <v>26698348903</v>
      </c>
      <c r="D1303" s="179" t="n">
        <v>26694031412</v>
      </c>
      <c r="E1303" s="146" t="n">
        <v>1.000097</v>
      </c>
      <c r="F1303" s="179" t="n">
        <v>83792795551</v>
      </c>
      <c r="G1303" s="179" t="n">
        <v>83784640828</v>
      </c>
      <c r="H1303" s="179">
        <f>IFERROR(D1303+G1303,D1303)</f>
        <v/>
      </c>
      <c r="I1303" s="184">
        <f>IFERROR(D1303/H1303,"")</f>
        <v/>
      </c>
      <c r="J1303" s="179" t="n">
        <v>5338806282</v>
      </c>
      <c r="K1303" s="179" t="n">
        <v>10677612565</v>
      </c>
      <c r="L1303" s="179" t="n">
        <v>16016418847</v>
      </c>
    </row>
    <row r="1304" ht="15" customHeight="1" s="95">
      <c r="A1304" s="143" t="n">
        <v>45133</v>
      </c>
      <c r="B1304" s="146" t="n">
        <v>1.001615</v>
      </c>
      <c r="C1304" s="179" t="n">
        <v>26681213248</v>
      </c>
      <c r="D1304" s="179" t="n">
        <v>26638188031</v>
      </c>
      <c r="E1304" s="146" t="n">
        <v>0.999606</v>
      </c>
      <c r="F1304" s="179" t="n">
        <v>83790318776</v>
      </c>
      <c r="G1304" s="179" t="n">
        <v>83823322483</v>
      </c>
      <c r="H1304" s="179">
        <f>IFERROR(D1304+G1304,D1304)</f>
        <v/>
      </c>
      <c r="I1304" s="184">
        <f>IFERROR(D1304/H1304,"")</f>
        <v/>
      </c>
      <c r="J1304" s="179" t="n">
        <v>5327637606</v>
      </c>
      <c r="K1304" s="179" t="n">
        <v>10655275212</v>
      </c>
      <c r="L1304" s="179" t="n">
        <v>15982912819</v>
      </c>
    </row>
    <row r="1305" ht="15" customHeight="1" s="95">
      <c r="A1305" s="143" t="n">
        <v>45134</v>
      </c>
      <c r="B1305" s="146" t="n">
        <v>1.000542</v>
      </c>
      <c r="C1305" s="179" t="n">
        <v>26602988139</v>
      </c>
      <c r="D1305" s="179" t="n">
        <v>26588583570</v>
      </c>
      <c r="E1305" s="146" t="n">
        <v>1.000833</v>
      </c>
      <c r="F1305" s="179" t="n">
        <v>83895071911</v>
      </c>
      <c r="G1305" s="179" t="n">
        <v>83825278615</v>
      </c>
      <c r="H1305" s="179">
        <f>IFERROR(D1305+G1305,D1305)</f>
        <v/>
      </c>
      <c r="I1305" s="184">
        <f>IFERROR(D1305/H1305,"")</f>
        <v/>
      </c>
      <c r="J1305" s="179" t="n">
        <v>5317716714</v>
      </c>
      <c r="K1305" s="179" t="n">
        <v>10635433428</v>
      </c>
      <c r="L1305" s="179" t="n">
        <v>15953150142</v>
      </c>
    </row>
    <row r="1306" ht="15" customHeight="1" s="95">
      <c r="A1306" s="143" t="n">
        <v>45135</v>
      </c>
      <c r="B1306" s="146" t="n">
        <v>0.999957</v>
      </c>
      <c r="C1306" s="179" t="n">
        <v>26578209753</v>
      </c>
      <c r="D1306" s="179" t="n">
        <v>26579341900</v>
      </c>
      <c r="E1306" s="146" t="n">
        <v>0.99974</v>
      </c>
      <c r="F1306" s="179" t="n">
        <v>83781752304</v>
      </c>
      <c r="G1306" s="179" t="n">
        <v>83803577057</v>
      </c>
      <c r="H1306" s="179">
        <f>IFERROR(D1306+G1306,D1306)</f>
        <v/>
      </c>
      <c r="I1306" s="184">
        <f>IFERROR(D1306/H1306,"")</f>
        <v/>
      </c>
      <c r="J1306" s="179" t="n">
        <v>5315868380</v>
      </c>
      <c r="K1306" s="179" t="n">
        <v>10631736760</v>
      </c>
      <c r="L1306" s="179" t="n">
        <v>15947605140</v>
      </c>
    </row>
    <row r="1307" ht="15" customHeight="1" s="95">
      <c r="A1307" s="143" t="n">
        <v>45136</v>
      </c>
      <c r="B1307" s="146" t="n">
        <v>0.999904</v>
      </c>
      <c r="C1307" s="179" t="n">
        <v>26547001183</v>
      </c>
      <c r="D1307" s="179" t="n">
        <v>26549551846</v>
      </c>
      <c r="E1307" s="146" t="n">
        <v>0.999945</v>
      </c>
      <c r="F1307" s="179" t="n">
        <v>83827866970</v>
      </c>
      <c r="G1307" s="179" t="n">
        <v>83832445483</v>
      </c>
      <c r="H1307" s="179">
        <f>IFERROR(D1307+G1307,D1307)</f>
        <v/>
      </c>
      <c r="I1307" s="184">
        <f>IFERROR(D1307/H1307,"")</f>
        <v/>
      </c>
      <c r="J1307" s="179" t="n">
        <v>5309910369</v>
      </c>
      <c r="K1307" s="179" t="n">
        <v>10619820738</v>
      </c>
      <c r="L1307" s="179" t="n">
        <v>15929731108</v>
      </c>
    </row>
    <row r="1308" ht="15" customHeight="1" s="95">
      <c r="A1308" s="143" t="n">
        <v>45137</v>
      </c>
      <c r="B1308" s="146" t="n">
        <v>0.9994960000000001</v>
      </c>
      <c r="C1308" s="179" t="n">
        <v>26545084511</v>
      </c>
      <c r="D1308" s="179" t="n">
        <v>26558477210</v>
      </c>
      <c r="E1308" s="146" t="n">
        <v>0.9999749999999999</v>
      </c>
      <c r="F1308" s="179" t="n">
        <v>83822465176</v>
      </c>
      <c r="G1308" s="179" t="n">
        <v>83824599788</v>
      </c>
      <c r="H1308" s="179">
        <f>IFERROR(D1308+G1308,D1308)</f>
        <v/>
      </c>
      <c r="I1308" s="184">
        <f>IFERROR(D1308/H1308,"")</f>
        <v/>
      </c>
      <c r="J1308" s="179" t="n">
        <v>5311695442</v>
      </c>
      <c r="K1308" s="179" t="n">
        <v>10623390884</v>
      </c>
      <c r="L1308" s="179" t="n">
        <v>15935086326</v>
      </c>
    </row>
    <row r="1309" ht="15" customHeight="1" s="95">
      <c r="A1309" s="143" t="n">
        <v>45138</v>
      </c>
      <c r="B1309" s="146" t="n">
        <v>1.000102</v>
      </c>
      <c r="C1309" s="179" t="n">
        <v>26538644794</v>
      </c>
      <c r="D1309" s="179" t="n">
        <v>26535931499</v>
      </c>
      <c r="E1309" s="146" t="n">
        <v>1.000238</v>
      </c>
      <c r="F1309" s="179" t="n">
        <v>83823744370</v>
      </c>
      <c r="G1309" s="179" t="n">
        <v>83803811987</v>
      </c>
      <c r="H1309" s="179">
        <f>IFERROR(D1309+G1309,D1309)</f>
        <v/>
      </c>
      <c r="I1309" s="184">
        <f>IFERROR(D1309/H1309,"")</f>
        <v/>
      </c>
      <c r="J1309" s="179" t="n">
        <v>5307186300</v>
      </c>
      <c r="K1309" s="179" t="n">
        <v>10614372600</v>
      </c>
      <c r="L1309" s="179" t="n">
        <v>15921558899</v>
      </c>
    </row>
    <row r="1310" ht="15" customHeight="1" s="95">
      <c r="A1310" s="143" t="n">
        <v>45139</v>
      </c>
      <c r="B1310" s="146" t="n">
        <v>1.000006</v>
      </c>
      <c r="C1310" s="179" t="n">
        <v>26489110610</v>
      </c>
      <c r="D1310" s="179" t="n">
        <v>26488949123</v>
      </c>
      <c r="E1310" s="146" t="n">
        <v>0.999867</v>
      </c>
      <c r="F1310" s="179" t="n">
        <v>83791388839</v>
      </c>
      <c r="G1310" s="179" t="n">
        <v>83802548778</v>
      </c>
      <c r="H1310" s="179">
        <f>IFERROR(D1310+G1310,D1310)</f>
        <v/>
      </c>
      <c r="I1310" s="184">
        <f>IFERROR(D1310/H1310,"")</f>
        <v/>
      </c>
      <c r="J1310" s="179" t="n">
        <v>5297789825</v>
      </c>
      <c r="K1310" s="179" t="n">
        <v>10595579649</v>
      </c>
      <c r="L1310" s="179" t="n">
        <v>15893369474</v>
      </c>
    </row>
    <row r="1311" ht="15" customHeight="1" s="95">
      <c r="A1311" s="143" t="n">
        <v>45140</v>
      </c>
      <c r="B1311" s="146" t="n">
        <v>1.002543</v>
      </c>
      <c r="C1311" s="179" t="n">
        <v>26320268337</v>
      </c>
      <c r="D1311" s="179" t="n">
        <v>26253496026</v>
      </c>
      <c r="E1311" s="146" t="n">
        <v>0.999942</v>
      </c>
      <c r="F1311" s="179" t="n">
        <v>83816313473</v>
      </c>
      <c r="G1311" s="179" t="n">
        <v>83821208960</v>
      </c>
      <c r="H1311" s="179">
        <f>IFERROR(D1311+G1311,D1311)</f>
        <v/>
      </c>
      <c r="I1311" s="184">
        <f>IFERROR(D1311/H1311,"")</f>
        <v/>
      </c>
      <c r="J1311" s="179" t="n">
        <v>5250699205</v>
      </c>
      <c r="K1311" s="179" t="n">
        <v>10501398410</v>
      </c>
      <c r="L1311" s="179" t="n">
        <v>15752097616</v>
      </c>
    </row>
    <row r="1312" ht="15" customHeight="1" s="95">
      <c r="A1312" s="143" t="n">
        <v>45141</v>
      </c>
      <c r="B1312" s="146" t="n">
        <v>0.999738</v>
      </c>
      <c r="C1312" s="179" t="n">
        <v>26193856239</v>
      </c>
      <c r="D1312" s="179" t="n">
        <v>26200717789</v>
      </c>
      <c r="E1312" s="146" t="n">
        <v>0.999242</v>
      </c>
      <c r="F1312" s="179" t="n">
        <v>83888527906</v>
      </c>
      <c r="G1312" s="179" t="n">
        <v>83952170965</v>
      </c>
      <c r="H1312" s="179">
        <f>IFERROR(D1312+G1312,D1312)</f>
        <v/>
      </c>
      <c r="I1312" s="184">
        <f>IFERROR(D1312/H1312,"")</f>
        <v/>
      </c>
      <c r="J1312" s="179" t="n">
        <v>5240143558</v>
      </c>
      <c r="K1312" s="179" t="n">
        <v>10480287116</v>
      </c>
      <c r="L1312" s="179" t="n">
        <v>15720430673</v>
      </c>
    </row>
    <row r="1313" ht="15" customHeight="1" s="95">
      <c r="A1313" s="143" t="n">
        <v>45142</v>
      </c>
      <c r="B1313" s="146" t="n">
        <v>0.999629</v>
      </c>
      <c r="C1313" s="179" t="n">
        <v>26094832146</v>
      </c>
      <c r="D1313" s="179" t="n">
        <v>26104529366</v>
      </c>
      <c r="E1313" s="146" t="n">
        <v>0.99868</v>
      </c>
      <c r="F1313" s="179" t="n">
        <v>83841060938</v>
      </c>
      <c r="G1313" s="179" t="n">
        <v>83951889706</v>
      </c>
      <c r="H1313" s="179">
        <f>IFERROR(D1313+G1313,D1313)</f>
        <v/>
      </c>
      <c r="I1313" s="184">
        <f>IFERROR(D1313/H1313,"")</f>
        <v/>
      </c>
      <c r="J1313" s="179" t="n">
        <v>5220905873</v>
      </c>
      <c r="K1313" s="179" t="n">
        <v>10441811746</v>
      </c>
      <c r="L1313" s="179" t="n">
        <v>15662717620</v>
      </c>
    </row>
    <row r="1314" ht="15" customHeight="1" s="95">
      <c r="A1314" s="143" t="n">
        <v>45143</v>
      </c>
      <c r="B1314" s="146" t="n">
        <v>1.000425</v>
      </c>
      <c r="C1314" s="179" t="n">
        <v>26032430433</v>
      </c>
      <c r="D1314" s="179" t="n">
        <v>26021375138</v>
      </c>
      <c r="E1314" s="146" t="n">
        <v>0.998912</v>
      </c>
      <c r="F1314" s="179" t="n">
        <v>83719693334</v>
      </c>
      <c r="G1314" s="179" t="n">
        <v>83810838001</v>
      </c>
      <c r="H1314" s="179">
        <f>IFERROR(D1314+G1314,D1314)</f>
        <v/>
      </c>
      <c r="I1314" s="184">
        <f>IFERROR(D1314/H1314,"")</f>
        <v/>
      </c>
      <c r="J1314" s="179" t="n">
        <v>5204275028</v>
      </c>
      <c r="K1314" s="179" t="n">
        <v>10408550055</v>
      </c>
      <c r="L1314" s="179" t="n">
        <v>15612825083</v>
      </c>
    </row>
    <row r="1315" ht="15" customHeight="1" s="95">
      <c r="A1315" s="143" t="n">
        <v>45144</v>
      </c>
      <c r="B1315" s="146" t="n">
        <v>0.999844</v>
      </c>
      <c r="C1315" s="179" t="n">
        <v>26040360466</v>
      </c>
      <c r="D1315" s="179" t="n">
        <v>26044416182</v>
      </c>
      <c r="E1315" s="146" t="n">
        <v>0.998987</v>
      </c>
      <c r="F1315" s="179" t="n">
        <v>83816979241</v>
      </c>
      <c r="G1315" s="179" t="n">
        <v>83901978153</v>
      </c>
      <c r="H1315" s="179">
        <f>IFERROR(D1315+G1315,D1315)</f>
        <v/>
      </c>
      <c r="I1315" s="184">
        <f>IFERROR(D1315/H1315,"")</f>
        <v/>
      </c>
      <c r="J1315" s="179" t="n">
        <v>5208883236</v>
      </c>
      <c r="K1315" s="179" t="n">
        <v>10417766473</v>
      </c>
      <c r="L1315" s="179" t="n">
        <v>15626649709</v>
      </c>
    </row>
    <row r="1316" ht="15" customHeight="1" s="95">
      <c r="A1316" s="143" t="n">
        <v>45145</v>
      </c>
      <c r="B1316" s="146" t="n">
        <v>0.999814</v>
      </c>
      <c r="C1316" s="179" t="n">
        <v>26043142435</v>
      </c>
      <c r="D1316" s="179" t="n">
        <v>26047999907</v>
      </c>
      <c r="E1316" s="146" t="n">
        <v>0.99832</v>
      </c>
      <c r="F1316" s="179" t="n">
        <v>83751692193</v>
      </c>
      <c r="G1316" s="179" t="n">
        <v>83892645119</v>
      </c>
      <c r="H1316" s="179">
        <f>IFERROR(D1316+G1316,D1316)</f>
        <v/>
      </c>
      <c r="I1316" s="184">
        <f>IFERROR(D1316/H1316,"")</f>
        <v/>
      </c>
      <c r="J1316" s="179" t="n">
        <v>5209599981</v>
      </c>
      <c r="K1316" s="179" t="n">
        <v>10419199963</v>
      </c>
      <c r="L1316" s="179" t="n">
        <v>15628799944</v>
      </c>
    </row>
    <row r="1317" ht="15" customHeight="1" s="95">
      <c r="A1317" s="143" t="n">
        <v>45146</v>
      </c>
      <c r="B1317" s="146" t="n">
        <v>1.000073</v>
      </c>
      <c r="C1317" s="179" t="n">
        <v>26135117669</v>
      </c>
      <c r="D1317" s="179" t="n">
        <v>26133218524</v>
      </c>
      <c r="E1317" s="146" t="n">
        <v>0.998873</v>
      </c>
      <c r="F1317" s="179" t="n">
        <v>83464564710</v>
      </c>
      <c r="G1317" s="179" t="n">
        <v>83558722581</v>
      </c>
      <c r="H1317" s="179">
        <f>IFERROR(D1317+G1317,D1317)</f>
        <v/>
      </c>
      <c r="I1317" s="184">
        <f>IFERROR(D1317/H1317,"")</f>
        <v/>
      </c>
      <c r="J1317" s="179" t="n">
        <v>5226643705</v>
      </c>
      <c r="K1317" s="179" t="n">
        <v>10453287410</v>
      </c>
      <c r="L1317" s="179" t="n">
        <v>15679931114</v>
      </c>
    </row>
    <row r="1318" ht="15" customHeight="1" s="95">
      <c r="A1318" s="143" t="n">
        <v>45147</v>
      </c>
      <c r="B1318" s="146" t="n">
        <v>1.000085</v>
      </c>
      <c r="C1318" s="179" t="n">
        <v>26308031420</v>
      </c>
      <c r="D1318" s="179" t="n">
        <v>26305800499</v>
      </c>
      <c r="E1318" s="146" t="n">
        <v>0.999945</v>
      </c>
      <c r="F1318" s="179" t="n">
        <v>83534670798</v>
      </c>
      <c r="G1318" s="179" t="n">
        <v>83539223836</v>
      </c>
      <c r="H1318" s="179">
        <f>IFERROR(D1318+G1318,D1318)</f>
        <v/>
      </c>
      <c r="I1318" s="184">
        <f>IFERROR(D1318/H1318,"")</f>
        <v/>
      </c>
      <c r="J1318" s="179" t="n">
        <v>5261160100</v>
      </c>
      <c r="K1318" s="179" t="n">
        <v>10522320200</v>
      </c>
      <c r="L1318" s="179" t="n">
        <v>15783480299</v>
      </c>
    </row>
    <row r="1319" ht="15" customHeight="1" s="95">
      <c r="A1319" s="143" t="n">
        <v>45148</v>
      </c>
      <c r="B1319" s="146" t="n">
        <v>1.000002</v>
      </c>
      <c r="C1319" s="179" t="n">
        <v>26284261152</v>
      </c>
      <c r="D1319" s="179" t="n">
        <v>26284209804</v>
      </c>
      <c r="E1319" s="146" t="n">
        <v>0.999712</v>
      </c>
      <c r="F1319" s="179" t="n">
        <v>83496944483</v>
      </c>
      <c r="G1319" s="179" t="n">
        <v>83520997842</v>
      </c>
      <c r="H1319" s="179">
        <f>IFERROR(D1319+G1319,D1319)</f>
        <v/>
      </c>
      <c r="I1319" s="184">
        <f>IFERROR(D1319/H1319,"")</f>
        <v/>
      </c>
      <c r="J1319" s="179" t="n">
        <v>5256841961</v>
      </c>
      <c r="K1319" s="179" t="n">
        <v>10513683922</v>
      </c>
      <c r="L1319" s="179" t="n">
        <v>15770525882</v>
      </c>
    </row>
    <row r="1320" ht="15" customHeight="1" s="95">
      <c r="A1320" s="143" t="n">
        <v>45149</v>
      </c>
      <c r="B1320" s="146" t="n">
        <v>0.999861</v>
      </c>
      <c r="C1320" s="179" t="n">
        <v>26152601233</v>
      </c>
      <c r="D1320" s="179" t="n">
        <v>26156226698</v>
      </c>
      <c r="E1320" s="146" t="n">
        <v>0.998899</v>
      </c>
      <c r="F1320" s="179" t="n">
        <v>83445632345</v>
      </c>
      <c r="G1320" s="179" t="n">
        <v>83537608804</v>
      </c>
      <c r="H1320" s="179">
        <f>IFERROR(D1320+G1320,D1320)</f>
        <v/>
      </c>
      <c r="I1320" s="184">
        <f>IFERROR(D1320/H1320,"")</f>
        <v/>
      </c>
      <c r="J1320" s="179" t="n">
        <v>5231245340</v>
      </c>
      <c r="K1320" s="179" t="n">
        <v>10462490679</v>
      </c>
      <c r="L1320" s="179" t="n">
        <v>15693736019</v>
      </c>
    </row>
    <row r="1321" ht="15" customHeight="1" s="95">
      <c r="A1321" s="143" t="n">
        <v>45150</v>
      </c>
      <c r="B1321" s="146" t="n">
        <v>1.000269</v>
      </c>
      <c r="C1321" s="179" t="n">
        <v>26116498500</v>
      </c>
      <c r="D1321" s="179" t="n">
        <v>26109465142</v>
      </c>
      <c r="E1321" s="146" t="n">
        <v>0.998938</v>
      </c>
      <c r="F1321" s="179" t="n">
        <v>83313809612</v>
      </c>
      <c r="G1321" s="179" t="n">
        <v>83402389523</v>
      </c>
      <c r="H1321" s="179">
        <f>IFERROR(D1321+G1321,D1321)</f>
        <v/>
      </c>
      <c r="I1321" s="184">
        <f>IFERROR(D1321/H1321,"")</f>
        <v/>
      </c>
      <c r="J1321" s="179" t="n">
        <v>5221893028</v>
      </c>
      <c r="K1321" s="179" t="n">
        <v>10443786057</v>
      </c>
      <c r="L1321" s="179" t="n">
        <v>15665679085</v>
      </c>
    </row>
    <row r="1322" ht="15" customHeight="1" s="95">
      <c r="A1322" s="143" t="n">
        <v>45151</v>
      </c>
      <c r="B1322" s="146" t="n">
        <v>0.99988</v>
      </c>
      <c r="C1322" s="179" t="n">
        <v>26161944529</v>
      </c>
      <c r="D1322" s="179" t="n">
        <v>26165082482</v>
      </c>
      <c r="E1322" s="146" t="n">
        <v>0.999377</v>
      </c>
      <c r="F1322" s="179" t="n">
        <v>83355420569</v>
      </c>
      <c r="G1322" s="179" t="n">
        <v>83407366813</v>
      </c>
      <c r="H1322" s="179">
        <f>IFERROR(D1322+G1322,D1322)</f>
        <v/>
      </c>
      <c r="I1322" s="184">
        <f>IFERROR(D1322/H1322,"")</f>
        <v/>
      </c>
      <c r="J1322" s="179" t="n">
        <v>5233016496</v>
      </c>
      <c r="K1322" s="179" t="n">
        <v>10466032993</v>
      </c>
      <c r="L1322" s="179" t="n">
        <v>15699049489</v>
      </c>
    </row>
    <row r="1323" ht="15" customHeight="1" s="95">
      <c r="A1323" s="143" t="n">
        <v>45152</v>
      </c>
      <c r="B1323" s="146" t="n">
        <v>0.999981</v>
      </c>
      <c r="C1323" s="179" t="n">
        <v>26180583371</v>
      </c>
      <c r="D1323" s="179" t="n">
        <v>26181089514</v>
      </c>
      <c r="E1323" s="146" t="n">
        <v>0.9993840000000001</v>
      </c>
      <c r="F1323" s="179" t="n">
        <v>83303287526</v>
      </c>
      <c r="G1323" s="179" t="n">
        <v>83354664064</v>
      </c>
      <c r="H1323" s="179">
        <f>IFERROR(D1323+G1323,D1323)</f>
        <v/>
      </c>
      <c r="I1323" s="184">
        <f>IFERROR(D1323/H1323,"")</f>
        <v/>
      </c>
      <c r="J1323" s="179" t="n">
        <v>5236217903</v>
      </c>
      <c r="K1323" s="179" t="n">
        <v>10472435806</v>
      </c>
      <c r="L1323" s="179" t="n">
        <v>15708653708</v>
      </c>
    </row>
    <row r="1324" ht="15" customHeight="1" s="95">
      <c r="A1324" s="143" t="n">
        <v>45153</v>
      </c>
      <c r="B1324" s="146" t="n">
        <v>0.999688</v>
      </c>
      <c r="C1324" s="179" t="n">
        <v>26004359971</v>
      </c>
      <c r="D1324" s="179" t="n">
        <v>26012464350</v>
      </c>
      <c r="E1324" s="146" t="n">
        <v>0.998713</v>
      </c>
      <c r="F1324" s="179" t="n">
        <v>83323482665</v>
      </c>
      <c r="G1324" s="179" t="n">
        <v>83430887481</v>
      </c>
      <c r="H1324" s="179">
        <f>IFERROR(D1324+G1324,D1324)</f>
        <v/>
      </c>
      <c r="I1324" s="184">
        <f>IFERROR(D1324/H1324,"")</f>
        <v/>
      </c>
      <c r="J1324" s="179" t="n">
        <v>5202492870</v>
      </c>
      <c r="K1324" s="179" t="n">
        <v>10404985740</v>
      </c>
      <c r="L1324" s="179" t="n">
        <v>15607478610</v>
      </c>
    </row>
    <row r="1325" ht="15" customHeight="1" s="95">
      <c r="A1325" s="143" t="n">
        <v>45154</v>
      </c>
      <c r="B1325" s="146" t="n">
        <v>0.9999749999999999</v>
      </c>
      <c r="C1325" s="179" t="n">
        <v>26032843936</v>
      </c>
      <c r="D1325" s="179" t="n">
        <v>26033500140</v>
      </c>
      <c r="E1325" s="146" t="n">
        <v>0.998893</v>
      </c>
      <c r="F1325" s="179" t="n">
        <v>83089141821</v>
      </c>
      <c r="G1325" s="179" t="n">
        <v>83181187604</v>
      </c>
      <c r="H1325" s="179">
        <f>IFERROR(D1325+G1325,D1325)</f>
        <v/>
      </c>
      <c r="I1325" s="184">
        <f>IFERROR(D1325/H1325,"")</f>
        <v/>
      </c>
      <c r="J1325" s="179" t="n">
        <v>5206700028</v>
      </c>
      <c r="K1325" s="179" t="n">
        <v>10413400056</v>
      </c>
      <c r="L1325" s="179" t="n">
        <v>15620100084</v>
      </c>
    </row>
    <row r="1326" ht="15" customHeight="1" s="95">
      <c r="A1326" s="143" t="n">
        <v>45155</v>
      </c>
      <c r="B1326" s="146" t="n">
        <v>1.000939</v>
      </c>
      <c r="C1326" s="179" t="n">
        <v>26085565901</v>
      </c>
      <c r="D1326" s="179" t="n">
        <v>26061090061</v>
      </c>
      <c r="E1326" s="146" t="n">
        <v>0.99975</v>
      </c>
      <c r="F1326" s="179" t="n">
        <v>83061154615</v>
      </c>
      <c r="G1326" s="179" t="n">
        <v>83081915166</v>
      </c>
      <c r="H1326" s="179">
        <f>IFERROR(D1326+G1326,D1326)</f>
        <v/>
      </c>
      <c r="I1326" s="184">
        <f>IFERROR(D1326/H1326,"")</f>
        <v/>
      </c>
      <c r="J1326" s="179" t="n">
        <v>5212218012</v>
      </c>
      <c r="K1326" s="179" t="n">
        <v>10424436024</v>
      </c>
      <c r="L1326" s="179" t="n">
        <v>15636654037</v>
      </c>
    </row>
    <row r="1327" ht="15" customHeight="1" s="95">
      <c r="A1327" s="143" t="n">
        <v>45156</v>
      </c>
      <c r="B1327" s="146" t="n">
        <v>0.995522</v>
      </c>
      <c r="C1327" s="179" t="n">
        <v>26011723418</v>
      </c>
      <c r="D1327" s="179" t="n">
        <v>26128715387</v>
      </c>
      <c r="E1327" s="146" t="n">
        <v>0.996174</v>
      </c>
      <c r="F1327" s="179" t="n">
        <v>82404783281</v>
      </c>
      <c r="G1327" s="179" t="n">
        <v>82721239113</v>
      </c>
      <c r="H1327" s="179">
        <f>IFERROR(D1327+G1327,D1327)</f>
        <v/>
      </c>
      <c r="I1327" s="184">
        <f>IFERROR(D1327/H1327,"")</f>
        <v/>
      </c>
      <c r="J1327" s="179" t="n">
        <v>5225743077</v>
      </c>
      <c r="K1327" s="179" t="n">
        <v>10451486155</v>
      </c>
      <c r="L1327" s="179" t="n">
        <v>15677229232</v>
      </c>
    </row>
    <row r="1328" ht="15" customHeight="1" s="95">
      <c r="A1328" s="143" t="n">
        <v>45157</v>
      </c>
      <c r="B1328" s="146" t="n">
        <v>0.999658</v>
      </c>
      <c r="C1328" s="179" t="n">
        <v>25990994493</v>
      </c>
      <c r="D1328" s="179" t="n">
        <v>25999885420</v>
      </c>
      <c r="E1328" s="146" t="n">
        <v>0.999381</v>
      </c>
      <c r="F1328" s="179" t="n">
        <v>82846348503</v>
      </c>
      <c r="G1328" s="179" t="n">
        <v>82897677007</v>
      </c>
      <c r="H1328" s="179">
        <f>IFERROR(D1328+G1328,D1328)</f>
        <v/>
      </c>
      <c r="I1328" s="184">
        <f>IFERROR(D1328/H1328,"")</f>
        <v/>
      </c>
      <c r="J1328" s="179" t="n">
        <v>5199977084</v>
      </c>
      <c r="K1328" s="179" t="n">
        <v>10399954168</v>
      </c>
      <c r="L1328" s="179" t="n">
        <v>15599931252</v>
      </c>
    </row>
    <row r="1329" ht="15" customHeight="1" s="95">
      <c r="A1329" s="143" t="n">
        <v>45158</v>
      </c>
      <c r="B1329" s="146" t="n">
        <v>1.000504</v>
      </c>
      <c r="C1329" s="179" t="n">
        <v>25986054890</v>
      </c>
      <c r="D1329" s="179" t="n">
        <v>25972954349</v>
      </c>
      <c r="E1329" s="146" t="n">
        <v>1.000243</v>
      </c>
      <c r="F1329" s="179" t="n">
        <v>82827386555</v>
      </c>
      <c r="G1329" s="179" t="n">
        <v>82807244736</v>
      </c>
      <c r="H1329" s="179">
        <f>IFERROR(D1329+G1329,D1329)</f>
        <v/>
      </c>
      <c r="I1329" s="184">
        <f>IFERROR(D1329/H1329,"")</f>
        <v/>
      </c>
      <c r="J1329" s="179" t="n">
        <v>5194590870</v>
      </c>
      <c r="K1329" s="179" t="n">
        <v>10389181740</v>
      </c>
      <c r="L1329" s="179" t="n">
        <v>15583772609</v>
      </c>
    </row>
    <row r="1330" ht="15" customHeight="1" s="95">
      <c r="A1330" s="143" t="n">
        <v>45159</v>
      </c>
      <c r="B1330" s="146" t="n">
        <v>0.999293</v>
      </c>
      <c r="C1330" s="179" t="n">
        <v>25989247153</v>
      </c>
      <c r="D1330" s="179" t="n">
        <v>26007640709</v>
      </c>
      <c r="E1330" s="146" t="n">
        <v>0.999208</v>
      </c>
      <c r="F1330" s="179" t="n">
        <v>82764346526</v>
      </c>
      <c r="G1330" s="179" t="n">
        <v>82829961011</v>
      </c>
      <c r="H1330" s="179">
        <f>IFERROR(D1330+G1330,D1330)</f>
        <v/>
      </c>
      <c r="I1330" s="184">
        <f>IFERROR(D1330/H1330,"")</f>
        <v/>
      </c>
      <c r="J1330" s="179" t="n">
        <v>5201528142</v>
      </c>
      <c r="K1330" s="179" t="n">
        <v>10403056284</v>
      </c>
      <c r="L1330" s="179" t="n">
        <v>15604584425</v>
      </c>
    </row>
    <row r="1331" ht="15" customHeight="1" s="95">
      <c r="A1331" s="143" t="n">
        <v>45160</v>
      </c>
      <c r="B1331" s="146" t="n">
        <v>0.999317</v>
      </c>
      <c r="C1331" s="179" t="n">
        <v>25976853369</v>
      </c>
      <c r="D1331" s="179" t="n">
        <v>25994608028</v>
      </c>
      <c r="E1331" s="146" t="n">
        <v>0.9998320000000001</v>
      </c>
      <c r="F1331" s="179" t="n">
        <v>82809847575</v>
      </c>
      <c r="G1331" s="179" t="n">
        <v>82823749620</v>
      </c>
      <c r="H1331" s="179">
        <f>IFERROR(D1331+G1331,D1331)</f>
        <v/>
      </c>
      <c r="I1331" s="184">
        <f>IFERROR(D1331/H1331,"")</f>
        <v/>
      </c>
      <c r="J1331" s="179" t="n">
        <v>5198921606</v>
      </c>
      <c r="K1331" s="179" t="n">
        <v>10397843211</v>
      </c>
      <c r="L1331" s="179" t="n">
        <v>15596764817</v>
      </c>
    </row>
    <row r="1332" ht="15" customHeight="1" s="95">
      <c r="A1332" s="143" t="n">
        <v>45161</v>
      </c>
      <c r="B1332" s="146" t="n">
        <v>0.999795</v>
      </c>
      <c r="C1332" s="179" t="n">
        <v>25945490919</v>
      </c>
      <c r="D1332" s="179" t="n">
        <v>25950797861</v>
      </c>
      <c r="E1332" s="146" t="n">
        <v>1.0002</v>
      </c>
      <c r="F1332" s="179" t="n">
        <v>82886695209</v>
      </c>
      <c r="G1332" s="179" t="n">
        <v>82870160397</v>
      </c>
      <c r="H1332" s="179">
        <f>IFERROR(D1332+G1332,D1332)</f>
        <v/>
      </c>
      <c r="I1332" s="184">
        <f>IFERROR(D1332/H1332,"")</f>
        <v/>
      </c>
      <c r="J1332" s="179" t="n">
        <v>5190159572</v>
      </c>
      <c r="K1332" s="179" t="n">
        <v>10380319144</v>
      </c>
      <c r="L1332" s="179" t="n">
        <v>15570478717</v>
      </c>
    </row>
    <row r="1333" ht="15" customHeight="1" s="95">
      <c r="A1333" s="143" t="n">
        <v>45162</v>
      </c>
      <c r="B1333" s="146" t="n">
        <v>1.000291</v>
      </c>
      <c r="C1333" s="179" t="n">
        <v>25984996124</v>
      </c>
      <c r="D1333" s="179" t="n">
        <v>25977448043</v>
      </c>
      <c r="E1333" s="146" t="n">
        <v>1.001008</v>
      </c>
      <c r="F1333" s="179" t="n">
        <v>82864808775</v>
      </c>
      <c r="G1333" s="179" t="n">
        <v>82781344307</v>
      </c>
      <c r="H1333" s="179">
        <f>IFERROR(D1333+G1333,D1333)</f>
        <v/>
      </c>
      <c r="I1333" s="184">
        <f>IFERROR(D1333/H1333,"")</f>
        <v/>
      </c>
      <c r="J1333" s="179" t="n">
        <v>5195489609</v>
      </c>
      <c r="K1333" s="179" t="n">
        <v>10390979217</v>
      </c>
      <c r="L1333" s="179" t="n">
        <v>15586468826</v>
      </c>
    </row>
    <row r="1334" ht="15" customHeight="1" s="95">
      <c r="A1334" s="143" t="n">
        <v>45163</v>
      </c>
      <c r="B1334" s="146" t="n">
        <v>0.998997</v>
      </c>
      <c r="C1334" s="179" t="n">
        <v>25893306039</v>
      </c>
      <c r="D1334" s="179" t="n">
        <v>25919296639</v>
      </c>
      <c r="E1334" s="146" t="n">
        <v>0.99927</v>
      </c>
      <c r="F1334" s="179" t="n">
        <v>82792442087</v>
      </c>
      <c r="G1334" s="179" t="n">
        <v>82852946497</v>
      </c>
      <c r="H1334" s="179">
        <f>IFERROR(D1334+G1334,D1334)</f>
        <v/>
      </c>
      <c r="I1334" s="184">
        <f>IFERROR(D1334/H1334,"")</f>
        <v/>
      </c>
      <c r="J1334" s="179" t="n">
        <v>5183859328</v>
      </c>
      <c r="K1334" s="179" t="n">
        <v>10367718656</v>
      </c>
      <c r="L1334" s="179" t="n">
        <v>15551577983</v>
      </c>
    </row>
    <row r="1335" ht="15" customHeight="1" s="95">
      <c r="A1335" s="143" t="n">
        <v>45164</v>
      </c>
      <c r="B1335" s="146" t="n">
        <v>1.000383</v>
      </c>
      <c r="C1335" s="179" t="n">
        <v>25954981302</v>
      </c>
      <c r="D1335" s="179" t="n">
        <v>25945041239</v>
      </c>
      <c r="E1335" s="146" t="n">
        <v>0.999501</v>
      </c>
      <c r="F1335" s="179" t="n">
        <v>82820074363</v>
      </c>
      <c r="G1335" s="179" t="n">
        <v>82861409707</v>
      </c>
      <c r="H1335" s="179">
        <f>IFERROR(D1335+G1335,D1335)</f>
        <v/>
      </c>
      <c r="I1335" s="184">
        <f>IFERROR(D1335/H1335,"")</f>
        <v/>
      </c>
      <c r="J1335" s="179" t="n">
        <v>5189008248</v>
      </c>
      <c r="K1335" s="179" t="n">
        <v>10378016496</v>
      </c>
      <c r="L1335" s="179" t="n">
        <v>15567024743</v>
      </c>
    </row>
    <row r="1336" ht="15" customHeight="1" s="95">
      <c r="A1336" s="143" t="n">
        <v>45165</v>
      </c>
      <c r="B1336" s="146" t="n">
        <v>1.000032</v>
      </c>
      <c r="C1336" s="179" t="n">
        <v>26011880203</v>
      </c>
      <c r="D1336" s="179" t="n">
        <v>26011055034</v>
      </c>
      <c r="E1336" s="146" t="n">
        <v>0.999656</v>
      </c>
      <c r="F1336" s="179" t="n">
        <v>82787056266</v>
      </c>
      <c r="G1336" s="179" t="n">
        <v>82815531296</v>
      </c>
      <c r="H1336" s="179">
        <f>IFERROR(D1336+G1336,D1336)</f>
        <v/>
      </c>
      <c r="I1336" s="184">
        <f>IFERROR(D1336/H1336,"")</f>
        <v/>
      </c>
      <c r="J1336" s="179" t="n">
        <v>5202211007</v>
      </c>
      <c r="K1336" s="179" t="n">
        <v>10404422014</v>
      </c>
      <c r="L1336" s="179" t="n">
        <v>15606633020</v>
      </c>
    </row>
    <row r="1337" ht="15" customHeight="1" s="95">
      <c r="A1337" s="143" t="n">
        <v>45166</v>
      </c>
      <c r="B1337" s="146" t="n">
        <v>0.9998590000000001</v>
      </c>
      <c r="C1337" s="179" t="n">
        <v>26039627185</v>
      </c>
      <c r="D1337" s="179" t="n">
        <v>26043308701</v>
      </c>
      <c r="E1337" s="146" t="n">
        <v>0.999498</v>
      </c>
      <c r="F1337" s="179" t="n">
        <v>82810342708</v>
      </c>
      <c r="G1337" s="179" t="n">
        <v>82851899256</v>
      </c>
      <c r="H1337" s="179">
        <f>IFERROR(D1337+G1337,D1337)</f>
        <v/>
      </c>
      <c r="I1337" s="184">
        <f>IFERROR(D1337/H1337,"")</f>
        <v/>
      </c>
      <c r="J1337" s="179" t="n">
        <v>5208661740</v>
      </c>
      <c r="K1337" s="179" t="n">
        <v>10417323480</v>
      </c>
      <c r="L1337" s="179" t="n">
        <v>15625985221</v>
      </c>
    </row>
    <row r="1338" ht="15" customHeight="1" s="95">
      <c r="A1338" s="143" t="n">
        <v>45167</v>
      </c>
      <c r="B1338" s="146" t="n">
        <v>1.000206</v>
      </c>
      <c r="C1338" s="179" t="n">
        <v>26044969399</v>
      </c>
      <c r="D1338" s="179" t="n">
        <v>26039605821</v>
      </c>
      <c r="E1338" s="146" t="n">
        <v>0.99958</v>
      </c>
      <c r="F1338" s="179" t="n">
        <v>82839021147</v>
      </c>
      <c r="G1338" s="179" t="n">
        <v>82873808150</v>
      </c>
      <c r="H1338" s="179">
        <f>IFERROR(D1338+G1338,D1338)</f>
        <v/>
      </c>
      <c r="I1338" s="184">
        <f>IFERROR(D1338/H1338,"")</f>
        <v/>
      </c>
      <c r="J1338" s="179" t="n">
        <v>5207921164</v>
      </c>
      <c r="K1338" s="179" t="n">
        <v>10415842328</v>
      </c>
      <c r="L1338" s="179" t="n">
        <v>15623763493</v>
      </c>
    </row>
    <row r="1339" ht="15" customHeight="1" s="95">
      <c r="A1339" s="143" t="n">
        <v>45168</v>
      </c>
      <c r="B1339" s="146" t="n">
        <v>0.99976</v>
      </c>
      <c r="C1339" s="179" t="n">
        <v>26236003965</v>
      </c>
      <c r="D1339" s="179" t="n">
        <v>26242306532</v>
      </c>
      <c r="E1339" s="146" t="n">
        <v>0.9999130000000001</v>
      </c>
      <c r="F1339" s="179" t="n">
        <v>82842798968</v>
      </c>
      <c r="G1339" s="179" t="n">
        <v>82849998584</v>
      </c>
      <c r="H1339" s="179">
        <f>IFERROR(D1339+G1339,D1339)</f>
        <v/>
      </c>
      <c r="I1339" s="184">
        <f>IFERROR(D1339/H1339,"")</f>
        <v/>
      </c>
      <c r="J1339" s="179" t="n">
        <v>5248461306</v>
      </c>
      <c r="K1339" s="179" t="n">
        <v>10496922613</v>
      </c>
      <c r="L1339" s="179" t="n">
        <v>15745383919</v>
      </c>
    </row>
    <row r="1340" ht="15" customHeight="1" s="95">
      <c r="A1340" s="143" t="n">
        <v>45169</v>
      </c>
      <c r="B1340" s="146" t="n">
        <v>0.999764</v>
      </c>
      <c r="C1340" s="179" t="n">
        <v>26144886649</v>
      </c>
      <c r="D1340" s="179" t="n">
        <v>26151069958</v>
      </c>
      <c r="E1340" s="146" t="n">
        <v>0.999715</v>
      </c>
      <c r="F1340" s="179" t="n">
        <v>82830657293</v>
      </c>
      <c r="G1340" s="179" t="n">
        <v>82854261403</v>
      </c>
      <c r="H1340" s="179">
        <f>IFERROR(D1340+G1340,D1340)</f>
        <v/>
      </c>
      <c r="I1340" s="184">
        <f>IFERROR(D1340/H1340,"")</f>
        <v/>
      </c>
      <c r="J1340" s="179" t="n">
        <v>5230213992</v>
      </c>
      <c r="K1340" s="179" t="n">
        <v>10460427983</v>
      </c>
      <c r="L1340" s="179" t="n">
        <v>15690641975</v>
      </c>
    </row>
    <row r="1341" ht="15" customHeight="1" s="95">
      <c r="A1341" s="143" t="n">
        <v>45170</v>
      </c>
      <c r="B1341" s="146" t="n">
        <v>0.999246</v>
      </c>
      <c r="C1341" s="179" t="n">
        <v>26180791288</v>
      </c>
      <c r="D1341" s="179" t="n">
        <v>26200535289</v>
      </c>
      <c r="E1341" s="146" t="n">
        <v>0.999655</v>
      </c>
      <c r="F1341" s="179" t="n">
        <v>82859256820</v>
      </c>
      <c r="G1341" s="179" t="n">
        <v>82887843187</v>
      </c>
      <c r="H1341" s="179">
        <f>IFERROR(D1341+G1341,D1341)</f>
        <v/>
      </c>
      <c r="I1341" s="184">
        <f>IFERROR(D1341/H1341,"")</f>
        <v/>
      </c>
      <c r="J1341" s="179" t="n">
        <v>5240107058</v>
      </c>
      <c r="K1341" s="179" t="n">
        <v>10480214116</v>
      </c>
      <c r="L1341" s="179" t="n">
        <v>15720321173</v>
      </c>
    </row>
    <row r="1342" ht="15" customHeight="1" s="95">
      <c r="A1342" s="143" t="n">
        <v>45171</v>
      </c>
      <c r="B1342" s="146" t="n">
        <v>1.001439</v>
      </c>
      <c r="C1342" s="179" t="n">
        <v>26162323687</v>
      </c>
      <c r="D1342" s="179" t="n">
        <v>26124725030</v>
      </c>
      <c r="E1342" s="146" t="n">
        <v>0.999408</v>
      </c>
      <c r="F1342" s="179" t="n">
        <v>82873208039</v>
      </c>
      <c r="G1342" s="179" t="n">
        <v>82922312064</v>
      </c>
      <c r="H1342" s="179">
        <f>IFERROR(D1342+G1342,D1342)</f>
        <v/>
      </c>
      <c r="I1342" s="184">
        <f>IFERROR(D1342/H1342,"")</f>
        <v/>
      </c>
      <c r="J1342" s="179" t="n">
        <v>5224945006</v>
      </c>
      <c r="K1342" s="179" t="n">
        <v>10449890012</v>
      </c>
      <c r="L1342" s="179" t="n">
        <v>15674835018</v>
      </c>
    </row>
    <row r="1343" ht="15" customHeight="1" s="95">
      <c r="A1343" s="143" t="n">
        <v>45172</v>
      </c>
      <c r="B1343" s="146" t="n">
        <v>0.999887</v>
      </c>
      <c r="C1343" s="179" t="n">
        <v>26151762539</v>
      </c>
      <c r="D1343" s="179" t="n">
        <v>26154726920</v>
      </c>
      <c r="E1343" s="146" t="n">
        <v>0.99968</v>
      </c>
      <c r="F1343" s="179" t="n">
        <v>82890642638</v>
      </c>
      <c r="G1343" s="179" t="n">
        <v>82917142879</v>
      </c>
      <c r="H1343" s="179">
        <f>IFERROR(D1343+G1343,D1343)</f>
        <v/>
      </c>
      <c r="I1343" s="184">
        <f>IFERROR(D1343/H1343,"")</f>
        <v/>
      </c>
      <c r="J1343" s="179" t="n">
        <v>5230945384</v>
      </c>
      <c r="K1343" s="179" t="n">
        <v>10461890768</v>
      </c>
      <c r="L1343" s="179" t="n">
        <v>15692836152</v>
      </c>
    </row>
    <row r="1344" ht="15" customHeight="1" s="95">
      <c r="A1344" s="143" t="n">
        <v>45173</v>
      </c>
      <c r="B1344" s="146" t="n">
        <v>0.99977</v>
      </c>
      <c r="C1344" s="179" t="n">
        <v>26197777494</v>
      </c>
      <c r="D1344" s="179" t="n">
        <v>26203794613</v>
      </c>
      <c r="E1344" s="146" t="n">
        <v>0.999607</v>
      </c>
      <c r="F1344" s="179" t="n">
        <v>82840079833</v>
      </c>
      <c r="G1344" s="179" t="n">
        <v>82872611845</v>
      </c>
      <c r="H1344" s="179">
        <f>IFERROR(D1344+G1344,D1344)</f>
        <v/>
      </c>
      <c r="I1344" s="184">
        <f>IFERROR(D1344/H1344,"")</f>
        <v/>
      </c>
      <c r="J1344" s="179" t="n">
        <v>5240758923</v>
      </c>
      <c r="K1344" s="179" t="n">
        <v>10481517845</v>
      </c>
      <c r="L1344" s="179" t="n">
        <v>15722276768</v>
      </c>
    </row>
    <row r="1345" ht="15" customHeight="1" s="95">
      <c r="A1345" s="143" t="n">
        <v>45174</v>
      </c>
      <c r="B1345" s="146" t="n">
        <v>1.000191</v>
      </c>
      <c r="C1345" s="179" t="n">
        <v>26088723898</v>
      </c>
      <c r="D1345" s="179" t="n">
        <v>26083738502</v>
      </c>
      <c r="E1345" s="146" t="n">
        <v>0.999522</v>
      </c>
      <c r="F1345" s="179" t="n">
        <v>82762724711</v>
      </c>
      <c r="G1345" s="179" t="n">
        <v>82802303978</v>
      </c>
      <c r="H1345" s="179">
        <f>IFERROR(D1345+G1345,D1345)</f>
        <v/>
      </c>
      <c r="I1345" s="184">
        <f>IFERROR(D1345/H1345,"")</f>
        <v/>
      </c>
      <c r="J1345" s="179" t="n">
        <v>5216747700</v>
      </c>
      <c r="K1345" s="179" t="n">
        <v>10433495401</v>
      </c>
      <c r="L1345" s="179" t="n">
        <v>15650243101</v>
      </c>
    </row>
    <row r="1346" ht="15" customHeight="1" s="95">
      <c r="A1346" s="143" t="n">
        <v>45175</v>
      </c>
      <c r="B1346" s="146" t="n">
        <v>0.999759</v>
      </c>
      <c r="C1346" s="179" t="n">
        <v>26023804217</v>
      </c>
      <c r="D1346" s="179" t="n">
        <v>26030075520</v>
      </c>
      <c r="E1346" s="146" t="n">
        <v>0.99953</v>
      </c>
      <c r="F1346" s="179" t="n">
        <v>82836564032</v>
      </c>
      <c r="G1346" s="179" t="n">
        <v>82875496710</v>
      </c>
      <c r="H1346" s="179">
        <f>IFERROR(D1346+G1346,D1346)</f>
        <v/>
      </c>
      <c r="I1346" s="184">
        <f>IFERROR(D1346/H1346,"")</f>
        <v/>
      </c>
      <c r="J1346" s="179" t="n">
        <v>5206015104</v>
      </c>
      <c r="K1346" s="179" t="n">
        <v>10412030208</v>
      </c>
      <c r="L1346" s="179" t="n">
        <v>15618045312</v>
      </c>
    </row>
    <row r="1347" ht="15" customHeight="1" s="95">
      <c r="A1347" s="143" t="n">
        <v>45176</v>
      </c>
      <c r="B1347" s="146" t="n">
        <v>0.999728</v>
      </c>
      <c r="C1347" s="179" t="n">
        <v>26079440198</v>
      </c>
      <c r="D1347" s="179" t="n">
        <v>26086523505</v>
      </c>
      <c r="E1347" s="146" t="n">
        <v>0.999304</v>
      </c>
      <c r="F1347" s="179" t="n">
        <v>82872091764</v>
      </c>
      <c r="G1347" s="179" t="n">
        <v>82929809269</v>
      </c>
      <c r="H1347" s="179">
        <f>IFERROR(D1347+G1347,D1347)</f>
        <v/>
      </c>
      <c r="I1347" s="184">
        <f>IFERROR(D1347/H1347,"")</f>
        <v/>
      </c>
      <c r="J1347" s="179" t="n">
        <v>5217304701</v>
      </c>
      <c r="K1347" s="179" t="n">
        <v>10434609402</v>
      </c>
      <c r="L1347" s="179" t="n">
        <v>15651914103</v>
      </c>
    </row>
    <row r="1348" ht="15" customHeight="1" s="95">
      <c r="A1348" s="143" t="n">
        <v>45177</v>
      </c>
      <c r="B1348" s="146" t="n">
        <v>1.000639</v>
      </c>
      <c r="C1348" s="179" t="n">
        <v>25966326353</v>
      </c>
      <c r="D1348" s="179" t="n">
        <v>25949732868</v>
      </c>
      <c r="E1348" s="146" t="n">
        <v>0.999929</v>
      </c>
      <c r="F1348" s="179" t="n">
        <v>82848340323</v>
      </c>
      <c r="G1348" s="179" t="n">
        <v>82854244101</v>
      </c>
      <c r="H1348" s="179">
        <f>IFERROR(D1348+G1348,D1348)</f>
        <v/>
      </c>
      <c r="I1348" s="184">
        <f>IFERROR(D1348/H1348,"")</f>
        <v/>
      </c>
      <c r="J1348" s="179" t="n">
        <v>5189946574</v>
      </c>
      <c r="K1348" s="179" t="n">
        <v>10379893147</v>
      </c>
      <c r="L1348" s="179" t="n">
        <v>15569839721</v>
      </c>
    </row>
    <row r="1349" ht="15" customHeight="1" s="95">
      <c r="A1349" s="143" t="n">
        <v>45178</v>
      </c>
      <c r="B1349" s="146" t="n">
        <v>1.00017</v>
      </c>
      <c r="C1349" s="179" t="n">
        <v>26103592135</v>
      </c>
      <c r="D1349" s="179" t="n">
        <v>26099162578</v>
      </c>
      <c r="E1349" s="146" t="n">
        <v>0.9999980000000001</v>
      </c>
      <c r="F1349" s="179" t="n">
        <v>82994464811</v>
      </c>
      <c r="G1349" s="179" t="n">
        <v>82994610886</v>
      </c>
      <c r="H1349" s="179">
        <f>IFERROR(D1349+G1349,D1349)</f>
        <v/>
      </c>
      <c r="I1349" s="184">
        <f>IFERROR(D1349/H1349,"")</f>
        <v/>
      </c>
      <c r="J1349" s="179" t="n">
        <v>5219832516</v>
      </c>
      <c r="K1349" s="179" t="n">
        <v>10439665031</v>
      </c>
      <c r="L1349" s="179" t="n">
        <v>15659497547</v>
      </c>
    </row>
    <row r="1350" ht="15" customHeight="1" s="95">
      <c r="A1350" s="143" t="n">
        <v>45179</v>
      </c>
      <c r="B1350" s="146" t="n">
        <v>0.999785</v>
      </c>
      <c r="C1350" s="179" t="n">
        <v>26124853805</v>
      </c>
      <c r="D1350" s="179" t="n">
        <v>26130475563</v>
      </c>
      <c r="E1350" s="146" t="n">
        <v>0.999619</v>
      </c>
      <c r="F1350" s="179" t="n">
        <v>82979370479</v>
      </c>
      <c r="G1350" s="179" t="n">
        <v>83010963908</v>
      </c>
      <c r="H1350" s="179">
        <f>IFERROR(D1350+G1350,D1350)</f>
        <v/>
      </c>
      <c r="I1350" s="184">
        <f>IFERROR(D1350/H1350,"")</f>
        <v/>
      </c>
      <c r="J1350" s="179" t="n">
        <v>5226095113</v>
      </c>
      <c r="K1350" s="179" t="n">
        <v>10452190225</v>
      </c>
      <c r="L1350" s="179" t="n">
        <v>15678285338</v>
      </c>
    </row>
    <row r="1351" ht="15" customHeight="1" s="95">
      <c r="A1351" s="143" t="n">
        <v>45180</v>
      </c>
      <c r="B1351" s="146" t="n">
        <v>0.999743</v>
      </c>
      <c r="C1351" s="179" t="n">
        <v>26175966421</v>
      </c>
      <c r="D1351" s="179" t="n">
        <v>26182696721</v>
      </c>
      <c r="E1351" s="146" t="n">
        <v>0.999657</v>
      </c>
      <c r="F1351" s="179" t="n">
        <v>82989331119</v>
      </c>
      <c r="G1351" s="179" t="n">
        <v>83017787993</v>
      </c>
      <c r="H1351" s="179">
        <f>IFERROR(D1351+G1351,D1351)</f>
        <v/>
      </c>
      <c r="I1351" s="184">
        <f>IFERROR(D1351/H1351,"")</f>
        <v/>
      </c>
      <c r="J1351" s="179" t="n">
        <v>5236539344</v>
      </c>
      <c r="K1351" s="179" t="n">
        <v>10473078688</v>
      </c>
      <c r="L1351" s="179" t="n">
        <v>15709618033</v>
      </c>
    </row>
    <row r="1352" ht="15" customHeight="1" s="95">
      <c r="A1352" s="143" t="n">
        <v>45181</v>
      </c>
      <c r="B1352" s="146" t="n">
        <v>1.000239</v>
      </c>
      <c r="C1352" s="179" t="n">
        <v>26065403370</v>
      </c>
      <c r="D1352" s="179" t="n">
        <v>26059164684</v>
      </c>
      <c r="E1352" s="146" t="n">
        <v>0.999701</v>
      </c>
      <c r="F1352" s="179" t="n">
        <v>82963209450</v>
      </c>
      <c r="G1352" s="179" t="n">
        <v>82988018147</v>
      </c>
      <c r="H1352" s="179">
        <f>IFERROR(D1352+G1352,D1352)</f>
        <v/>
      </c>
      <c r="I1352" s="184">
        <f>IFERROR(D1352/H1352,"")</f>
        <v/>
      </c>
      <c r="J1352" s="179" t="n">
        <v>5211832937</v>
      </c>
      <c r="K1352" s="179" t="n">
        <v>10423665874</v>
      </c>
      <c r="L1352" s="179" t="n">
        <v>15635498810</v>
      </c>
    </row>
    <row r="1353" ht="15" customHeight="1" s="95">
      <c r="A1353" s="143" t="n">
        <v>45182</v>
      </c>
      <c r="B1353" s="146" t="n">
        <v>1.000399</v>
      </c>
      <c r="C1353" s="179" t="n">
        <v>26215663913</v>
      </c>
      <c r="D1353" s="179" t="n">
        <v>26205205740</v>
      </c>
      <c r="E1353" s="146" t="n">
        <v>1.000835</v>
      </c>
      <c r="F1353" s="179" t="n">
        <v>83082929863</v>
      </c>
      <c r="G1353" s="179" t="n">
        <v>83013592097</v>
      </c>
      <c r="H1353" s="179">
        <f>IFERROR(D1353+G1353,D1353)</f>
        <v/>
      </c>
      <c r="I1353" s="184">
        <f>IFERROR(D1353/H1353,"")</f>
        <v/>
      </c>
      <c r="J1353" s="179" t="n">
        <v>5241041148</v>
      </c>
      <c r="K1353" s="179" t="n">
        <v>10482082296</v>
      </c>
      <c r="L1353" s="179" t="n">
        <v>15723123444</v>
      </c>
    </row>
    <row r="1354" ht="15" customHeight="1" s="95">
      <c r="A1354" s="143" t="n">
        <v>45183</v>
      </c>
      <c r="B1354" s="146" t="n">
        <v>0.9999440000000001</v>
      </c>
      <c r="C1354" s="179" t="n">
        <v>26221834025</v>
      </c>
      <c r="D1354" s="179" t="n">
        <v>26223303476</v>
      </c>
      <c r="E1354" s="146" t="n">
        <v>1.000146</v>
      </c>
      <c r="F1354" s="179" t="n">
        <v>83059791981</v>
      </c>
      <c r="G1354" s="179" t="n">
        <v>83047629243</v>
      </c>
      <c r="H1354" s="179">
        <f>IFERROR(D1354+G1354,D1354)</f>
        <v/>
      </c>
      <c r="I1354" s="184">
        <f>IFERROR(D1354/H1354,"")</f>
        <v/>
      </c>
      <c r="J1354" s="179" t="n">
        <v>5244660695</v>
      </c>
      <c r="K1354" s="179" t="n">
        <v>10489321390</v>
      </c>
      <c r="L1354" s="179" t="n">
        <v>15733982086</v>
      </c>
    </row>
    <row r="1355" ht="15" customHeight="1" s="95">
      <c r="A1355" s="143" t="n">
        <v>45184</v>
      </c>
      <c r="B1355" s="146" t="n">
        <v>1.000125</v>
      </c>
      <c r="C1355" s="179" t="n">
        <v>26139507498</v>
      </c>
      <c r="D1355" s="179" t="n">
        <v>26136235938</v>
      </c>
      <c r="E1355" s="146" t="n">
        <v>1.000067</v>
      </c>
      <c r="F1355" s="179" t="n">
        <v>83052483552</v>
      </c>
      <c r="G1355" s="179" t="n">
        <v>83046922584</v>
      </c>
      <c r="H1355" s="179">
        <f>IFERROR(D1355+G1355,D1355)</f>
        <v/>
      </c>
      <c r="I1355" s="184">
        <f>IFERROR(D1355/H1355,"")</f>
        <v/>
      </c>
      <c r="J1355" s="179" t="n">
        <v>5227247188</v>
      </c>
      <c r="K1355" s="179" t="n">
        <v>10454494375</v>
      </c>
      <c r="L1355" s="179" t="n">
        <v>15681741563</v>
      </c>
    </row>
    <row r="1356" ht="15" customHeight="1" s="95">
      <c r="A1356" s="143" t="n">
        <v>45185</v>
      </c>
      <c r="B1356" s="146" t="n">
        <v>0.999124</v>
      </c>
      <c r="C1356" s="179" t="n">
        <v>26087551766</v>
      </c>
      <c r="D1356" s="179" t="n">
        <v>26110415659</v>
      </c>
      <c r="E1356" s="146" t="n">
        <v>0.999895</v>
      </c>
      <c r="F1356" s="179" t="n">
        <v>83007465778</v>
      </c>
      <c r="G1356" s="179" t="n">
        <v>83016213389</v>
      </c>
      <c r="H1356" s="179">
        <f>IFERROR(D1356+G1356,D1356)</f>
        <v/>
      </c>
      <c r="I1356" s="184">
        <f>IFERROR(D1356/H1356,"")</f>
        <v/>
      </c>
      <c r="J1356" s="179" t="n">
        <v>5222083132</v>
      </c>
      <c r="K1356" s="179" t="n">
        <v>10444166264</v>
      </c>
      <c r="L1356" s="179" t="n">
        <v>15666249395</v>
      </c>
    </row>
    <row r="1357" ht="15" customHeight="1" s="95">
      <c r="A1357" s="143" t="n">
        <v>45186</v>
      </c>
      <c r="B1357" s="146" t="n">
        <v>0.999573</v>
      </c>
      <c r="C1357" s="179" t="n">
        <v>26151982760</v>
      </c>
      <c r="D1357" s="179" t="n">
        <v>26163143986</v>
      </c>
      <c r="E1357" s="146" t="n">
        <v>1.000171</v>
      </c>
      <c r="F1357" s="179" t="n">
        <v>83054852766</v>
      </c>
      <c r="G1357" s="179" t="n">
        <v>83040655176</v>
      </c>
      <c r="H1357" s="179">
        <f>IFERROR(D1357+G1357,D1357)</f>
        <v/>
      </c>
      <c r="I1357" s="184">
        <f>IFERROR(D1357/H1357,"")</f>
        <v/>
      </c>
      <c r="J1357" s="179" t="n">
        <v>5232628797</v>
      </c>
      <c r="K1357" s="179" t="n">
        <v>10465257594</v>
      </c>
      <c r="L1357" s="179" t="n">
        <v>15697886392</v>
      </c>
    </row>
    <row r="1358" ht="15" customHeight="1" s="95">
      <c r="A1358" s="143" t="n">
        <v>45187</v>
      </c>
      <c r="B1358" s="146" t="n">
        <v>1.000267</v>
      </c>
      <c r="C1358" s="179" t="n">
        <v>26176194877</v>
      </c>
      <c r="D1358" s="179" t="n">
        <v>26169201817</v>
      </c>
      <c r="E1358" s="146" t="n">
        <v>1.000249</v>
      </c>
      <c r="F1358" s="179" t="n">
        <v>83068058627</v>
      </c>
      <c r="G1358" s="179" t="n">
        <v>83047405793</v>
      </c>
      <c r="H1358" s="179">
        <f>IFERROR(D1358+G1358,D1358)</f>
        <v/>
      </c>
      <c r="I1358" s="184">
        <f>IFERROR(D1358/H1358,"")</f>
        <v/>
      </c>
      <c r="J1358" s="179" t="n">
        <v>5233840363</v>
      </c>
      <c r="K1358" s="179" t="n">
        <v>10467680727</v>
      </c>
      <c r="L1358" s="179" t="n">
        <v>15701521090</v>
      </c>
    </row>
    <row r="1359" ht="15" customHeight="1" s="95">
      <c r="A1359" s="143" t="n">
        <v>45188</v>
      </c>
      <c r="B1359" s="146" t="n">
        <v>0.9995270000000001</v>
      </c>
      <c r="C1359" s="179" t="n">
        <v>26120587799</v>
      </c>
      <c r="D1359" s="179" t="n">
        <v>26132942544</v>
      </c>
      <c r="E1359" s="146" t="n">
        <v>0.999955</v>
      </c>
      <c r="F1359" s="179" t="n">
        <v>83094733747</v>
      </c>
      <c r="G1359" s="179" t="n">
        <v>83098468502</v>
      </c>
      <c r="H1359" s="179">
        <f>IFERROR(D1359+G1359,D1359)</f>
        <v/>
      </c>
      <c r="I1359" s="184">
        <f>IFERROR(D1359/H1359,"")</f>
        <v/>
      </c>
      <c r="J1359" s="179" t="n">
        <v>5226588509</v>
      </c>
      <c r="K1359" s="179" t="n">
        <v>10453177018</v>
      </c>
      <c r="L1359" s="179" t="n">
        <v>15679765526</v>
      </c>
    </row>
    <row r="1360" ht="15" customHeight="1" s="95">
      <c r="A1360" s="143" t="n">
        <v>45189</v>
      </c>
      <c r="B1360" s="146" t="n">
        <v>0.999696</v>
      </c>
      <c r="C1360" s="179" t="n">
        <v>26004718525</v>
      </c>
      <c r="D1360" s="179" t="n">
        <v>26012628223</v>
      </c>
      <c r="E1360" s="146" t="n">
        <v>0.999855</v>
      </c>
      <c r="F1360" s="179" t="n">
        <v>83176788712</v>
      </c>
      <c r="G1360" s="179" t="n">
        <v>83188851783</v>
      </c>
      <c r="H1360" s="179">
        <f>IFERROR(D1360+G1360,D1360)</f>
        <v/>
      </c>
      <c r="I1360" s="184">
        <f>IFERROR(D1360/H1360,"")</f>
        <v/>
      </c>
      <c r="J1360" s="179" t="n">
        <v>5202525645</v>
      </c>
      <c r="K1360" s="179" t="n">
        <v>10405051289</v>
      </c>
      <c r="L1360" s="179" t="n">
        <v>15607576934</v>
      </c>
    </row>
    <row r="1361" ht="15" customHeight="1" s="95">
      <c r="A1361" s="143" t="n">
        <v>45190</v>
      </c>
      <c r="B1361" s="146" t="n">
        <v>0.999421</v>
      </c>
      <c r="C1361" s="179" t="n">
        <v>25965333602</v>
      </c>
      <c r="D1361" s="179" t="n">
        <v>25980368660</v>
      </c>
      <c r="E1361" s="146" t="n">
        <v>0.999429</v>
      </c>
      <c r="F1361" s="179" t="n">
        <v>83200799692</v>
      </c>
      <c r="G1361" s="179" t="n">
        <v>83248303490</v>
      </c>
      <c r="H1361" s="179">
        <f>IFERROR(D1361+G1361,D1361)</f>
        <v/>
      </c>
      <c r="I1361" s="184">
        <f>IFERROR(D1361/H1361,"")</f>
        <v/>
      </c>
      <c r="J1361" s="179" t="n">
        <v>5196073732</v>
      </c>
      <c r="K1361" s="179" t="n">
        <v>10392147464</v>
      </c>
      <c r="L1361" s="179" t="n">
        <v>15588221196</v>
      </c>
    </row>
    <row r="1362" ht="15" customHeight="1" s="95">
      <c r="A1362" s="143" t="n">
        <v>45191</v>
      </c>
      <c r="B1362" s="146" t="n">
        <v>0.999587</v>
      </c>
      <c r="C1362" s="179" t="n">
        <v>25782866103</v>
      </c>
      <c r="D1362" s="179" t="n">
        <v>25793518869</v>
      </c>
      <c r="E1362" s="146" t="n">
        <v>0.99981</v>
      </c>
      <c r="F1362" s="179" t="n">
        <v>83189667143</v>
      </c>
      <c r="G1362" s="179" t="n">
        <v>83205505826</v>
      </c>
      <c r="H1362" s="179">
        <f>IFERROR(D1362+G1362,D1362)</f>
        <v/>
      </c>
      <c r="I1362" s="184">
        <f>IFERROR(D1362/H1362,"")</f>
        <v/>
      </c>
      <c r="J1362" s="179" t="n">
        <v>5158703774</v>
      </c>
      <c r="K1362" s="179" t="n">
        <v>10317407548</v>
      </c>
      <c r="L1362" s="179" t="n">
        <v>15476111321</v>
      </c>
    </row>
    <row r="1363" ht="15" customHeight="1" s="95">
      <c r="A1363" s="143" t="n">
        <v>45192</v>
      </c>
      <c r="B1363" s="146" t="n">
        <v>0.999951</v>
      </c>
      <c r="C1363" s="179" t="n">
        <v>25748181806</v>
      </c>
      <c r="D1363" s="179" t="n">
        <v>25749445797</v>
      </c>
      <c r="E1363" s="146" t="n">
        <v>1.000115</v>
      </c>
      <c r="F1363" s="179" t="n">
        <v>83212195829</v>
      </c>
      <c r="G1363" s="179" t="n">
        <v>83202593073</v>
      </c>
      <c r="H1363" s="179">
        <f>IFERROR(D1363+G1363,D1363)</f>
        <v/>
      </c>
      <c r="I1363" s="184">
        <f>IFERROR(D1363/H1363,"")</f>
        <v/>
      </c>
      <c r="J1363" s="179" t="n">
        <v>5149889159</v>
      </c>
      <c r="K1363" s="179" t="n">
        <v>10299778319</v>
      </c>
      <c r="L1363" s="179" t="n">
        <v>15449667478</v>
      </c>
    </row>
    <row r="1364" ht="15" customHeight="1" s="95">
      <c r="A1364" s="143" t="n">
        <v>45193</v>
      </c>
      <c r="B1364" s="146" t="n">
        <v>0.99978</v>
      </c>
      <c r="C1364" s="179" t="n">
        <v>25769013759</v>
      </c>
      <c r="D1364" s="179" t="n">
        <v>25774691033</v>
      </c>
      <c r="E1364" s="146" t="n">
        <v>1.000045</v>
      </c>
      <c r="F1364" s="179" t="n">
        <v>83210015223</v>
      </c>
      <c r="G1364" s="179" t="n">
        <v>83206235190</v>
      </c>
      <c r="H1364" s="179">
        <f>IFERROR(D1364+G1364,D1364)</f>
        <v/>
      </c>
      <c r="I1364" s="184">
        <f>IFERROR(D1364/H1364,"")</f>
        <v/>
      </c>
      <c r="J1364" s="179" t="n">
        <v>5154938207</v>
      </c>
      <c r="K1364" s="179" t="n">
        <v>10309876413</v>
      </c>
      <c r="L1364" s="179" t="n">
        <v>15464814620</v>
      </c>
    </row>
    <row r="1365" ht="15" customHeight="1" s="95">
      <c r="A1365" s="143" t="n">
        <v>45194</v>
      </c>
      <c r="B1365" s="146" t="n">
        <v>0.999733</v>
      </c>
      <c r="C1365" s="179" t="n">
        <v>25772018333</v>
      </c>
      <c r="D1365" s="179" t="n">
        <v>25778912089</v>
      </c>
      <c r="E1365" s="146" t="n">
        <v>1</v>
      </c>
      <c r="F1365" s="179" t="n">
        <v>83212248384</v>
      </c>
      <c r="G1365" s="179" t="n">
        <v>83212273710</v>
      </c>
      <c r="H1365" s="179">
        <f>IFERROR(D1365+G1365,D1365)</f>
        <v/>
      </c>
      <c r="I1365" s="184">
        <f>IFERROR(D1365/H1365,"")</f>
        <v/>
      </c>
      <c r="J1365" s="179" t="n">
        <v>5155782418</v>
      </c>
      <c r="K1365" s="179" t="n">
        <v>10311564836</v>
      </c>
      <c r="L1365" s="179" t="n">
        <v>15467347253</v>
      </c>
    </row>
    <row r="1366" ht="15" customHeight="1" s="95">
      <c r="A1366" s="143" t="n">
        <v>45195</v>
      </c>
      <c r="B1366" s="146" t="n">
        <v>0.999992</v>
      </c>
      <c r="C1366" s="179" t="n">
        <v>25671257667</v>
      </c>
      <c r="D1366" s="179" t="n">
        <v>25671461077</v>
      </c>
      <c r="E1366" s="146" t="n">
        <v>0.9997819999999999</v>
      </c>
      <c r="F1366" s="179" t="n">
        <v>83169840527</v>
      </c>
      <c r="G1366" s="179" t="n">
        <v>83187991691</v>
      </c>
      <c r="H1366" s="179">
        <f>IFERROR(D1366+G1366,D1366)</f>
        <v/>
      </c>
      <c r="I1366" s="184">
        <f>IFERROR(D1366/H1366,"")</f>
        <v/>
      </c>
      <c r="J1366" s="179" t="n">
        <v>5134292215</v>
      </c>
      <c r="K1366" s="179" t="n">
        <v>10268584431</v>
      </c>
      <c r="L1366" s="179" t="n">
        <v>15402876646</v>
      </c>
    </row>
    <row r="1367" ht="15" customHeight="1" s="95">
      <c r="A1367" s="143" t="n">
        <v>45196</v>
      </c>
      <c r="B1367" s="146" t="n">
        <v>0.9996080000000001</v>
      </c>
      <c r="C1367" s="179" t="n">
        <v>25606528757</v>
      </c>
      <c r="D1367" s="179" t="n">
        <v>25616561071</v>
      </c>
      <c r="E1367" s="146" t="n">
        <v>0.999532</v>
      </c>
      <c r="F1367" s="179" t="n">
        <v>83161369320</v>
      </c>
      <c r="G1367" s="179" t="n">
        <v>83200293985</v>
      </c>
      <c r="H1367" s="179">
        <f>IFERROR(D1367+G1367,D1367)</f>
        <v/>
      </c>
      <c r="I1367" s="184">
        <f>IFERROR(D1367/H1367,"")</f>
        <v/>
      </c>
      <c r="J1367" s="179" t="n">
        <v>5123312214</v>
      </c>
      <c r="K1367" s="179" t="n">
        <v>10246624428</v>
      </c>
      <c r="L1367" s="179" t="n">
        <v>15369936643</v>
      </c>
    </row>
    <row r="1368" ht="15" customHeight="1" s="95">
      <c r="A1368" s="143" t="n">
        <v>45197</v>
      </c>
      <c r="B1368" s="146" t="n">
        <v>1.0002</v>
      </c>
      <c r="C1368" s="179" t="n">
        <v>25482805598</v>
      </c>
      <c r="D1368" s="179" t="n">
        <v>25477700928</v>
      </c>
      <c r="E1368" s="146" t="n">
        <v>0.999394</v>
      </c>
      <c r="F1368" s="179" t="n">
        <v>83193672937</v>
      </c>
      <c r="G1368" s="179" t="n">
        <v>83244091237</v>
      </c>
      <c r="H1368" s="179">
        <f>IFERROR(D1368+G1368,D1368)</f>
        <v/>
      </c>
      <c r="I1368" s="184">
        <f>IFERROR(D1368/H1368,"")</f>
        <v/>
      </c>
      <c r="J1368" s="179" t="n">
        <v>5095540186</v>
      </c>
      <c r="K1368" s="179" t="n">
        <v>10191080371</v>
      </c>
      <c r="L1368" s="179" t="n">
        <v>15286620557</v>
      </c>
    </row>
    <row r="1369" ht="15" customHeight="1" s="95">
      <c r="A1369" s="143" t="n">
        <v>45198</v>
      </c>
      <c r="B1369" s="146" t="n">
        <v>0.999586</v>
      </c>
      <c r="C1369" s="179" t="n">
        <v>25579070003</v>
      </c>
      <c r="D1369" s="179" t="n">
        <v>25589670993</v>
      </c>
      <c r="E1369" s="146" t="n">
        <v>0.999653</v>
      </c>
      <c r="F1369" s="179" t="n">
        <v>83267423241</v>
      </c>
      <c r="G1369" s="179" t="n">
        <v>83296355148</v>
      </c>
      <c r="H1369" s="179">
        <f>IFERROR(D1369+G1369,D1369)</f>
        <v/>
      </c>
      <c r="I1369" s="184">
        <f>IFERROR(D1369/H1369,"")</f>
        <v/>
      </c>
      <c r="J1369" s="179" t="n">
        <v>5117934199</v>
      </c>
      <c r="K1369" s="179" t="n">
        <v>10235868397</v>
      </c>
      <c r="L1369" s="179" t="n">
        <v>15353802596</v>
      </c>
    </row>
    <row r="1370" ht="15" customHeight="1" s="95">
      <c r="A1370" s="143" t="n">
        <v>45199</v>
      </c>
      <c r="B1370" s="146" t="n">
        <v>0.999965</v>
      </c>
      <c r="C1370" s="179" t="n">
        <v>25054612501</v>
      </c>
      <c r="D1370" s="179" t="n">
        <v>25055486071</v>
      </c>
      <c r="E1370" s="146" t="n">
        <v>0.999862</v>
      </c>
      <c r="F1370" s="179" t="n">
        <v>83267971094</v>
      </c>
      <c r="G1370" s="179" t="n">
        <v>83279488086</v>
      </c>
      <c r="H1370" s="179">
        <f>IFERROR(D1370+G1370,D1370)</f>
        <v/>
      </c>
      <c r="I1370" s="184">
        <f>IFERROR(D1370/H1370,"")</f>
        <v/>
      </c>
      <c r="J1370" s="179" t="n">
        <v>5011097214</v>
      </c>
      <c r="K1370" s="179" t="n">
        <v>10022194428</v>
      </c>
      <c r="L1370" s="179" t="n">
        <v>15033291643</v>
      </c>
    </row>
    <row r="1371" ht="15" customHeight="1" s="95">
      <c r="A1371" s="143" t="n">
        <v>45200</v>
      </c>
      <c r="B1371" s="146" t="n">
        <v>1.000062</v>
      </c>
      <c r="C1371" s="179" t="n">
        <v>25109326927</v>
      </c>
      <c r="D1371" s="179" t="n">
        <v>25107780651</v>
      </c>
      <c r="E1371" s="146" t="n">
        <v>1.000082</v>
      </c>
      <c r="F1371" s="179" t="n">
        <v>83258001884</v>
      </c>
      <c r="G1371" s="179" t="n">
        <v>83251212446</v>
      </c>
      <c r="H1371" s="179">
        <f>IFERROR(D1371+G1371,D1371)</f>
        <v/>
      </c>
      <c r="I1371" s="184">
        <f>IFERROR(D1371/H1371,"")</f>
        <v/>
      </c>
      <c r="J1371" s="179" t="n">
        <v>5021556130</v>
      </c>
      <c r="K1371" s="179" t="n">
        <v>10043112260</v>
      </c>
      <c r="L1371" s="179" t="n">
        <v>15064668391</v>
      </c>
    </row>
    <row r="1372" ht="15" customHeight="1" s="95">
      <c r="A1372" s="143" t="n">
        <v>45201</v>
      </c>
      <c r="B1372" s="146" t="n">
        <v>1.00078</v>
      </c>
      <c r="C1372" s="179" t="n">
        <v>25169346026</v>
      </c>
      <c r="D1372" s="179" t="n">
        <v>25149716811</v>
      </c>
      <c r="E1372" s="146" t="n">
        <v>0.9997549999999999</v>
      </c>
      <c r="F1372" s="179" t="n">
        <v>83251476137</v>
      </c>
      <c r="G1372" s="179" t="n">
        <v>83271863914</v>
      </c>
      <c r="H1372" s="179">
        <f>IFERROR(D1372+G1372,D1372)</f>
        <v/>
      </c>
      <c r="I1372" s="184">
        <f>IFERROR(D1372/H1372,"")</f>
        <v/>
      </c>
      <c r="J1372" s="179" t="n">
        <v>5029943362</v>
      </c>
      <c r="K1372" s="179" t="n">
        <v>10059886724</v>
      </c>
      <c r="L1372" s="179" t="n">
        <v>15089830087</v>
      </c>
    </row>
    <row r="1373" ht="15" customHeight="1" s="95">
      <c r="A1373" s="143" t="n">
        <v>45202</v>
      </c>
      <c r="B1373" s="146" t="n">
        <v>1.000727</v>
      </c>
      <c r="C1373" s="179" t="n">
        <v>25337546387</v>
      </c>
      <c r="D1373" s="179" t="n">
        <v>25319144247</v>
      </c>
      <c r="E1373" s="146" t="n">
        <v>1.000096</v>
      </c>
      <c r="F1373" s="179" t="n">
        <v>83273336895</v>
      </c>
      <c r="G1373" s="179" t="n">
        <v>83265330018</v>
      </c>
      <c r="H1373" s="179">
        <f>IFERROR(D1373+G1373,D1373)</f>
        <v/>
      </c>
      <c r="I1373" s="184">
        <f>IFERROR(D1373/H1373,"")</f>
        <v/>
      </c>
      <c r="J1373" s="179" t="n">
        <v>5063828849</v>
      </c>
      <c r="K1373" s="179" t="n">
        <v>10127657699</v>
      </c>
      <c r="L1373" s="179" t="n">
        <v>15191486548</v>
      </c>
    </row>
    <row r="1374" ht="15" customHeight="1" s="95">
      <c r="A1374" s="143" t="n">
        <v>45203</v>
      </c>
      <c r="B1374" s="146" t="n">
        <v>0.9999</v>
      </c>
      <c r="C1374" s="179" t="n">
        <v>25301297057</v>
      </c>
      <c r="D1374" s="179" t="n">
        <v>25303825911</v>
      </c>
      <c r="E1374" s="146" t="n">
        <v>1.000235</v>
      </c>
      <c r="F1374" s="179" t="n">
        <v>83352369985</v>
      </c>
      <c r="G1374" s="179" t="n">
        <v>83332782549</v>
      </c>
      <c r="H1374" s="179">
        <f>IFERROR(D1374+G1374,D1374)</f>
        <v/>
      </c>
      <c r="I1374" s="184">
        <f>IFERROR(D1374/H1374,"")</f>
        <v/>
      </c>
      <c r="J1374" s="179" t="n">
        <v>5060765182</v>
      </c>
      <c r="K1374" s="179" t="n">
        <v>10121530364</v>
      </c>
      <c r="L1374" s="179" t="n">
        <v>15182295547</v>
      </c>
    </row>
    <row r="1375" ht="15" customHeight="1" s="95">
      <c r="A1375" s="143" t="n">
        <v>45204</v>
      </c>
      <c r="B1375" s="146" t="n">
        <v>0.99976</v>
      </c>
      <c r="C1375" s="179" t="n">
        <v>25223334165</v>
      </c>
      <c r="D1375" s="179" t="n">
        <v>25229390482</v>
      </c>
      <c r="E1375" s="146" t="n">
        <v>1.000066</v>
      </c>
      <c r="F1375" s="179" t="n">
        <v>83356125474</v>
      </c>
      <c r="G1375" s="179" t="n">
        <v>83350587380</v>
      </c>
      <c r="H1375" s="179">
        <f>IFERROR(D1375+G1375,D1375)</f>
        <v/>
      </c>
      <c r="I1375" s="184">
        <f>IFERROR(D1375/H1375,"")</f>
        <v/>
      </c>
      <c r="J1375" s="179" t="n">
        <v>5045878096</v>
      </c>
      <c r="K1375" s="179" t="n">
        <v>10091756193</v>
      </c>
      <c r="L1375" s="179" t="n">
        <v>15137634289</v>
      </c>
    </row>
    <row r="1376" ht="15" customHeight="1" s="95">
      <c r="A1376" s="143" t="n">
        <v>45205</v>
      </c>
      <c r="B1376" s="146" t="n">
        <v>1.000397</v>
      </c>
      <c r="C1376" s="179" t="n">
        <v>25212207517</v>
      </c>
      <c r="D1376" s="179" t="n">
        <v>25202198904</v>
      </c>
      <c r="E1376" s="146" t="n">
        <v>0.99977</v>
      </c>
      <c r="F1376" s="179" t="n">
        <v>83359091468</v>
      </c>
      <c r="G1376" s="179" t="n">
        <v>83378296424</v>
      </c>
      <c r="H1376" s="179">
        <f>IFERROR(D1376+G1376,D1376)</f>
        <v/>
      </c>
      <c r="I1376" s="184">
        <f>IFERROR(D1376/H1376,"")</f>
        <v/>
      </c>
      <c r="J1376" s="179" t="n">
        <v>5040439781</v>
      </c>
      <c r="K1376" s="179" t="n">
        <v>10080879562</v>
      </c>
      <c r="L1376" s="179" t="n">
        <v>15121319342</v>
      </c>
    </row>
    <row r="1377" ht="15" customHeight="1" s="95">
      <c r="A1377" s="143" t="n">
        <v>45206</v>
      </c>
      <c r="B1377" s="146" t="n">
        <v>1.000161</v>
      </c>
      <c r="C1377" s="179" t="n">
        <v>25496505235</v>
      </c>
      <c r="D1377" s="179" t="n">
        <v>25492388568</v>
      </c>
      <c r="E1377" s="146" t="n">
        <v>1.000955</v>
      </c>
      <c r="F1377" s="179" t="n">
        <v>83413565108</v>
      </c>
      <c r="G1377" s="179" t="n">
        <v>83333958724</v>
      </c>
      <c r="H1377" s="179">
        <f>IFERROR(D1377+G1377,D1377)</f>
        <v/>
      </c>
      <c r="I1377" s="184">
        <f>IFERROR(D1377/H1377,"")</f>
        <v/>
      </c>
      <c r="J1377" s="179" t="n">
        <v>5098477714</v>
      </c>
      <c r="K1377" s="179" t="n">
        <v>10196955427</v>
      </c>
      <c r="L1377" s="179" t="n">
        <v>15295433141</v>
      </c>
    </row>
    <row r="1378" ht="15" customHeight="1" s="95">
      <c r="A1378" s="143" t="n">
        <v>45207</v>
      </c>
      <c r="B1378" s="146" t="n">
        <v>1.000189</v>
      </c>
      <c r="C1378" s="179" t="n">
        <v>25538082195</v>
      </c>
      <c r="D1378" s="179" t="n">
        <v>25533255235</v>
      </c>
      <c r="E1378" s="146" t="n">
        <v>1.000754</v>
      </c>
      <c r="F1378" s="179" t="n">
        <v>83525460690</v>
      </c>
      <c r="G1378" s="179" t="n">
        <v>83462561099</v>
      </c>
      <c r="H1378" s="179">
        <f>IFERROR(D1378+G1378,D1378)</f>
        <v/>
      </c>
      <c r="I1378" s="184">
        <f>IFERROR(D1378/H1378,"")</f>
        <v/>
      </c>
      <c r="J1378" s="179" t="n">
        <v>5106651047</v>
      </c>
      <c r="K1378" s="179" t="n">
        <v>10213302094</v>
      </c>
      <c r="L1378" s="179" t="n">
        <v>15319953141</v>
      </c>
    </row>
    <row r="1379" ht="15" customHeight="1" s="95">
      <c r="A1379" s="143" t="n">
        <v>45208</v>
      </c>
      <c r="B1379" s="146" t="n">
        <v>1.000287</v>
      </c>
      <c r="C1379" s="179" t="n">
        <v>25568023260</v>
      </c>
      <c r="D1379" s="179" t="n">
        <v>25560681152</v>
      </c>
      <c r="E1379" s="146" t="n">
        <v>1.000598</v>
      </c>
      <c r="F1379" s="179" t="n">
        <v>83516000504</v>
      </c>
      <c r="G1379" s="179" t="n">
        <v>83466115720</v>
      </c>
      <c r="H1379" s="179">
        <f>IFERROR(D1379+G1379,D1379)</f>
        <v/>
      </c>
      <c r="I1379" s="184">
        <f>IFERROR(D1379/H1379,"")</f>
        <v/>
      </c>
      <c r="J1379" s="179" t="n">
        <v>5112136230</v>
      </c>
      <c r="K1379" s="179" t="n">
        <v>10224272461</v>
      </c>
      <c r="L1379" s="179" t="n">
        <v>15336408691</v>
      </c>
    </row>
    <row r="1380" ht="15" customHeight="1" s="95">
      <c r="A1380" s="143" t="n">
        <v>45209</v>
      </c>
      <c r="B1380" s="146" t="n">
        <v>1.000013</v>
      </c>
      <c r="C1380" s="179" t="n">
        <v>25508087590</v>
      </c>
      <c r="D1380" s="179" t="n">
        <v>25507754435</v>
      </c>
      <c r="E1380" s="146" t="n">
        <v>1.000134</v>
      </c>
      <c r="F1380" s="179" t="n">
        <v>83524066604</v>
      </c>
      <c r="G1380" s="179" t="n">
        <v>83512878884</v>
      </c>
      <c r="H1380" s="179">
        <f>IFERROR(D1380+G1380,D1380)</f>
        <v/>
      </c>
      <c r="I1380" s="184">
        <f>IFERROR(D1380/H1380,"")</f>
        <v/>
      </c>
      <c r="J1380" s="179" t="n">
        <v>5101550887</v>
      </c>
      <c r="K1380" s="179" t="n">
        <v>10203101774</v>
      </c>
      <c r="L1380" s="179" t="n">
        <v>15304652661</v>
      </c>
    </row>
    <row r="1381" ht="15" customHeight="1" s="95">
      <c r="A1381" s="143" t="n">
        <v>45210</v>
      </c>
      <c r="B1381" s="146" t="n">
        <v>0.999808</v>
      </c>
      <c r="C1381" s="179" t="n">
        <v>25378591457</v>
      </c>
      <c r="D1381" s="179" t="n">
        <v>25383463993</v>
      </c>
      <c r="E1381" s="146" t="n">
        <v>0.99998</v>
      </c>
      <c r="F1381" s="179" t="n">
        <v>83483900707</v>
      </c>
      <c r="G1381" s="179" t="n">
        <v>83485559609</v>
      </c>
      <c r="H1381" s="179">
        <f>IFERROR(D1381+G1381,D1381)</f>
        <v/>
      </c>
      <c r="I1381" s="184">
        <f>IFERROR(D1381/H1381,"")</f>
        <v/>
      </c>
      <c r="J1381" s="179" t="n">
        <v>5076692799</v>
      </c>
      <c r="K1381" s="179" t="n">
        <v>10153385597</v>
      </c>
      <c r="L1381" s="179" t="n">
        <v>15230078396</v>
      </c>
    </row>
    <row r="1382" ht="15" customHeight="1" s="95">
      <c r="A1382" s="143" t="n">
        <v>45211</v>
      </c>
      <c r="B1382" s="146" t="n">
        <v>1.000086</v>
      </c>
      <c r="C1382" s="179" t="n">
        <v>25240293496</v>
      </c>
      <c r="D1382" s="179" t="n">
        <v>25238134376</v>
      </c>
      <c r="E1382" s="146" t="n">
        <v>0.999544</v>
      </c>
      <c r="F1382" s="179" t="n">
        <v>83499673027</v>
      </c>
      <c r="G1382" s="179" t="n">
        <v>83537795218</v>
      </c>
      <c r="H1382" s="179">
        <f>IFERROR(D1382+G1382,D1382)</f>
        <v/>
      </c>
      <c r="I1382" s="184">
        <f>IFERROR(D1382/H1382,"")</f>
        <v/>
      </c>
      <c r="J1382" s="179" t="n">
        <v>5047626875</v>
      </c>
      <c r="K1382" s="179" t="n">
        <v>10095253750</v>
      </c>
      <c r="L1382" s="179" t="n">
        <v>15142880626</v>
      </c>
    </row>
    <row r="1383" ht="15" customHeight="1" s="95">
      <c r="A1383" s="143" t="n">
        <v>45212</v>
      </c>
      <c r="B1383" s="146" t="n">
        <v>0.999405</v>
      </c>
      <c r="C1383" s="179" t="n">
        <v>25095845456</v>
      </c>
      <c r="D1383" s="179" t="n">
        <v>25110788813</v>
      </c>
      <c r="E1383" s="146" t="n">
        <v>0.999501</v>
      </c>
      <c r="F1383" s="179" t="n">
        <v>83483796073</v>
      </c>
      <c r="G1383" s="179" t="n">
        <v>83525440081</v>
      </c>
      <c r="H1383" s="179">
        <f>IFERROR(D1383+G1383,D1383)</f>
        <v/>
      </c>
      <c r="I1383" s="184">
        <f>IFERROR(D1383/H1383,"")</f>
        <v/>
      </c>
      <c r="J1383" s="179" t="n">
        <v>5022157763</v>
      </c>
      <c r="K1383" s="179" t="n">
        <v>10044315525</v>
      </c>
      <c r="L1383" s="179" t="n">
        <v>15066473288</v>
      </c>
    </row>
    <row r="1384" ht="15" customHeight="1" s="95">
      <c r="A1384" s="143" t="n">
        <v>45213</v>
      </c>
      <c r="B1384" s="146" t="n">
        <v>1.000059</v>
      </c>
      <c r="C1384" s="179" t="n">
        <v>25094006156</v>
      </c>
      <c r="D1384" s="179" t="n">
        <v>25092535530</v>
      </c>
      <c r="E1384" s="146" t="n">
        <v>0.999721</v>
      </c>
      <c r="F1384" s="179" t="n">
        <v>83498697221</v>
      </c>
      <c r="G1384" s="179" t="n">
        <v>83522033057</v>
      </c>
      <c r="H1384" s="179">
        <f>IFERROR(D1384+G1384,D1384)</f>
        <v/>
      </c>
      <c r="I1384" s="184">
        <f>IFERROR(D1384/H1384,"")</f>
        <v/>
      </c>
      <c r="J1384" s="179" t="n">
        <v>5018507106</v>
      </c>
      <c r="K1384" s="179" t="n">
        <v>10037014212</v>
      </c>
      <c r="L1384" s="179" t="n">
        <v>15055521318</v>
      </c>
    </row>
    <row r="1385" ht="15" customHeight="1" s="95">
      <c r="A1385" s="143" t="n">
        <v>45214</v>
      </c>
      <c r="B1385" s="146" t="n">
        <v>1.000111</v>
      </c>
      <c r="C1385" s="179" t="n">
        <v>25134530786</v>
      </c>
      <c r="D1385" s="179" t="n">
        <v>25131729281</v>
      </c>
      <c r="E1385" s="146" t="n">
        <v>1.000193</v>
      </c>
      <c r="F1385" s="179" t="n">
        <v>83532889783</v>
      </c>
      <c r="G1385" s="179" t="n">
        <v>83516760616</v>
      </c>
      <c r="H1385" s="179">
        <f>IFERROR(D1385+G1385,D1385)</f>
        <v/>
      </c>
      <c r="I1385" s="184">
        <f>IFERROR(D1385/H1385,"")</f>
        <v/>
      </c>
      <c r="J1385" s="179" t="n">
        <v>5026345856</v>
      </c>
      <c r="K1385" s="179" t="n">
        <v>10052691712</v>
      </c>
      <c r="L1385" s="179" t="n">
        <v>15079037569</v>
      </c>
    </row>
    <row r="1386" ht="15" customHeight="1" s="95">
      <c r="A1386" s="143" t="n">
        <v>45215</v>
      </c>
      <c r="B1386" s="146" t="n">
        <v>1.000028</v>
      </c>
      <c r="C1386" s="179" t="n">
        <v>25170230880</v>
      </c>
      <c r="D1386" s="179" t="n">
        <v>25169524088</v>
      </c>
      <c r="E1386" s="146" t="n">
        <v>0.999834</v>
      </c>
      <c r="F1386" s="179" t="n">
        <v>83559393903</v>
      </c>
      <c r="G1386" s="179" t="n">
        <v>83573299595</v>
      </c>
      <c r="H1386" s="179">
        <f>IFERROR(D1386+G1386,D1386)</f>
        <v/>
      </c>
      <c r="I1386" s="184">
        <f>IFERROR(D1386/H1386,"")</f>
        <v/>
      </c>
      <c r="J1386" s="179" t="n">
        <v>5033904818</v>
      </c>
      <c r="K1386" s="179" t="n">
        <v>10067809635</v>
      </c>
      <c r="L1386" s="179" t="n">
        <v>15101714453</v>
      </c>
    </row>
    <row r="1387" ht="15" customHeight="1" s="95">
      <c r="A1387" s="143" t="n">
        <v>45216</v>
      </c>
      <c r="B1387" s="146" t="n">
        <v>0.999726</v>
      </c>
      <c r="C1387" s="179" t="n">
        <v>25251308999</v>
      </c>
      <c r="D1387" s="179" t="n">
        <v>25258218679</v>
      </c>
      <c r="E1387" s="146" t="n">
        <v>1.000625</v>
      </c>
      <c r="F1387" s="179" t="n">
        <v>83577695008</v>
      </c>
      <c r="G1387" s="179" t="n">
        <v>83525462761</v>
      </c>
      <c r="H1387" s="179">
        <f>IFERROR(D1387+G1387,D1387)</f>
        <v/>
      </c>
      <c r="I1387" s="184">
        <f>IFERROR(D1387/H1387,"")</f>
        <v/>
      </c>
      <c r="J1387" s="179" t="n">
        <v>5051643736</v>
      </c>
      <c r="K1387" s="179" t="n">
        <v>10103287472</v>
      </c>
      <c r="L1387" s="179" t="n">
        <v>15154931207</v>
      </c>
    </row>
    <row r="1388" ht="15" customHeight="1" s="95">
      <c r="A1388" s="143" t="n">
        <v>45217</v>
      </c>
      <c r="B1388" s="146" t="n">
        <v>0.99982</v>
      </c>
      <c r="C1388" s="179" t="n">
        <v>25297505584</v>
      </c>
      <c r="D1388" s="179" t="n">
        <v>25302052451</v>
      </c>
      <c r="E1388" s="146" t="n">
        <v>1.000426</v>
      </c>
      <c r="F1388" s="179" t="n">
        <v>83610268590</v>
      </c>
      <c r="G1388" s="179" t="n">
        <v>83574704445</v>
      </c>
      <c r="H1388" s="179">
        <f>IFERROR(D1388+G1388,D1388)</f>
        <v/>
      </c>
      <c r="I1388" s="184">
        <f>IFERROR(D1388/H1388,"")</f>
        <v/>
      </c>
      <c r="J1388" s="179" t="n">
        <v>5060410490</v>
      </c>
      <c r="K1388" s="179" t="n">
        <v>10120820980</v>
      </c>
      <c r="L1388" s="179" t="n">
        <v>15181231471</v>
      </c>
    </row>
    <row r="1389" ht="15" customHeight="1" s="95">
      <c r="A1389" s="143" t="n">
        <v>45218</v>
      </c>
      <c r="B1389" s="146" t="n">
        <v>0.999961</v>
      </c>
      <c r="C1389" s="179" t="n">
        <v>25364965109</v>
      </c>
      <c r="D1389" s="179" t="n">
        <v>25365946536</v>
      </c>
      <c r="E1389" s="146" t="n">
        <v>1.000212</v>
      </c>
      <c r="F1389" s="179" t="n">
        <v>83694671690</v>
      </c>
      <c r="G1389" s="179" t="n">
        <v>83676893974</v>
      </c>
      <c r="H1389" s="179">
        <f>IFERROR(D1389+G1389,D1389)</f>
        <v/>
      </c>
      <c r="I1389" s="184">
        <f>IFERROR(D1389/H1389,"")</f>
        <v/>
      </c>
      <c r="J1389" s="179" t="n">
        <v>5073189307</v>
      </c>
      <c r="K1389" s="179" t="n">
        <v>10146378614</v>
      </c>
      <c r="L1389" s="179" t="n">
        <v>15219567922</v>
      </c>
    </row>
    <row r="1390" ht="15" customHeight="1" s="95">
      <c r="A1390" s="143" t="n">
        <v>45219</v>
      </c>
      <c r="B1390" s="146" t="n">
        <v>1.001228</v>
      </c>
      <c r="C1390" s="179" t="n">
        <v>25498367891</v>
      </c>
      <c r="D1390" s="179" t="n">
        <v>25467105037</v>
      </c>
      <c r="E1390" s="146" t="n">
        <v>1.000694</v>
      </c>
      <c r="F1390" s="179" t="n">
        <v>83882616971</v>
      </c>
      <c r="G1390" s="179" t="n">
        <v>83824476431</v>
      </c>
      <c r="H1390" s="179">
        <f>IFERROR(D1390+G1390,D1390)</f>
        <v/>
      </c>
      <c r="I1390" s="184">
        <f>IFERROR(D1390/H1390,"")</f>
        <v/>
      </c>
      <c r="J1390" s="179" t="n">
        <v>5093421007</v>
      </c>
      <c r="K1390" s="179" t="n">
        <v>10186842015</v>
      </c>
      <c r="L1390" s="179" t="n">
        <v>15280263022</v>
      </c>
    </row>
    <row r="1391" ht="15" customHeight="1" s="95">
      <c r="A1391" s="143" t="n">
        <v>45220</v>
      </c>
      <c r="B1391" s="146" t="n">
        <v>0.998868</v>
      </c>
      <c r="C1391" s="179" t="n">
        <v>25535510780</v>
      </c>
      <c r="D1391" s="179" t="n">
        <v>25564446387</v>
      </c>
      <c r="E1391" s="146" t="n">
        <v>1.00026</v>
      </c>
      <c r="F1391" s="179" t="n">
        <v>83967018889</v>
      </c>
      <c r="G1391" s="179" t="n">
        <v>83945223948</v>
      </c>
      <c r="H1391" s="179">
        <f>IFERROR(D1391+G1391,D1391)</f>
        <v/>
      </c>
      <c r="I1391" s="184">
        <f>IFERROR(D1391/H1391,"")</f>
        <v/>
      </c>
      <c r="J1391" s="179" t="n">
        <v>5112889277</v>
      </c>
      <c r="K1391" s="179" t="n">
        <v>10225778555</v>
      </c>
      <c r="L1391" s="179" t="n">
        <v>15338667832</v>
      </c>
    </row>
    <row r="1392" ht="15" customHeight="1" s="95">
      <c r="A1392" s="143" t="n">
        <v>45221</v>
      </c>
      <c r="B1392" s="146" t="n">
        <v>1.000926</v>
      </c>
      <c r="C1392" s="179" t="n">
        <v>25591119614</v>
      </c>
      <c r="D1392" s="179" t="n">
        <v>25567432408</v>
      </c>
      <c r="E1392" s="146" t="n">
        <v>1.000371</v>
      </c>
      <c r="F1392" s="179" t="n">
        <v>84189037781</v>
      </c>
      <c r="G1392" s="179" t="n">
        <v>84157792263</v>
      </c>
      <c r="H1392" s="179">
        <f>IFERROR(D1392+G1392,D1392)</f>
        <v/>
      </c>
      <c r="I1392" s="184">
        <f>IFERROR(D1392/H1392,"")</f>
        <v/>
      </c>
      <c r="J1392" s="179" t="n">
        <v>5113486482</v>
      </c>
      <c r="K1392" s="179" t="n">
        <v>10226972963</v>
      </c>
      <c r="L1392" s="179" t="n">
        <v>15340459445</v>
      </c>
    </row>
    <row r="1393" ht="15" customHeight="1" s="95">
      <c r="A1393" s="143" t="n">
        <v>45222</v>
      </c>
      <c r="B1393" s="146" t="n">
        <v>1.000624</v>
      </c>
      <c r="C1393" s="179" t="n">
        <v>25560733459</v>
      </c>
      <c r="D1393" s="179" t="n">
        <v>25544786545</v>
      </c>
      <c r="E1393" s="146" t="n">
        <v>1.000827</v>
      </c>
      <c r="F1393" s="179" t="n">
        <v>84215958770</v>
      </c>
      <c r="G1393" s="179" t="n">
        <v>84146374596</v>
      </c>
      <c r="H1393" s="179">
        <f>IFERROR(D1393+G1393,D1393)</f>
        <v/>
      </c>
      <c r="I1393" s="184">
        <f>IFERROR(D1393/H1393,"")</f>
        <v/>
      </c>
      <c r="J1393" s="179" t="n">
        <v>5108957309</v>
      </c>
      <c r="K1393" s="179" t="n">
        <v>10217914618</v>
      </c>
      <c r="L1393" s="179" t="n">
        <v>15326871927</v>
      </c>
    </row>
    <row r="1394" ht="15" customHeight="1" s="95">
      <c r="A1394" s="143" t="n">
        <v>45223</v>
      </c>
      <c r="B1394" s="146" t="n">
        <v>1.000372</v>
      </c>
      <c r="C1394" s="179" t="n">
        <v>25480966000</v>
      </c>
      <c r="D1394" s="179" t="n">
        <v>25471498320</v>
      </c>
      <c r="E1394" s="146" t="n">
        <v>1.001324</v>
      </c>
      <c r="F1394" s="179" t="n">
        <v>84294092789</v>
      </c>
      <c r="G1394" s="179" t="n">
        <v>84182651944</v>
      </c>
      <c r="H1394" s="179">
        <f>IFERROR(D1394+G1394,D1394)</f>
        <v/>
      </c>
      <c r="I1394" s="184">
        <f>IFERROR(D1394/H1394,"")</f>
        <v/>
      </c>
      <c r="J1394" s="179" t="n">
        <v>5094299664</v>
      </c>
      <c r="K1394" s="179" t="n">
        <v>10188599328</v>
      </c>
      <c r="L1394" s="179" t="n">
        <v>15282898992</v>
      </c>
    </row>
    <row r="1395" ht="15" customHeight="1" s="95">
      <c r="A1395" s="143" t="n">
        <v>45224</v>
      </c>
      <c r="B1395" s="146" t="n">
        <v>1.000771</v>
      </c>
      <c r="C1395" s="179" t="n">
        <v>25096183294</v>
      </c>
      <c r="D1395" s="179" t="n">
        <v>25076857430</v>
      </c>
      <c r="E1395" s="146" t="n">
        <v>1.000154</v>
      </c>
      <c r="F1395" s="179" t="n">
        <v>84345202670</v>
      </c>
      <c r="G1395" s="179" t="n">
        <v>84332202236</v>
      </c>
      <c r="H1395" s="179">
        <f>IFERROR(D1395+G1395,D1395)</f>
        <v/>
      </c>
      <c r="I1395" s="184">
        <f>IFERROR(D1395/H1395,"")</f>
        <v/>
      </c>
      <c r="J1395" s="179" t="n">
        <v>5015371486</v>
      </c>
      <c r="K1395" s="179" t="n">
        <v>10030742972</v>
      </c>
      <c r="L1395" s="179" t="n">
        <v>15046114458</v>
      </c>
    </row>
    <row r="1396" ht="15" customHeight="1" s="95">
      <c r="A1396" s="143" t="n">
        <v>45225</v>
      </c>
      <c r="B1396" s="146" t="n">
        <v>1.000045</v>
      </c>
      <c r="C1396" s="179" t="n">
        <v>25167836259</v>
      </c>
      <c r="D1396" s="179" t="n">
        <v>25166713681</v>
      </c>
      <c r="E1396" s="146" t="n">
        <v>1.000577</v>
      </c>
      <c r="F1396" s="179" t="n">
        <v>84259856520</v>
      </c>
      <c r="G1396" s="179" t="n">
        <v>84211238957</v>
      </c>
      <c r="H1396" s="179">
        <f>IFERROR(D1396+G1396,D1396)</f>
        <v/>
      </c>
      <c r="I1396" s="184">
        <f>IFERROR(D1396/H1396,"")</f>
        <v/>
      </c>
      <c r="J1396" s="179" t="n">
        <v>5033342736</v>
      </c>
      <c r="K1396" s="179" t="n">
        <v>10066685472</v>
      </c>
      <c r="L1396" s="179" t="n">
        <v>15100028209</v>
      </c>
    </row>
    <row r="1397" ht="15" customHeight="1" s="95">
      <c r="A1397" s="143" t="n">
        <v>45226</v>
      </c>
      <c r="B1397" s="146" t="n">
        <v>1.000346</v>
      </c>
      <c r="C1397" s="179" t="n">
        <v>25084770499</v>
      </c>
      <c r="D1397" s="179" t="n">
        <v>25076086026</v>
      </c>
      <c r="E1397" s="146" t="n">
        <v>1.000532</v>
      </c>
      <c r="F1397" s="179" t="n">
        <v>84406796218</v>
      </c>
      <c r="G1397" s="179" t="n">
        <v>84361912811</v>
      </c>
      <c r="H1397" s="179">
        <f>IFERROR(D1397+G1397,D1397)</f>
        <v/>
      </c>
      <c r="I1397" s="184">
        <f>IFERROR(D1397/H1397,"")</f>
        <v/>
      </c>
      <c r="J1397" s="179" t="n">
        <v>5015217205</v>
      </c>
      <c r="K1397" s="179" t="n">
        <v>10030434410</v>
      </c>
      <c r="L1397" s="179" t="n">
        <v>15045651616</v>
      </c>
    </row>
    <row r="1398" ht="15" customHeight="1" s="95">
      <c r="A1398" s="143" t="n">
        <v>45227</v>
      </c>
      <c r="B1398" s="146" t="n">
        <v>0.99985</v>
      </c>
      <c r="C1398" s="179" t="n">
        <v>24982986543</v>
      </c>
      <c r="D1398" s="179" t="n">
        <v>24986735802</v>
      </c>
      <c r="E1398" s="146" t="n">
        <v>0.999605</v>
      </c>
      <c r="F1398" s="179" t="n">
        <v>84477164194</v>
      </c>
      <c r="G1398" s="179" t="n">
        <v>84510531024</v>
      </c>
      <c r="H1398" s="179">
        <f>IFERROR(D1398+G1398,D1398)</f>
        <v/>
      </c>
      <c r="I1398" s="184">
        <f>IFERROR(D1398/H1398,"")</f>
        <v/>
      </c>
      <c r="J1398" s="179" t="n">
        <v>4997347160</v>
      </c>
      <c r="K1398" s="179" t="n">
        <v>9994694321</v>
      </c>
      <c r="L1398" s="179" t="n">
        <v>14992041481</v>
      </c>
    </row>
    <row r="1399" ht="15" customHeight="1" s="95">
      <c r="A1399" s="143" t="n">
        <v>45228</v>
      </c>
      <c r="B1399" s="146" t="n">
        <v>1.000084</v>
      </c>
      <c r="C1399" s="179" t="n">
        <v>24989725023</v>
      </c>
      <c r="D1399" s="179" t="n">
        <v>24987625623</v>
      </c>
      <c r="E1399" s="146" t="n">
        <v>1.000049</v>
      </c>
      <c r="F1399" s="179" t="n">
        <v>84563580454</v>
      </c>
      <c r="G1399" s="179" t="n">
        <v>84559451021</v>
      </c>
      <c r="H1399" s="179">
        <f>IFERROR(D1399+G1399,D1399)</f>
        <v/>
      </c>
      <c r="I1399" s="184">
        <f>IFERROR(D1399/H1399,"")</f>
        <v/>
      </c>
      <c r="J1399" s="179" t="n">
        <v>4997525125</v>
      </c>
      <c r="K1399" s="179" t="n">
        <v>9995050249</v>
      </c>
      <c r="L1399" s="179" t="n">
        <v>14992575374</v>
      </c>
    </row>
    <row r="1400" ht="15" customHeight="1" s="95">
      <c r="A1400" s="143" t="n">
        <v>45229</v>
      </c>
      <c r="B1400" s="146" t="n">
        <v>1.002391</v>
      </c>
      <c r="C1400" s="179" t="n">
        <v>25090218770</v>
      </c>
      <c r="D1400" s="179" t="n">
        <v>25030383353</v>
      </c>
      <c r="E1400" s="146" t="n">
        <v>1.000589</v>
      </c>
      <c r="F1400" s="179" t="n">
        <v>84549233823</v>
      </c>
      <c r="G1400" s="179" t="n">
        <v>84499458065</v>
      </c>
      <c r="H1400" s="179">
        <f>IFERROR(D1400+G1400,D1400)</f>
        <v/>
      </c>
      <c r="I1400" s="184">
        <f>IFERROR(D1400/H1400,"")</f>
        <v/>
      </c>
      <c r="J1400" s="179" t="n">
        <v>5006076671</v>
      </c>
      <c r="K1400" s="179" t="n">
        <v>10012153341</v>
      </c>
      <c r="L1400" s="179" t="n">
        <v>15018230012</v>
      </c>
    </row>
    <row r="1401" ht="15" customHeight="1" s="95">
      <c r="A1401" s="143" t="n">
        <v>45230</v>
      </c>
      <c r="B1401" s="146" t="n">
        <v>1.000081</v>
      </c>
      <c r="C1401" s="179" t="n">
        <v>24933126459</v>
      </c>
      <c r="D1401" s="179" t="n">
        <v>24931118361</v>
      </c>
      <c r="E1401" s="146" t="n">
        <v>1.000584</v>
      </c>
      <c r="F1401" s="179" t="n">
        <v>84560721447</v>
      </c>
      <c r="G1401" s="179" t="n">
        <v>84511401162</v>
      </c>
      <c r="H1401" s="179">
        <f>IFERROR(D1401+G1401,D1401)</f>
        <v/>
      </c>
      <c r="I1401" s="184">
        <f>IFERROR(D1401/H1401,"")</f>
        <v/>
      </c>
      <c r="J1401" s="179" t="n">
        <v>4986223672</v>
      </c>
      <c r="K1401" s="179" t="n">
        <v>9972447344</v>
      </c>
      <c r="L1401" s="179" t="n">
        <v>14958671017</v>
      </c>
    </row>
    <row r="1402" ht="15" customHeight="1" s="95">
      <c r="A1402" s="143" t="n">
        <v>45231</v>
      </c>
      <c r="B1402" s="146" t="n">
        <v>1.000376</v>
      </c>
      <c r="C1402" s="179" t="n">
        <v>24741908093</v>
      </c>
      <c r="D1402" s="179" t="n">
        <v>24732618643</v>
      </c>
      <c r="E1402" s="146" t="n">
        <v>1.000745</v>
      </c>
      <c r="F1402" s="179" t="n">
        <v>84693605222</v>
      </c>
      <c r="G1402" s="179" t="n">
        <v>84630566959</v>
      </c>
      <c r="H1402" s="179">
        <f>IFERROR(D1402+G1402,D1402)</f>
        <v/>
      </c>
      <c r="I1402" s="184">
        <f>IFERROR(D1402/H1402,"")</f>
        <v/>
      </c>
      <c r="J1402" s="179" t="n">
        <v>4946523729</v>
      </c>
      <c r="K1402" s="179" t="n">
        <v>9893047457</v>
      </c>
      <c r="L1402" s="179" t="n">
        <v>14839571186</v>
      </c>
    </row>
    <row r="1403" ht="15" customHeight="1" s="95">
      <c r="A1403" s="143" t="n">
        <v>45232</v>
      </c>
      <c r="B1403" s="146" t="n">
        <v>1.000284</v>
      </c>
      <c r="C1403" s="179" t="n">
        <v>24758799496</v>
      </c>
      <c r="D1403" s="179" t="n">
        <v>24751758815</v>
      </c>
      <c r="E1403" s="146" t="n">
        <v>1.000448</v>
      </c>
      <c r="F1403" s="179" t="n">
        <v>84862316815</v>
      </c>
      <c r="G1403" s="179" t="n">
        <v>84824324547</v>
      </c>
      <c r="H1403" s="179">
        <f>IFERROR(D1403+G1403,D1403)</f>
        <v/>
      </c>
      <c r="I1403" s="184">
        <f>IFERROR(D1403/H1403,"")</f>
        <v/>
      </c>
      <c r="J1403" s="179" t="n">
        <v>4950351763</v>
      </c>
      <c r="K1403" s="179" t="n">
        <v>9900703526</v>
      </c>
      <c r="L1403" s="179" t="n">
        <v>14851055289</v>
      </c>
    </row>
    <row r="1404" ht="15" customHeight="1" s="95">
      <c r="A1404" s="143" t="n">
        <v>45233</v>
      </c>
      <c r="B1404" s="146" t="n">
        <v>1.000877</v>
      </c>
      <c r="C1404" s="179" t="n">
        <v>24502658943</v>
      </c>
      <c r="D1404" s="179" t="n">
        <v>24481190473</v>
      </c>
      <c r="E1404" s="146" t="n">
        <v>0.999912</v>
      </c>
      <c r="F1404" s="179" t="n">
        <v>84913239127</v>
      </c>
      <c r="G1404" s="179" t="n">
        <v>84920722296</v>
      </c>
      <c r="H1404" s="179">
        <f>IFERROR(D1404+G1404,D1404)</f>
        <v/>
      </c>
      <c r="I1404" s="184">
        <f>IFERROR(D1404/H1404,"")</f>
        <v/>
      </c>
      <c r="J1404" s="179" t="n">
        <v>4896238095</v>
      </c>
      <c r="K1404" s="179" t="n">
        <v>9792476189</v>
      </c>
      <c r="L1404" s="179" t="n">
        <v>14688714284</v>
      </c>
    </row>
    <row r="1405" ht="15" customHeight="1" s="95">
      <c r="A1405" s="143" t="n">
        <v>45234</v>
      </c>
      <c r="B1405" s="146" t="n">
        <v>1.000005</v>
      </c>
      <c r="C1405" s="179" t="n">
        <v>24526366327</v>
      </c>
      <c r="D1405" s="179" t="n">
        <v>24526237657</v>
      </c>
      <c r="E1405" s="146" t="n">
        <v>1.000419</v>
      </c>
      <c r="F1405" s="179" t="n">
        <v>85256843614</v>
      </c>
      <c r="G1405" s="179" t="n">
        <v>85221135461</v>
      </c>
      <c r="H1405" s="179">
        <f>IFERROR(D1405+G1405,D1405)</f>
        <v/>
      </c>
      <c r="I1405" s="184">
        <f>IFERROR(D1405/H1405,"")</f>
        <v/>
      </c>
      <c r="J1405" s="179" t="n">
        <v>4905247531</v>
      </c>
      <c r="K1405" s="179" t="n">
        <v>9810495063</v>
      </c>
      <c r="L1405" s="179" t="n">
        <v>14715742594</v>
      </c>
    </row>
    <row r="1406" ht="15" customHeight="1" s="95">
      <c r="A1406" s="143" t="n">
        <v>45235</v>
      </c>
      <c r="B1406" s="146" t="n">
        <v>1.000144</v>
      </c>
      <c r="C1406" s="179" t="n">
        <v>24584454813</v>
      </c>
      <c r="D1406" s="179" t="n">
        <v>24580908082</v>
      </c>
      <c r="E1406" s="146" t="n">
        <v>1.000348</v>
      </c>
      <c r="F1406" s="179" t="n">
        <v>85448432838</v>
      </c>
      <c r="G1406" s="179" t="n">
        <v>85418668804</v>
      </c>
      <c r="H1406" s="179">
        <f>IFERROR(D1406+G1406,D1406)</f>
        <v/>
      </c>
      <c r="I1406" s="184">
        <f>IFERROR(D1406/H1406,"")</f>
        <v/>
      </c>
      <c r="J1406" s="179" t="n">
        <v>4916181616</v>
      </c>
      <c r="K1406" s="179" t="n">
        <v>9832363233</v>
      </c>
      <c r="L1406" s="179" t="n">
        <v>14748544849</v>
      </c>
    </row>
    <row r="1407" ht="15" customHeight="1" s="95">
      <c r="A1407" s="143" t="n">
        <v>45236</v>
      </c>
      <c r="B1407" s="146" t="n">
        <v>0.999393</v>
      </c>
      <c r="C1407" s="179" t="n">
        <v>24600168083</v>
      </c>
      <c r="D1407" s="179" t="n">
        <v>24615098982</v>
      </c>
      <c r="E1407" s="146" t="n">
        <v>1.000509</v>
      </c>
      <c r="F1407" s="179" t="n">
        <v>85387153373</v>
      </c>
      <c r="G1407" s="179" t="n">
        <v>85343674503</v>
      </c>
      <c r="H1407" s="179">
        <f>IFERROR(D1407+G1407,D1407)</f>
        <v/>
      </c>
      <c r="I1407" s="184">
        <f>IFERROR(D1407/H1407,"")</f>
        <v/>
      </c>
      <c r="J1407" s="179" t="n">
        <v>4923019796</v>
      </c>
      <c r="K1407" s="179" t="n">
        <v>9846039593</v>
      </c>
      <c r="L1407" s="179" t="n">
        <v>14769059389</v>
      </c>
    </row>
    <row r="1408" ht="15" customHeight="1" s="95">
      <c r="A1408" s="143" t="n">
        <v>45237</v>
      </c>
      <c r="B1408" s="146" t="n">
        <v>0.99977</v>
      </c>
      <c r="C1408" s="179" t="n">
        <v>24431902675</v>
      </c>
      <c r="D1408" s="179" t="n">
        <v>24437516310</v>
      </c>
      <c r="E1408" s="146" t="n">
        <v>1.00067</v>
      </c>
      <c r="F1408" s="179" t="n">
        <v>85371206042</v>
      </c>
      <c r="G1408" s="179" t="n">
        <v>85314053228</v>
      </c>
      <c r="H1408" s="179">
        <f>IFERROR(D1408+G1408,D1408)</f>
        <v/>
      </c>
      <c r="I1408" s="184">
        <f>IFERROR(D1408/H1408,"")</f>
        <v/>
      </c>
      <c r="J1408" s="179" t="n">
        <v>4887503262</v>
      </c>
      <c r="K1408" s="179" t="n">
        <v>9775006524</v>
      </c>
      <c r="L1408" s="179" t="n">
        <v>14662509786</v>
      </c>
    </row>
    <row r="1409" ht="15" customHeight="1" s="95">
      <c r="A1409" s="143" t="n">
        <v>45238</v>
      </c>
      <c r="B1409" s="146" t="n">
        <v>1.000511</v>
      </c>
      <c r="C1409" s="179" t="n">
        <v>24411577367</v>
      </c>
      <c r="D1409" s="179" t="n">
        <v>24399112190</v>
      </c>
      <c r="E1409" s="146" t="n">
        <v>1.000709</v>
      </c>
      <c r="F1409" s="179" t="n">
        <v>85731510405</v>
      </c>
      <c r="G1409" s="179" t="n">
        <v>85670802188</v>
      </c>
      <c r="H1409" s="179">
        <f>IFERROR(D1409+G1409,D1409)</f>
        <v/>
      </c>
      <c r="I1409" s="184">
        <f>IFERROR(D1409/H1409,"")</f>
        <v/>
      </c>
      <c r="J1409" s="179" t="n">
        <v>4879822438</v>
      </c>
      <c r="K1409" s="179" t="n">
        <v>9759644876</v>
      </c>
      <c r="L1409" s="179" t="n">
        <v>14639467314</v>
      </c>
    </row>
    <row r="1410" ht="15" customHeight="1" s="95">
      <c r="A1410" s="143" t="n">
        <v>45239</v>
      </c>
      <c r="B1410" s="146" t="n">
        <v>1.000183</v>
      </c>
      <c r="C1410" s="179" t="n">
        <v>24294542586</v>
      </c>
      <c r="D1410" s="179" t="n">
        <v>24290101549</v>
      </c>
      <c r="E1410" s="146" t="n">
        <v>0.9996119999999999</v>
      </c>
      <c r="F1410" s="179" t="n">
        <v>85850353482</v>
      </c>
      <c r="G1410" s="179" t="n">
        <v>85883707464</v>
      </c>
      <c r="H1410" s="179">
        <f>IFERROR(D1410+G1410,D1410)</f>
        <v/>
      </c>
      <c r="I1410" s="184">
        <f>IFERROR(D1410/H1410,"")</f>
        <v/>
      </c>
      <c r="J1410" s="179" t="n">
        <v>4858020310</v>
      </c>
      <c r="K1410" s="179" t="n">
        <v>9716040620</v>
      </c>
      <c r="L1410" s="179" t="n">
        <v>14574060929</v>
      </c>
    </row>
    <row r="1411" ht="15" customHeight="1" s="95">
      <c r="A1411" s="143" t="n">
        <v>45240</v>
      </c>
      <c r="B1411" s="146" t="n">
        <v>1.000904</v>
      </c>
      <c r="C1411" s="179" t="n">
        <v>24159633061</v>
      </c>
      <c r="D1411" s="179" t="n">
        <v>24137807931</v>
      </c>
      <c r="E1411" s="146" t="n">
        <v>1.00046</v>
      </c>
      <c r="F1411" s="179" t="n">
        <v>86220797904</v>
      </c>
      <c r="G1411" s="179" t="n">
        <v>86181144547</v>
      </c>
      <c r="H1411" s="179">
        <f>IFERROR(D1411+G1411,D1411)</f>
        <v/>
      </c>
      <c r="I1411" s="184">
        <f>IFERROR(D1411/H1411,"")</f>
        <v/>
      </c>
      <c r="J1411" s="179" t="n">
        <v>4827561586</v>
      </c>
      <c r="K1411" s="179" t="n">
        <v>9655123172</v>
      </c>
      <c r="L1411" s="179" t="n">
        <v>14482684759</v>
      </c>
    </row>
    <row r="1412" ht="15" customHeight="1" s="95">
      <c r="A1412" s="143" t="n">
        <v>45241</v>
      </c>
      <c r="B1412" s="146" t="n">
        <v>0.999752</v>
      </c>
      <c r="C1412" s="179" t="n">
        <v>24158775863</v>
      </c>
      <c r="D1412" s="179" t="n">
        <v>24164778865</v>
      </c>
      <c r="E1412" s="146" t="n">
        <v>1.000343</v>
      </c>
      <c r="F1412" s="179" t="n">
        <v>86576842243</v>
      </c>
      <c r="G1412" s="179" t="n">
        <v>86547182853</v>
      </c>
      <c r="H1412" s="179">
        <f>IFERROR(D1412+G1412,D1412)</f>
        <v/>
      </c>
      <c r="I1412" s="184">
        <f>IFERROR(D1412/H1412,"")</f>
        <v/>
      </c>
      <c r="J1412" s="179" t="n">
        <v>4832955773</v>
      </c>
      <c r="K1412" s="179" t="n">
        <v>9665911546</v>
      </c>
      <c r="L1412" s="179" t="n">
        <v>14498867319</v>
      </c>
    </row>
    <row r="1413" ht="15" customHeight="1" s="95">
      <c r="A1413" s="143" t="n">
        <v>45242</v>
      </c>
      <c r="B1413" s="146" t="n">
        <v>1.00045</v>
      </c>
      <c r="C1413" s="179" t="n">
        <v>24249243007</v>
      </c>
      <c r="D1413" s="179" t="n">
        <v>24238343789</v>
      </c>
      <c r="E1413" s="146" t="n">
        <v>1.001076</v>
      </c>
      <c r="F1413" s="179" t="n">
        <v>86670329265</v>
      </c>
      <c r="G1413" s="179" t="n">
        <v>86577203735</v>
      </c>
      <c r="H1413" s="179">
        <f>IFERROR(D1413+G1413,D1413)</f>
        <v/>
      </c>
      <c r="I1413" s="184">
        <f>IFERROR(D1413/H1413,"")</f>
        <v/>
      </c>
      <c r="J1413" s="179" t="n">
        <v>4847668758</v>
      </c>
      <c r="K1413" s="179" t="n">
        <v>9695337516</v>
      </c>
      <c r="L1413" s="179" t="n">
        <v>14543006273</v>
      </c>
    </row>
    <row r="1414" ht="15" customHeight="1" s="95">
      <c r="A1414" s="143" t="n">
        <v>45243</v>
      </c>
      <c r="B1414" s="146" t="n">
        <v>0.9998089999999999</v>
      </c>
      <c r="C1414" s="179" t="n">
        <v>24223270132</v>
      </c>
      <c r="D1414" s="179" t="n">
        <v>24227907483</v>
      </c>
      <c r="E1414" s="146" t="n">
        <v>1.000426</v>
      </c>
      <c r="F1414" s="179" t="n">
        <v>86893346050</v>
      </c>
      <c r="G1414" s="179" t="n">
        <v>86856303011</v>
      </c>
      <c r="H1414" s="179">
        <f>IFERROR(D1414+G1414,D1414)</f>
        <v/>
      </c>
      <c r="I1414" s="184">
        <f>IFERROR(D1414/H1414,"")</f>
        <v/>
      </c>
      <c r="J1414" s="179" t="n">
        <v>4845581497</v>
      </c>
      <c r="K1414" s="179" t="n">
        <v>9691162993</v>
      </c>
      <c r="L1414" s="179" t="n">
        <v>14536744490</v>
      </c>
    </row>
    <row r="1415" ht="15" customHeight="1" s="95">
      <c r="A1415" s="143" t="n">
        <v>45244</v>
      </c>
      <c r="B1415" s="146" t="n">
        <v>1.000151</v>
      </c>
      <c r="C1415" s="179" t="n">
        <v>24042154027</v>
      </c>
      <c r="D1415" s="179" t="n">
        <v>24038530161</v>
      </c>
      <c r="E1415" s="146" t="n">
        <v>1.000099</v>
      </c>
      <c r="F1415" s="179" t="n">
        <v>86852876182</v>
      </c>
      <c r="G1415" s="179" t="n">
        <v>86844247973</v>
      </c>
      <c r="H1415" s="179">
        <f>IFERROR(D1415+G1415,D1415)</f>
        <v/>
      </c>
      <c r="I1415" s="184">
        <f>IFERROR(D1415/H1415,"")</f>
        <v/>
      </c>
      <c r="J1415" s="179" t="n">
        <v>4807706032</v>
      </c>
      <c r="K1415" s="179" t="n">
        <v>9615412064</v>
      </c>
      <c r="L1415" s="179" t="n">
        <v>14423118097</v>
      </c>
    </row>
    <row r="1416" ht="15" customHeight="1" s="95">
      <c r="A1416" s="143" t="n">
        <v>45245</v>
      </c>
      <c r="B1416" s="146" t="n">
        <v>0.999471</v>
      </c>
      <c r="C1416" s="179" t="n">
        <v>23864694246</v>
      </c>
      <c r="D1416" s="179" t="n">
        <v>23877329965</v>
      </c>
      <c r="E1416" s="146" t="n">
        <v>1.000063</v>
      </c>
      <c r="F1416" s="179" t="n">
        <v>87069254488</v>
      </c>
      <c r="G1416" s="179" t="n">
        <v>87063809113</v>
      </c>
      <c r="H1416" s="179">
        <f>IFERROR(D1416+G1416,D1416)</f>
        <v/>
      </c>
      <c r="I1416" s="184">
        <f>IFERROR(D1416/H1416,"")</f>
        <v/>
      </c>
      <c r="J1416" s="179" t="n">
        <v>4775465993</v>
      </c>
      <c r="K1416" s="179" t="n">
        <v>9550931986</v>
      </c>
      <c r="L1416" s="179" t="n">
        <v>14326397979</v>
      </c>
    </row>
    <row r="1417" ht="15" customHeight="1" s="95">
      <c r="A1417" s="143" t="n">
        <v>45246</v>
      </c>
      <c r="B1417" s="146" t="n">
        <v>1.001378</v>
      </c>
      <c r="C1417" s="179" t="n">
        <v>24120206460</v>
      </c>
      <c r="D1417" s="179" t="n">
        <v>24087014964</v>
      </c>
      <c r="E1417" s="146" t="n">
        <v>1.000761</v>
      </c>
      <c r="F1417" s="179" t="n">
        <v>87330293256</v>
      </c>
      <c r="G1417" s="179" t="n">
        <v>87263878867</v>
      </c>
      <c r="H1417" s="179">
        <f>IFERROR(D1417+G1417,D1417)</f>
        <v/>
      </c>
      <c r="I1417" s="184">
        <f>IFERROR(D1417/H1417,"")</f>
        <v/>
      </c>
      <c r="J1417" s="179" t="n">
        <v>4817402993</v>
      </c>
      <c r="K1417" s="179" t="n">
        <v>9634805986</v>
      </c>
      <c r="L1417" s="179" t="n">
        <v>14452208978</v>
      </c>
    </row>
    <row r="1418" ht="15" customHeight="1" s="95">
      <c r="A1418" s="143" t="n">
        <v>45247</v>
      </c>
      <c r="B1418" s="146" t="n">
        <v>1.000415</v>
      </c>
      <c r="C1418" s="179" t="n">
        <v>24201135257</v>
      </c>
      <c r="D1418" s="179" t="n">
        <v>24191094952</v>
      </c>
      <c r="E1418" s="146" t="n">
        <v>0.999988</v>
      </c>
      <c r="F1418" s="179" t="n">
        <v>87433708811</v>
      </c>
      <c r="G1418" s="179" t="n">
        <v>87434791409</v>
      </c>
      <c r="H1418" s="179">
        <f>IFERROR(D1418+G1418,D1418)</f>
        <v/>
      </c>
      <c r="I1418" s="184">
        <f>IFERROR(D1418/H1418,"")</f>
        <v/>
      </c>
      <c r="J1418" s="179" t="n">
        <v>4838218990</v>
      </c>
      <c r="K1418" s="179" t="n">
        <v>9676437981</v>
      </c>
      <c r="L1418" s="179" t="n">
        <v>14514656971</v>
      </c>
    </row>
    <row r="1419" ht="15" customHeight="1" s="95">
      <c r="A1419" s="143" t="n">
        <v>45248</v>
      </c>
      <c r="B1419" s="146" t="n">
        <v>0.999503</v>
      </c>
      <c r="C1419" s="179" t="n">
        <v>24378821057</v>
      </c>
      <c r="D1419" s="179" t="n">
        <v>24390953010</v>
      </c>
      <c r="E1419" s="146" t="n">
        <v>1.000181</v>
      </c>
      <c r="F1419" s="179" t="n">
        <v>87575507814</v>
      </c>
      <c r="G1419" s="179" t="n">
        <v>87559642640</v>
      </c>
      <c r="H1419" s="179">
        <f>IFERROR(D1419+G1419,D1419)</f>
        <v/>
      </c>
      <c r="I1419" s="184">
        <f>IFERROR(D1419/H1419,"")</f>
        <v/>
      </c>
      <c r="J1419" s="179" t="n">
        <v>4878190602</v>
      </c>
      <c r="K1419" s="179" t="n">
        <v>9756381204</v>
      </c>
      <c r="L1419" s="179" t="n">
        <v>14634571806</v>
      </c>
    </row>
    <row r="1420" ht="15" customHeight="1" s="95">
      <c r="A1420" s="143" t="n">
        <v>45249</v>
      </c>
      <c r="B1420" s="146" t="n">
        <v>1.000268</v>
      </c>
      <c r="C1420" s="179" t="n">
        <v>24420316630</v>
      </c>
      <c r="D1420" s="179" t="n">
        <v>24413779788</v>
      </c>
      <c r="E1420" s="146" t="n">
        <v>1.000767</v>
      </c>
      <c r="F1420" s="179" t="n">
        <v>87745529028</v>
      </c>
      <c r="G1420" s="179" t="n">
        <v>87678283983</v>
      </c>
      <c r="H1420" s="179">
        <f>IFERROR(D1420+G1420,D1420)</f>
        <v/>
      </c>
      <c r="I1420" s="184">
        <f>IFERROR(D1420/H1420,"")</f>
        <v/>
      </c>
      <c r="J1420" s="179" t="n">
        <v>4882755958</v>
      </c>
      <c r="K1420" s="179" t="n">
        <v>9765511915</v>
      </c>
      <c r="L1420" s="179" t="n">
        <v>14648267873</v>
      </c>
    </row>
    <row r="1421" ht="15" customHeight="1" s="95">
      <c r="A1421" s="143" t="n">
        <v>45250</v>
      </c>
      <c r="B1421" s="146" t="n">
        <v>0.999115</v>
      </c>
      <c r="C1421" s="179" t="n">
        <v>24441076129</v>
      </c>
      <c r="D1421" s="179" t="n">
        <v>24462721475</v>
      </c>
      <c r="E1421" s="146" t="n">
        <v>0.999726</v>
      </c>
      <c r="F1421" s="179" t="n">
        <v>87719871443</v>
      </c>
      <c r="G1421" s="179" t="n">
        <v>87743899168</v>
      </c>
      <c r="H1421" s="179">
        <f>IFERROR(D1421+G1421,D1421)</f>
        <v/>
      </c>
      <c r="I1421" s="184">
        <f>IFERROR(D1421/H1421,"")</f>
        <v/>
      </c>
      <c r="J1421" s="179" t="n">
        <v>4892544295</v>
      </c>
      <c r="K1421" s="179" t="n">
        <v>9785088590</v>
      </c>
      <c r="L1421" s="179" t="n">
        <v>14677632885</v>
      </c>
    </row>
    <row r="1422" ht="15" customHeight="1" s="95">
      <c r="A1422" s="143" t="n">
        <v>45251</v>
      </c>
      <c r="B1422" s="146" t="n">
        <v>0.999685</v>
      </c>
      <c r="C1422" s="179" t="n">
        <v>24500421249</v>
      </c>
      <c r="D1422" s="179" t="n">
        <v>24508149720</v>
      </c>
      <c r="E1422" s="146" t="n">
        <v>1.000446</v>
      </c>
      <c r="F1422" s="179" t="n">
        <v>87738748115</v>
      </c>
      <c r="G1422" s="179" t="n">
        <v>87699617386</v>
      </c>
      <c r="H1422" s="179">
        <f>IFERROR(D1422+G1422,D1422)</f>
        <v/>
      </c>
      <c r="I1422" s="184">
        <f>IFERROR(D1422/H1422,"")</f>
        <v/>
      </c>
      <c r="J1422" s="179" t="n">
        <v>4901629944</v>
      </c>
      <c r="K1422" s="179" t="n">
        <v>9803259888</v>
      </c>
      <c r="L1422" s="179" t="n">
        <v>14704889832</v>
      </c>
    </row>
    <row r="1423" ht="15" customHeight="1" s="95">
      <c r="A1423" s="143" t="n">
        <v>45252</v>
      </c>
      <c r="B1423" s="146" t="n">
        <v>1.000579</v>
      </c>
      <c r="C1423" s="179" t="n">
        <v>24421879025</v>
      </c>
      <c r="D1423" s="179" t="n">
        <v>24407758695</v>
      </c>
      <c r="E1423" s="146" t="n">
        <v>1.000763</v>
      </c>
      <c r="F1423" s="179" t="n">
        <v>87923200610</v>
      </c>
      <c r="G1423" s="179" t="n">
        <v>87856199336</v>
      </c>
      <c r="H1423" s="179">
        <f>IFERROR(D1423+G1423,D1423)</f>
        <v/>
      </c>
      <c r="I1423" s="184">
        <f>IFERROR(D1423/H1423,"")</f>
        <v/>
      </c>
      <c r="J1423" s="179" t="n">
        <v>4881551739</v>
      </c>
      <c r="K1423" s="179" t="n">
        <v>9763103478</v>
      </c>
      <c r="L1423" s="179" t="n">
        <v>14644655217</v>
      </c>
    </row>
    <row r="1424" ht="15" customHeight="1" s="95">
      <c r="A1424" s="143" t="n">
        <v>45253</v>
      </c>
      <c r="B1424" s="146" t="n">
        <v>1.000185</v>
      </c>
      <c r="C1424" s="179" t="n">
        <v>24409910339</v>
      </c>
      <c r="D1424" s="179" t="n">
        <v>24405402509</v>
      </c>
      <c r="E1424" s="146" t="n">
        <v>1.000624</v>
      </c>
      <c r="F1424" s="179" t="n">
        <v>88395010860</v>
      </c>
      <c r="G1424" s="179" t="n">
        <v>88339845819</v>
      </c>
      <c r="H1424" s="179">
        <f>IFERROR(D1424+G1424,D1424)</f>
        <v/>
      </c>
      <c r="I1424" s="184">
        <f>IFERROR(D1424/H1424,"")</f>
        <v/>
      </c>
      <c r="J1424" s="179" t="n">
        <v>4881080502</v>
      </c>
      <c r="K1424" s="179" t="n">
        <v>9762161004</v>
      </c>
      <c r="L1424" s="179" t="n">
        <v>14643241505</v>
      </c>
    </row>
    <row r="1425" ht="15" customHeight="1" s="95">
      <c r="A1425" s="143" t="n">
        <v>45254</v>
      </c>
      <c r="B1425" s="146" t="n">
        <v>1.000137</v>
      </c>
      <c r="C1425" s="179" t="n">
        <v>24439184226</v>
      </c>
      <c r="D1425" s="179" t="n">
        <v>24435846972</v>
      </c>
      <c r="E1425" s="146" t="n">
        <v>0.999878</v>
      </c>
      <c r="F1425" s="179" t="n">
        <v>88521918320</v>
      </c>
      <c r="G1425" s="179" t="n">
        <v>88532706473</v>
      </c>
      <c r="H1425" s="179">
        <f>IFERROR(D1425+G1425,D1425)</f>
        <v/>
      </c>
      <c r="I1425" s="184">
        <f>IFERROR(D1425/H1425,"")</f>
        <v/>
      </c>
      <c r="J1425" s="179" t="n">
        <v>4887169394</v>
      </c>
      <c r="K1425" s="179" t="n">
        <v>9774338789</v>
      </c>
      <c r="L1425" s="179" t="n">
        <v>14661508183</v>
      </c>
    </row>
    <row r="1426" ht="15" customHeight="1" s="95">
      <c r="A1426" s="143" t="n">
        <v>45255</v>
      </c>
      <c r="B1426" s="146" t="n">
        <v>1.000275</v>
      </c>
      <c r="C1426" s="179" t="n">
        <v>24707898245</v>
      </c>
      <c r="D1426" s="179" t="n">
        <v>24701096534</v>
      </c>
      <c r="E1426" s="146" t="n">
        <v>1.001039</v>
      </c>
      <c r="F1426" s="179" t="n">
        <v>88586091086</v>
      </c>
      <c r="G1426" s="179" t="n">
        <v>88494181629</v>
      </c>
      <c r="H1426" s="179">
        <f>IFERROR(D1426+G1426,D1426)</f>
        <v/>
      </c>
      <c r="I1426" s="184">
        <f>IFERROR(D1426/H1426,"")</f>
        <v/>
      </c>
      <c r="J1426" s="179" t="n">
        <v>4940219307</v>
      </c>
      <c r="K1426" s="179" t="n">
        <v>9880438614</v>
      </c>
      <c r="L1426" s="179" t="n">
        <v>14820657920</v>
      </c>
    </row>
    <row r="1427" ht="15" customHeight="1" s="95">
      <c r="A1427" s="143" t="n">
        <v>45256</v>
      </c>
      <c r="B1427" s="146" t="n">
        <v>1.000642</v>
      </c>
      <c r="C1427" s="179" t="n">
        <v>24726023156</v>
      </c>
      <c r="D1427" s="179" t="n">
        <v>24710147572</v>
      </c>
      <c r="E1427" s="146" t="n">
        <v>1.000516</v>
      </c>
      <c r="F1427" s="179" t="n">
        <v>88779808674</v>
      </c>
      <c r="G1427" s="179" t="n">
        <v>88733980911</v>
      </c>
      <c r="H1427" s="179">
        <f>IFERROR(D1427+G1427,D1427)</f>
        <v/>
      </c>
      <c r="I1427" s="184">
        <f>IFERROR(D1427/H1427,"")</f>
        <v/>
      </c>
      <c r="J1427" s="179" t="n">
        <v>4942029514</v>
      </c>
      <c r="K1427" s="179" t="n">
        <v>9884059029</v>
      </c>
      <c r="L1427" s="179" t="n">
        <v>14826088543</v>
      </c>
    </row>
    <row r="1428" ht="15" customHeight="1" s="95">
      <c r="A1428" s="143" t="n">
        <v>45257</v>
      </c>
      <c r="B1428" s="146" t="n">
        <v>0.999784</v>
      </c>
      <c r="C1428" s="179" t="n">
        <v>24655503697</v>
      </c>
      <c r="D1428" s="179" t="n">
        <v>24660838018</v>
      </c>
      <c r="E1428" s="146" t="n">
        <v>1.000189</v>
      </c>
      <c r="F1428" s="179" t="n">
        <v>88746412388</v>
      </c>
      <c r="G1428" s="179" t="n">
        <v>88729640282</v>
      </c>
      <c r="H1428" s="179">
        <f>IFERROR(D1428+G1428,D1428)</f>
        <v/>
      </c>
      <c r="I1428" s="184">
        <f>IFERROR(D1428/H1428,"")</f>
        <v/>
      </c>
      <c r="J1428" s="179" t="n">
        <v>4932167604</v>
      </c>
      <c r="K1428" s="179" t="n">
        <v>9864335207</v>
      </c>
      <c r="L1428" s="179" t="n">
        <v>14796502811</v>
      </c>
    </row>
    <row r="1429" ht="15" customHeight="1" s="95">
      <c r="A1429" s="143" t="n">
        <v>45258</v>
      </c>
      <c r="B1429" s="146" t="n">
        <v>1.0007</v>
      </c>
      <c r="C1429" s="179" t="n">
        <v>24437977232</v>
      </c>
      <c r="D1429" s="179" t="n">
        <v>24420883308</v>
      </c>
      <c r="E1429" s="146" t="n">
        <v>1.000655</v>
      </c>
      <c r="F1429" s="179" t="n">
        <v>88794083114</v>
      </c>
      <c r="G1429" s="179" t="n">
        <v>88735939714</v>
      </c>
      <c r="H1429" s="179">
        <f>IFERROR(D1429+G1429,D1429)</f>
        <v/>
      </c>
      <c r="I1429" s="184">
        <f>IFERROR(D1429/H1429,"")</f>
        <v/>
      </c>
      <c r="J1429" s="179" t="n">
        <v>4884176662</v>
      </c>
      <c r="K1429" s="179" t="n">
        <v>9768353323</v>
      </c>
      <c r="L1429" s="179" t="n">
        <v>14652529985</v>
      </c>
    </row>
    <row r="1430" ht="15" customHeight="1" s="95">
      <c r="A1430" s="143" t="n">
        <v>45259</v>
      </c>
      <c r="B1430" s="146" t="n">
        <v>0.9997470000000001</v>
      </c>
      <c r="C1430" s="179" t="n">
        <v>24520971014</v>
      </c>
      <c r="D1430" s="179" t="n">
        <v>24527165514</v>
      </c>
      <c r="E1430" s="146" t="n">
        <v>1.000498</v>
      </c>
      <c r="F1430" s="179" t="n">
        <v>88902002105</v>
      </c>
      <c r="G1430" s="179" t="n">
        <v>88857787033</v>
      </c>
      <c r="H1430" s="179">
        <f>IFERROR(D1430+G1430,D1430)</f>
        <v/>
      </c>
      <c r="I1430" s="184">
        <f>IFERROR(D1430/H1430,"")</f>
        <v/>
      </c>
      <c r="J1430" s="179" t="n">
        <v>4905433103</v>
      </c>
      <c r="K1430" s="179" t="n">
        <v>9810866206</v>
      </c>
      <c r="L1430" s="179" t="n">
        <v>14716299308</v>
      </c>
    </row>
    <row r="1431" ht="15" customHeight="1" s="95">
      <c r="A1431" s="143" t="n">
        <v>45260</v>
      </c>
      <c r="B1431" s="146" t="n">
        <v>0.9994189999999999</v>
      </c>
      <c r="C1431" s="179" t="n">
        <v>24430396390</v>
      </c>
      <c r="D1431" s="179" t="n">
        <v>24444604388</v>
      </c>
      <c r="E1431" s="146" t="n">
        <v>1.000012</v>
      </c>
      <c r="F1431" s="179" t="n">
        <v>89084951252</v>
      </c>
      <c r="G1431" s="179" t="n">
        <v>89083889174</v>
      </c>
      <c r="H1431" s="179">
        <f>IFERROR(D1431+G1431,D1431)</f>
        <v/>
      </c>
      <c r="I1431" s="184">
        <f>IFERROR(D1431/H1431,"")</f>
        <v/>
      </c>
      <c r="J1431" s="179" t="n">
        <v>4888920878</v>
      </c>
      <c r="K1431" s="179" t="n">
        <v>9777841755</v>
      </c>
      <c r="L1431" s="179" t="n">
        <v>14666762633</v>
      </c>
    </row>
    <row r="1432" ht="15" customHeight="1" s="95">
      <c r="A1432" s="143" t="n">
        <v>45261</v>
      </c>
      <c r="B1432" s="146" t="n">
        <v>1.000048</v>
      </c>
      <c r="C1432" s="179" t="n">
        <v>24507375575</v>
      </c>
      <c r="D1432" s="179" t="n">
        <v>24506196213</v>
      </c>
      <c r="E1432" s="146" t="n">
        <v>0.999617</v>
      </c>
      <c r="F1432" s="179" t="n">
        <v>89288339819</v>
      </c>
      <c r="G1432" s="179" t="n">
        <v>89322525507</v>
      </c>
      <c r="H1432" s="179">
        <f>IFERROR(D1432+G1432,D1432)</f>
        <v/>
      </c>
      <c r="I1432" s="184">
        <f>IFERROR(D1432/H1432,"")</f>
        <v/>
      </c>
      <c r="J1432" s="179" t="n">
        <v>4901239243</v>
      </c>
      <c r="K1432" s="179" t="n">
        <v>9802478485</v>
      </c>
      <c r="L1432" s="179" t="n">
        <v>14703717728</v>
      </c>
    </row>
    <row r="1433" ht="15" customHeight="1" s="95">
      <c r="A1433" s="143" t="n">
        <v>45262</v>
      </c>
      <c r="B1433" s="146" t="n">
        <v>0.999798</v>
      </c>
      <c r="C1433" s="179" t="n">
        <v>24560261404</v>
      </c>
      <c r="D1433" s="179" t="n">
        <v>24565232755</v>
      </c>
      <c r="E1433" s="146" t="n">
        <v>1.000559</v>
      </c>
      <c r="F1433" s="179" t="n">
        <v>89384249584</v>
      </c>
      <c r="G1433" s="179" t="n">
        <v>89334271337</v>
      </c>
      <c r="H1433" s="179">
        <f>IFERROR(D1433+G1433,D1433)</f>
        <v/>
      </c>
      <c r="I1433" s="184">
        <f>IFERROR(D1433/H1433,"")</f>
        <v/>
      </c>
      <c r="J1433" s="179" t="n">
        <v>4913046551</v>
      </c>
      <c r="K1433" s="179" t="n">
        <v>9826093102</v>
      </c>
      <c r="L1433" s="179" t="n">
        <v>14739139653</v>
      </c>
    </row>
    <row r="1434" ht="15" customHeight="1" s="95">
      <c r="A1434" s="143" t="n">
        <v>45263</v>
      </c>
      <c r="B1434" s="146" t="n">
        <v>1.000251</v>
      </c>
      <c r="C1434" s="179" t="n">
        <v>24554766694</v>
      </c>
      <c r="D1434" s="179" t="n">
        <v>24548611672</v>
      </c>
      <c r="E1434" s="146" t="n">
        <v>1.00069</v>
      </c>
      <c r="F1434" s="179" t="n">
        <v>89567299871</v>
      </c>
      <c r="G1434" s="179" t="n">
        <v>89505526002</v>
      </c>
      <c r="H1434" s="179">
        <f>IFERROR(D1434+G1434,D1434)</f>
        <v/>
      </c>
      <c r="I1434" s="184">
        <f>IFERROR(D1434/H1434,"")</f>
        <v/>
      </c>
      <c r="J1434" s="179" t="n">
        <v>4909722334</v>
      </c>
      <c r="K1434" s="179" t="n">
        <v>9819444669</v>
      </c>
      <c r="L1434" s="179" t="n">
        <v>14729167003</v>
      </c>
    </row>
    <row r="1435" ht="15" customHeight="1" s="95">
      <c r="A1435" s="143" t="n">
        <v>45264</v>
      </c>
      <c r="B1435" s="146" t="n">
        <v>0.999158</v>
      </c>
      <c r="C1435" s="179" t="n">
        <v>24515071928</v>
      </c>
      <c r="D1435" s="179" t="n">
        <v>24535719583</v>
      </c>
      <c r="E1435" s="146" t="n">
        <v>0.9998939999999999</v>
      </c>
      <c r="F1435" s="179" t="n">
        <v>89672338130</v>
      </c>
      <c r="G1435" s="179" t="n">
        <v>89681881136</v>
      </c>
      <c r="H1435" s="179">
        <f>IFERROR(D1435+G1435,D1435)</f>
        <v/>
      </c>
      <c r="I1435" s="184">
        <f>IFERROR(D1435/H1435,"")</f>
        <v/>
      </c>
      <c r="J1435" s="179" t="n">
        <v>4907143917</v>
      </c>
      <c r="K1435" s="179" t="n">
        <v>9814287833</v>
      </c>
      <c r="L1435" s="179" t="n">
        <v>14721431750</v>
      </c>
    </row>
    <row r="1436" ht="15" customHeight="1" s="95">
      <c r="A1436" s="143" t="n">
        <v>45265</v>
      </c>
      <c r="B1436" s="146" t="n">
        <v>1.000613</v>
      </c>
      <c r="C1436" s="179" t="n">
        <v>24400386546</v>
      </c>
      <c r="D1436" s="179" t="n">
        <v>24385445980</v>
      </c>
      <c r="E1436" s="146" t="n">
        <v>1.000229</v>
      </c>
      <c r="F1436" s="179" t="n">
        <v>89712226019</v>
      </c>
      <c r="G1436" s="179" t="n">
        <v>89691672861</v>
      </c>
      <c r="H1436" s="179">
        <f>IFERROR(D1436+G1436,D1436)</f>
        <v/>
      </c>
      <c r="I1436" s="184">
        <f>IFERROR(D1436/H1436,"")</f>
        <v/>
      </c>
      <c r="J1436" s="179" t="n">
        <v>4877089196</v>
      </c>
      <c r="K1436" s="179" t="n">
        <v>9754178392</v>
      </c>
      <c r="L1436" s="179" t="n">
        <v>14631267588</v>
      </c>
    </row>
    <row r="1437" ht="15" customHeight="1" s="95">
      <c r="A1437" s="143" t="n">
        <v>45266</v>
      </c>
      <c r="B1437" s="146" t="n">
        <v>1.000143</v>
      </c>
      <c r="C1437" s="179" t="n">
        <v>24289183596</v>
      </c>
      <c r="D1437" s="179" t="n">
        <v>24285702434</v>
      </c>
      <c r="E1437" s="146" t="n">
        <v>1.000095</v>
      </c>
      <c r="F1437" s="179" t="n">
        <v>89954651881</v>
      </c>
      <c r="G1437" s="179" t="n">
        <v>89946131808</v>
      </c>
      <c r="H1437" s="179">
        <f>IFERROR(D1437+G1437,D1437)</f>
        <v/>
      </c>
      <c r="I1437" s="184">
        <f>IFERROR(D1437/H1437,"")</f>
        <v/>
      </c>
      <c r="J1437" s="179" t="n">
        <v>4857140487</v>
      </c>
      <c r="K1437" s="179" t="n">
        <v>9714280974</v>
      </c>
      <c r="L1437" s="179" t="n">
        <v>14571421460</v>
      </c>
    </row>
    <row r="1438" ht="15" customHeight="1" s="95">
      <c r="A1438" s="143" t="n">
        <v>45267</v>
      </c>
      <c r="B1438" s="146" t="n">
        <v>0.9994729999999999</v>
      </c>
      <c r="C1438" s="179" t="n">
        <v>24288530916</v>
      </c>
      <c r="D1438" s="179" t="n">
        <v>24301342250</v>
      </c>
      <c r="E1438" s="146" t="n">
        <v>0.999586</v>
      </c>
      <c r="F1438" s="179" t="n">
        <v>89947739514</v>
      </c>
      <c r="G1438" s="179" t="n">
        <v>89985016600</v>
      </c>
      <c r="H1438" s="179">
        <f>IFERROR(D1438+G1438,D1438)</f>
        <v/>
      </c>
      <c r="I1438" s="184">
        <f>IFERROR(D1438/H1438,"")</f>
        <v/>
      </c>
      <c r="J1438" s="179" t="n">
        <v>4860268450</v>
      </c>
      <c r="K1438" s="179" t="n">
        <v>9720536900</v>
      </c>
      <c r="L1438" s="179" t="n">
        <v>14580805350</v>
      </c>
    </row>
    <row r="1439" ht="15" customHeight="1" s="95">
      <c r="A1439" s="143" t="n">
        <v>45268</v>
      </c>
      <c r="B1439" s="146" t="n">
        <v>0.999851</v>
      </c>
      <c r="C1439" s="179" t="n">
        <v>24304813682</v>
      </c>
      <c r="D1439" s="179" t="n">
        <v>24308435472</v>
      </c>
      <c r="E1439" s="146" t="n">
        <v>0.999933</v>
      </c>
      <c r="F1439" s="179" t="n">
        <v>90118570091</v>
      </c>
      <c r="G1439" s="179" t="n">
        <v>90124647372</v>
      </c>
      <c r="H1439" s="179">
        <f>IFERROR(D1439+G1439,D1439)</f>
        <v/>
      </c>
      <c r="I1439" s="184">
        <f>IFERROR(D1439/H1439,"")</f>
        <v/>
      </c>
      <c r="J1439" s="179" t="n">
        <v>4861687094</v>
      </c>
      <c r="K1439" s="179" t="n">
        <v>9723374189</v>
      </c>
      <c r="L1439" s="179" t="n">
        <v>14585061283</v>
      </c>
    </row>
    <row r="1440" ht="15" customHeight="1" s="95">
      <c r="A1440" s="143" t="n">
        <v>45269</v>
      </c>
      <c r="B1440" s="146" t="n">
        <v>1.000521</v>
      </c>
      <c r="C1440" s="179" t="n">
        <v>24500076100</v>
      </c>
      <c r="D1440" s="179" t="n">
        <v>24487317778</v>
      </c>
      <c r="E1440" s="146" t="n">
        <v>1.001048</v>
      </c>
      <c r="F1440" s="179" t="n">
        <v>90313892604</v>
      </c>
      <c r="G1440" s="179" t="n">
        <v>90219364040</v>
      </c>
      <c r="H1440" s="179">
        <f>IFERROR(D1440+G1440,D1440)</f>
        <v/>
      </c>
      <c r="I1440" s="184">
        <f>IFERROR(D1440/H1440,"")</f>
        <v/>
      </c>
      <c r="J1440" s="179" t="n">
        <v>4897463556</v>
      </c>
      <c r="K1440" s="179" t="n">
        <v>9794927111</v>
      </c>
      <c r="L1440" s="179" t="n">
        <v>14692390667</v>
      </c>
    </row>
    <row r="1441" ht="15" customHeight="1" s="95">
      <c r="A1441" s="143" t="n">
        <v>45270</v>
      </c>
      <c r="B1441" s="146" t="n">
        <v>1.000818</v>
      </c>
      <c r="C1441" s="179" t="n">
        <v>24572867657</v>
      </c>
      <c r="D1441" s="179" t="n">
        <v>24552782993</v>
      </c>
      <c r="E1441" s="146" t="n">
        <v>1.001031</v>
      </c>
      <c r="F1441" s="179" t="n">
        <v>90697180084</v>
      </c>
      <c r="G1441" s="179" t="n">
        <v>90603753770</v>
      </c>
      <c r="H1441" s="179">
        <f>IFERROR(D1441+G1441,D1441)</f>
        <v/>
      </c>
      <c r="I1441" s="184">
        <f>IFERROR(D1441/H1441,"")</f>
        <v/>
      </c>
      <c r="J1441" s="179" t="n">
        <v>4910556599</v>
      </c>
      <c r="K1441" s="179" t="n">
        <v>9821113197</v>
      </c>
      <c r="L1441" s="179" t="n">
        <v>14731669796</v>
      </c>
    </row>
    <row r="1442" ht="15" customHeight="1" s="95">
      <c r="A1442" s="143" t="n">
        <v>45271</v>
      </c>
      <c r="B1442" s="146" t="n">
        <v>1.000262</v>
      </c>
      <c r="C1442" s="179" t="n">
        <v>24563202192</v>
      </c>
      <c r="D1442" s="179" t="n">
        <v>24556776653</v>
      </c>
      <c r="E1442" s="146" t="n">
        <v>1.000215</v>
      </c>
      <c r="F1442" s="179" t="n">
        <v>90619185009</v>
      </c>
      <c r="G1442" s="179" t="n">
        <v>90599725703</v>
      </c>
      <c r="H1442" s="179">
        <f>IFERROR(D1442+G1442,D1442)</f>
        <v/>
      </c>
      <c r="I1442" s="184">
        <f>IFERROR(D1442/H1442,"")</f>
        <v/>
      </c>
      <c r="J1442" s="179" t="n">
        <v>4911355331</v>
      </c>
      <c r="K1442" s="179" t="n">
        <v>9822710661</v>
      </c>
      <c r="L1442" s="179" t="n">
        <v>14734065992</v>
      </c>
    </row>
    <row r="1443" ht="15" customHeight="1" s="95">
      <c r="A1443" s="143" t="n">
        <v>45272</v>
      </c>
      <c r="B1443" s="146" t="n">
        <v>1.000841</v>
      </c>
      <c r="C1443" s="179" t="n">
        <v>24150529201</v>
      </c>
      <c r="D1443" s="179" t="n">
        <v>24130234822</v>
      </c>
      <c r="E1443" s="146" t="n">
        <v>0.999594</v>
      </c>
      <c r="F1443" s="179" t="n">
        <v>90552653809</v>
      </c>
      <c r="G1443" s="179" t="n">
        <v>90589430360</v>
      </c>
      <c r="H1443" s="179">
        <f>IFERROR(D1443+G1443,D1443)</f>
        <v/>
      </c>
      <c r="I1443" s="184">
        <f>IFERROR(D1443/H1443,"")</f>
        <v/>
      </c>
      <c r="J1443" s="179" t="n">
        <v>4826046964</v>
      </c>
      <c r="K1443" s="179" t="n">
        <v>9652093929</v>
      </c>
      <c r="L1443" s="179" t="n">
        <v>14478140893</v>
      </c>
    </row>
    <row r="1444" ht="15" customHeight="1" s="95">
      <c r="A1444" s="143" t="n">
        <v>45273</v>
      </c>
      <c r="B1444" s="146" t="n">
        <v>0.999507</v>
      </c>
      <c r="C1444" s="179" t="n">
        <v>24053290978</v>
      </c>
      <c r="D1444" s="179" t="n">
        <v>24065165557</v>
      </c>
      <c r="E1444" s="146" t="n">
        <v>0.999058</v>
      </c>
      <c r="F1444" s="179" t="n">
        <v>90618504336</v>
      </c>
      <c r="G1444" s="179" t="n">
        <v>90703905334</v>
      </c>
      <c r="H1444" s="179">
        <f>IFERROR(D1444+G1444,D1444)</f>
        <v/>
      </c>
      <c r="I1444" s="184">
        <f>IFERROR(D1444/H1444,"")</f>
        <v/>
      </c>
      <c r="J1444" s="179" t="n">
        <v>4813033111</v>
      </c>
      <c r="K1444" s="179" t="n">
        <v>9626066223</v>
      </c>
      <c r="L1444" s="179" t="n">
        <v>14439099334</v>
      </c>
    </row>
    <row r="1445" ht="15" customHeight="1" s="95">
      <c r="A1445" s="143" t="n">
        <v>45274</v>
      </c>
      <c r="B1445" s="146" t="n">
        <v>1.000508</v>
      </c>
      <c r="C1445" s="179" t="n">
        <v>24291303993</v>
      </c>
      <c r="D1445" s="179" t="n">
        <v>24278967572</v>
      </c>
      <c r="E1445" s="146" t="n">
        <v>1.000245</v>
      </c>
      <c r="F1445" s="179" t="n">
        <v>90695509418</v>
      </c>
      <c r="G1445" s="179" t="n">
        <v>90673287191</v>
      </c>
      <c r="H1445" s="179">
        <f>IFERROR(D1445+G1445,D1445)</f>
        <v/>
      </c>
      <c r="I1445" s="184">
        <f>IFERROR(D1445/H1445,"")</f>
        <v/>
      </c>
      <c r="J1445" s="179" t="n">
        <v>4855793514</v>
      </c>
      <c r="K1445" s="179" t="n">
        <v>9711587029</v>
      </c>
      <c r="L1445" s="179" t="n">
        <v>14567380543</v>
      </c>
    </row>
    <row r="1446" ht="15" customHeight="1" s="95">
      <c r="A1446" s="143" t="n">
        <v>45275</v>
      </c>
      <c r="B1446" s="146" t="n">
        <v>1.000318</v>
      </c>
      <c r="C1446" s="179" t="n">
        <v>24498837555</v>
      </c>
      <c r="D1446" s="179" t="n">
        <v>24491049220</v>
      </c>
      <c r="E1446" s="146" t="n">
        <v>1.000284</v>
      </c>
      <c r="F1446" s="179" t="n">
        <v>90827525607</v>
      </c>
      <c r="G1446" s="179" t="n">
        <v>90801747195</v>
      </c>
      <c r="H1446" s="179">
        <f>IFERROR(D1446+G1446,D1446)</f>
        <v/>
      </c>
      <c r="I1446" s="184">
        <f>IFERROR(D1446/H1446,"")</f>
        <v/>
      </c>
      <c r="J1446" s="179" t="n">
        <v>4898209844</v>
      </c>
      <c r="K1446" s="179" t="n">
        <v>9796419688</v>
      </c>
      <c r="L1446" s="179" t="n">
        <v>14694629532</v>
      </c>
    </row>
    <row r="1447" ht="15" customHeight="1" s="95">
      <c r="A1447" s="143" t="n">
        <v>45276</v>
      </c>
      <c r="B1447" s="146" t="n">
        <v>0.999973</v>
      </c>
      <c r="C1447" s="179" t="n">
        <v>24599475290</v>
      </c>
      <c r="D1447" s="179" t="n">
        <v>24600140526</v>
      </c>
      <c r="E1447" s="146" t="n">
        <v>1.000392</v>
      </c>
      <c r="F1447" s="179" t="n">
        <v>90736741067</v>
      </c>
      <c r="G1447" s="179" t="n">
        <v>90701152683</v>
      </c>
      <c r="H1447" s="179">
        <f>IFERROR(D1447+G1447,D1447)</f>
        <v/>
      </c>
      <c r="I1447" s="184">
        <f>IFERROR(D1447/H1447,"")</f>
        <v/>
      </c>
      <c r="J1447" s="179" t="n">
        <v>4920028105</v>
      </c>
      <c r="K1447" s="179" t="n">
        <v>9840056210</v>
      </c>
      <c r="L1447" s="179" t="n">
        <v>14760084316</v>
      </c>
    </row>
    <row r="1448" ht="15" customHeight="1" s="95">
      <c r="A1448" s="143" t="n">
        <v>45277</v>
      </c>
      <c r="B1448" s="146" t="n">
        <v>1.000871</v>
      </c>
      <c r="C1448" s="179" t="n">
        <v>24674549913</v>
      </c>
      <c r="D1448" s="179" t="n">
        <v>24653067162</v>
      </c>
      <c r="E1448" s="146" t="n">
        <v>0.999842</v>
      </c>
      <c r="F1448" s="179" t="n">
        <v>90854983802</v>
      </c>
      <c r="G1448" s="179" t="n">
        <v>90869358398</v>
      </c>
      <c r="H1448" s="179">
        <f>IFERROR(D1448+G1448,D1448)</f>
        <v/>
      </c>
      <c r="I1448" s="184">
        <f>IFERROR(D1448/H1448,"")</f>
        <v/>
      </c>
      <c r="J1448" s="179" t="n">
        <v>4930613432</v>
      </c>
      <c r="K1448" s="179" t="n">
        <v>9861226865</v>
      </c>
      <c r="L1448" s="179" t="n">
        <v>14791840297</v>
      </c>
    </row>
    <row r="1449" ht="15" customHeight="1" s="95">
      <c r="A1449" s="143" t="n">
        <v>45278</v>
      </c>
      <c r="B1449" s="146" t="n">
        <v>1.0005</v>
      </c>
      <c r="C1449" s="179" t="n">
        <v>24604523838</v>
      </c>
      <c r="D1449" s="179" t="n">
        <v>24592220973</v>
      </c>
      <c r="E1449" s="146" t="n">
        <v>0.9993379999999999</v>
      </c>
      <c r="F1449" s="179" t="n">
        <v>90872426679</v>
      </c>
      <c r="G1449" s="179" t="n">
        <v>90932642520</v>
      </c>
      <c r="H1449" s="179">
        <f>IFERROR(D1449+G1449,D1449)</f>
        <v/>
      </c>
      <c r="I1449" s="184">
        <f>IFERROR(D1449/H1449,"")</f>
        <v/>
      </c>
      <c r="J1449" s="179" t="n">
        <v>4918444195</v>
      </c>
      <c r="K1449" s="179" t="n">
        <v>9836888389</v>
      </c>
      <c r="L1449" s="179" t="n">
        <v>14755332584</v>
      </c>
    </row>
    <row r="1450" ht="15" customHeight="1" s="95">
      <c r="A1450" s="143" t="n">
        <v>45279</v>
      </c>
      <c r="B1450" s="146" t="n">
        <v>1.000407</v>
      </c>
      <c r="C1450" s="179" t="n">
        <v>24714692366</v>
      </c>
      <c r="D1450" s="179" t="n">
        <v>24704632377</v>
      </c>
      <c r="E1450" s="146" t="n">
        <v>0.999768</v>
      </c>
      <c r="F1450" s="179" t="n">
        <v>90931108068</v>
      </c>
      <c r="G1450" s="179" t="n">
        <v>90952192716</v>
      </c>
      <c r="H1450" s="179">
        <f>IFERROR(D1450+G1450,D1450)</f>
        <v/>
      </c>
      <c r="I1450" s="184">
        <f>IFERROR(D1450/H1450,"")</f>
        <v/>
      </c>
      <c r="J1450" s="179" t="n">
        <v>4940926475</v>
      </c>
      <c r="K1450" s="179" t="n">
        <v>9881852951</v>
      </c>
      <c r="L1450" s="179" t="n">
        <v>14822779426</v>
      </c>
    </row>
    <row r="1451" ht="15" customHeight="1" s="95">
      <c r="A1451" s="143" t="n">
        <v>45280</v>
      </c>
      <c r="B1451" s="146" t="n">
        <v>1.000476</v>
      </c>
      <c r="C1451" s="179" t="n">
        <v>24753586584</v>
      </c>
      <c r="D1451" s="179" t="n">
        <v>24741812764</v>
      </c>
      <c r="E1451" s="146" t="n">
        <v>0.999857</v>
      </c>
      <c r="F1451" s="179" t="n">
        <v>90960533050</v>
      </c>
      <c r="G1451" s="179" t="n">
        <v>90973497167</v>
      </c>
      <c r="H1451" s="179">
        <f>IFERROR(D1451+G1451,D1451)</f>
        <v/>
      </c>
      <c r="I1451" s="184">
        <f>IFERROR(D1451/H1451,"")</f>
        <v/>
      </c>
      <c r="J1451" s="179" t="n">
        <v>4948362553</v>
      </c>
      <c r="K1451" s="179" t="n">
        <v>9896725106</v>
      </c>
      <c r="L1451" s="179" t="n">
        <v>14845087658</v>
      </c>
    </row>
    <row r="1452" ht="15" customHeight="1" s="95">
      <c r="A1452" s="143" t="n">
        <v>45281</v>
      </c>
      <c r="B1452" s="146" t="n">
        <v>1.000007</v>
      </c>
      <c r="C1452" s="179" t="n">
        <v>24901256244</v>
      </c>
      <c r="D1452" s="179" t="n">
        <v>24901073311</v>
      </c>
      <c r="E1452" s="146" t="n">
        <v>0.999983</v>
      </c>
      <c r="F1452" s="179" t="n">
        <v>90953421967</v>
      </c>
      <c r="G1452" s="179" t="n">
        <v>90954946454</v>
      </c>
      <c r="H1452" s="179">
        <f>IFERROR(D1452+G1452,D1452)</f>
        <v/>
      </c>
      <c r="I1452" s="184">
        <f>IFERROR(D1452/H1452,"")</f>
        <v/>
      </c>
      <c r="J1452" s="179" t="n">
        <v>4980214662</v>
      </c>
      <c r="K1452" s="179" t="n">
        <v>9960429324</v>
      </c>
      <c r="L1452" s="179" t="n">
        <v>14940643987</v>
      </c>
    </row>
    <row r="1453" ht="15" customHeight="1" s="95">
      <c r="A1453" s="143" t="n">
        <v>45282</v>
      </c>
      <c r="B1453" s="146" t="n">
        <v>1.000498</v>
      </c>
      <c r="C1453" s="179" t="n">
        <v>24782776096</v>
      </c>
      <c r="D1453" s="179" t="n">
        <v>24770441474</v>
      </c>
      <c r="E1453" s="146" t="n">
        <v>1.000106</v>
      </c>
      <c r="F1453" s="179" t="n">
        <v>91062560834</v>
      </c>
      <c r="G1453" s="179" t="n">
        <v>91052936640</v>
      </c>
      <c r="H1453" s="179">
        <f>IFERROR(D1453+G1453,D1453)</f>
        <v/>
      </c>
      <c r="I1453" s="184">
        <f>IFERROR(D1453/H1453,"")</f>
        <v/>
      </c>
      <c r="J1453" s="179" t="n">
        <v>4954088295</v>
      </c>
      <c r="K1453" s="179" t="n">
        <v>9908176590</v>
      </c>
      <c r="L1453" s="179" t="n">
        <v>14862264884</v>
      </c>
    </row>
    <row r="1454" ht="15" customHeight="1" s="95">
      <c r="A1454" s="143" t="n">
        <v>45283</v>
      </c>
      <c r="B1454" s="146" t="n">
        <v>1.000136</v>
      </c>
      <c r="C1454" s="179" t="n">
        <v>25060302354</v>
      </c>
      <c r="D1454" s="179" t="n">
        <v>25056883335</v>
      </c>
      <c r="E1454" s="146" t="n">
        <v>1.000716</v>
      </c>
      <c r="F1454" s="179" t="n">
        <v>91196913161</v>
      </c>
      <c r="G1454" s="179" t="n">
        <v>91131646314</v>
      </c>
      <c r="H1454" s="179">
        <f>IFERROR(D1454+G1454,D1454)</f>
        <v/>
      </c>
      <c r="I1454" s="184">
        <f>IFERROR(D1454/H1454,"")</f>
        <v/>
      </c>
      <c r="J1454" s="179" t="n">
        <v>5011376667</v>
      </c>
      <c r="K1454" s="179" t="n">
        <v>10022753334</v>
      </c>
      <c r="L1454" s="179" t="n">
        <v>15034130001</v>
      </c>
    </row>
    <row r="1455" ht="15" customHeight="1" s="95">
      <c r="A1455" s="143" t="n">
        <v>45284</v>
      </c>
      <c r="B1455" s="146" t="n">
        <v>0.999769</v>
      </c>
      <c r="C1455" s="179" t="n">
        <v>25066546913</v>
      </c>
      <c r="D1455" s="179" t="n">
        <v>25072332205</v>
      </c>
      <c r="E1455" s="146" t="n">
        <v>1.000305</v>
      </c>
      <c r="F1455" s="179" t="n">
        <v>91288621400</v>
      </c>
      <c r="G1455" s="179" t="n">
        <v>91260809555</v>
      </c>
      <c r="H1455" s="179">
        <f>IFERROR(D1455+G1455,D1455)</f>
        <v/>
      </c>
      <c r="I1455" s="184">
        <f>IFERROR(D1455/H1455,"")</f>
        <v/>
      </c>
      <c r="J1455" s="179" t="n">
        <v>5014466441</v>
      </c>
      <c r="K1455" s="179" t="n">
        <v>10028932882</v>
      </c>
      <c r="L1455" s="179" t="n">
        <v>15043399323</v>
      </c>
    </row>
    <row r="1456" ht="15" customHeight="1" s="95">
      <c r="A1456" s="143" t="n">
        <v>45285</v>
      </c>
      <c r="B1456" s="146" t="n">
        <v>0.999055</v>
      </c>
      <c r="C1456" s="179" t="n">
        <v>25090078779</v>
      </c>
      <c r="D1456" s="179" t="n">
        <v>25113820117</v>
      </c>
      <c r="E1456" s="146" t="n">
        <v>0.999609</v>
      </c>
      <c r="F1456" s="179" t="n">
        <v>91321270663</v>
      </c>
      <c r="G1456" s="179" t="n">
        <v>91357031592</v>
      </c>
      <c r="H1456" s="179">
        <f>IFERROR(D1456+G1456,D1456)</f>
        <v/>
      </c>
      <c r="I1456" s="184">
        <f>IFERROR(D1456/H1456,"")</f>
        <v/>
      </c>
      <c r="J1456" s="179" t="n">
        <v>5022764023</v>
      </c>
      <c r="K1456" s="179" t="n">
        <v>10045528047</v>
      </c>
      <c r="L1456" s="179" t="n">
        <v>15068292070</v>
      </c>
    </row>
    <row r="1457" ht="15" customHeight="1" s="95">
      <c r="A1457" s="143" t="n">
        <v>45286</v>
      </c>
      <c r="B1457" s="146" t="n">
        <v>1.000511</v>
      </c>
      <c r="C1457" s="179" t="n">
        <v>25068321884</v>
      </c>
      <c r="D1457" s="179" t="n">
        <v>25055509290</v>
      </c>
      <c r="E1457" s="146" t="n">
        <v>1.000227</v>
      </c>
      <c r="F1457" s="179" t="n">
        <v>91328934694</v>
      </c>
      <c r="G1457" s="179" t="n">
        <v>91308250277</v>
      </c>
      <c r="H1457" s="179">
        <f>IFERROR(D1457+G1457,D1457)</f>
        <v/>
      </c>
      <c r="I1457" s="184">
        <f>IFERROR(D1457/H1457,"")</f>
        <v/>
      </c>
      <c r="J1457" s="179" t="n">
        <v>5011101858</v>
      </c>
      <c r="K1457" s="179" t="n">
        <v>10022203716</v>
      </c>
      <c r="L1457" s="179" t="n">
        <v>15033305574</v>
      </c>
    </row>
    <row r="1458" ht="15" customHeight="1" s="95">
      <c r="A1458" s="143" t="n">
        <v>45287</v>
      </c>
      <c r="B1458" s="146" t="n">
        <v>1.00076</v>
      </c>
      <c r="C1458" s="179" t="n">
        <v>24745359675</v>
      </c>
      <c r="D1458" s="179" t="n">
        <v>24726563016</v>
      </c>
      <c r="E1458" s="146" t="n">
        <v>1.000442</v>
      </c>
      <c r="F1458" s="179" t="n">
        <v>91384051292</v>
      </c>
      <c r="G1458" s="179" t="n">
        <v>91343684029</v>
      </c>
      <c r="H1458" s="179">
        <f>IFERROR(D1458+G1458,D1458)</f>
        <v/>
      </c>
      <c r="I1458" s="184">
        <f>IFERROR(D1458/H1458,"")</f>
        <v/>
      </c>
      <c r="J1458" s="179" t="n">
        <v>4945312603</v>
      </c>
      <c r="K1458" s="179" t="n">
        <v>9890625206</v>
      </c>
      <c r="L1458" s="179" t="n">
        <v>14835937810</v>
      </c>
    </row>
    <row r="1459" ht="15" customHeight="1" s="95">
      <c r="A1459" s="143" t="n">
        <v>45288</v>
      </c>
      <c r="B1459" s="146" t="n">
        <v>0.999808</v>
      </c>
      <c r="C1459" s="179" t="n">
        <v>24862763840</v>
      </c>
      <c r="D1459" s="179" t="n">
        <v>24867532618</v>
      </c>
      <c r="E1459" s="146" t="n">
        <v>1.000098</v>
      </c>
      <c r="F1459" s="179" t="n">
        <v>91451080290</v>
      </c>
      <c r="G1459" s="179" t="n">
        <v>91442088919</v>
      </c>
      <c r="H1459" s="179">
        <f>IFERROR(D1459+G1459,D1459)</f>
        <v/>
      </c>
      <c r="I1459" s="184">
        <f>IFERROR(D1459/H1459,"")</f>
        <v/>
      </c>
      <c r="J1459" s="179" t="n">
        <v>4973506524</v>
      </c>
      <c r="K1459" s="179" t="n">
        <v>9947013047</v>
      </c>
      <c r="L1459" s="179" t="n">
        <v>14920519571</v>
      </c>
    </row>
    <row r="1460" ht="15" customHeight="1" s="95">
      <c r="A1460" s="143" t="n">
        <v>45289</v>
      </c>
      <c r="B1460" s="146" t="n">
        <v>0.998521</v>
      </c>
      <c r="C1460" s="179" t="n">
        <v>24842761005</v>
      </c>
      <c r="D1460" s="179" t="n">
        <v>24879561437</v>
      </c>
      <c r="E1460" s="146" t="n">
        <v>1.000088</v>
      </c>
      <c r="F1460" s="179" t="n">
        <v>91563523683</v>
      </c>
      <c r="G1460" s="179" t="n">
        <v>91555497538</v>
      </c>
      <c r="H1460" s="179">
        <f>IFERROR(D1460+G1460,D1460)</f>
        <v/>
      </c>
      <c r="I1460" s="184">
        <f>IFERROR(D1460/H1460,"")</f>
        <v/>
      </c>
      <c r="J1460" s="179" t="n">
        <v>4975912287</v>
      </c>
      <c r="K1460" s="179" t="n">
        <v>9951824575</v>
      </c>
      <c r="L1460" s="179" t="n">
        <v>14927736862</v>
      </c>
    </row>
    <row r="1461" ht="15" customHeight="1" s="95">
      <c r="A1461" s="143" t="n">
        <v>45290</v>
      </c>
      <c r="B1461" s="146" t="n">
        <v>1.001002</v>
      </c>
      <c r="C1461" s="179" t="n">
        <v>24770043132</v>
      </c>
      <c r="D1461" s="179" t="n">
        <v>24745259784</v>
      </c>
      <c r="E1461" s="146" t="n">
        <v>1.000242</v>
      </c>
      <c r="F1461" s="179" t="n">
        <v>91575330091</v>
      </c>
      <c r="G1461" s="179" t="n">
        <v>91553165089</v>
      </c>
      <c r="H1461" s="179">
        <f>IFERROR(D1461+G1461,D1461)</f>
        <v/>
      </c>
      <c r="I1461" s="184">
        <f>IFERROR(D1461/H1461,"")</f>
        <v/>
      </c>
      <c r="J1461" s="179" t="n">
        <v>4949051957</v>
      </c>
      <c r="K1461" s="179" t="n">
        <v>9898103914</v>
      </c>
      <c r="L1461" s="179" t="n">
        <v>14847155870</v>
      </c>
    </row>
    <row r="1462" ht="15" customHeight="1" s="95">
      <c r="A1462" s="143" t="n">
        <v>45291</v>
      </c>
      <c r="B1462" s="146" t="n">
        <v>1.00025</v>
      </c>
      <c r="C1462" s="179" t="n">
        <v>24659690975</v>
      </c>
      <c r="D1462" s="179" t="n">
        <v>24653539257</v>
      </c>
      <c r="E1462" s="146" t="n">
        <v>1.000232</v>
      </c>
      <c r="F1462" s="179" t="n">
        <v>91696771362</v>
      </c>
      <c r="G1462" s="179" t="n">
        <v>91675540265</v>
      </c>
      <c r="H1462" s="179">
        <f>IFERROR(D1462+G1462,D1462)</f>
        <v/>
      </c>
      <c r="I1462" s="184">
        <f>IFERROR(D1462/H1462,"")</f>
        <v/>
      </c>
      <c r="J1462" s="179" t="n">
        <v>4930707851</v>
      </c>
      <c r="K1462" s="179" t="n">
        <v>9861415703</v>
      </c>
      <c r="L1462" s="179" t="n">
        <v>14792123554</v>
      </c>
    </row>
    <row r="1463" ht="15" customHeight="1" s="95">
      <c r="A1463" s="143" t="n">
        <v>45292</v>
      </c>
      <c r="B1463" s="146" t="n">
        <v>0.999262</v>
      </c>
      <c r="C1463" s="179" t="n">
        <v>24493495655</v>
      </c>
      <c r="D1463" s="179" t="n">
        <v>24511584235</v>
      </c>
      <c r="E1463" s="146" t="n">
        <v>0.999463</v>
      </c>
      <c r="F1463" s="179" t="n">
        <v>91724474427</v>
      </c>
      <c r="G1463" s="179" t="n">
        <v>91773759013</v>
      </c>
      <c r="H1463" s="179">
        <f>IFERROR(D1463+G1463,D1463)</f>
        <v/>
      </c>
      <c r="I1463" s="184">
        <f>IFERROR(D1463/H1463,"")</f>
        <v/>
      </c>
      <c r="J1463" s="179" t="n">
        <v>4902316847</v>
      </c>
      <c r="K1463" s="179" t="n">
        <v>9804633694</v>
      </c>
      <c r="L1463" s="179" t="n">
        <v>14706950541</v>
      </c>
    </row>
    <row r="1464" ht="15" customHeight="1" s="95">
      <c r="A1464" s="143" t="n">
        <v>45293</v>
      </c>
      <c r="B1464" s="146" t="n">
        <v>1.001261</v>
      </c>
      <c r="C1464" s="179" t="n">
        <v>24564299188</v>
      </c>
      <c r="D1464" s="179" t="n">
        <v>24533355691</v>
      </c>
      <c r="E1464" s="146" t="n">
        <v>1.000909</v>
      </c>
      <c r="F1464" s="179" t="n">
        <v>91730242123</v>
      </c>
      <c r="G1464" s="179" t="n">
        <v>91646931926</v>
      </c>
      <c r="H1464" s="179">
        <f>IFERROR(D1464+G1464,D1464)</f>
        <v/>
      </c>
      <c r="I1464" s="184">
        <f>IFERROR(D1464/H1464,"")</f>
        <v/>
      </c>
      <c r="J1464" s="179" t="n">
        <v>4906671138</v>
      </c>
      <c r="K1464" s="179" t="n">
        <v>9813342276</v>
      </c>
      <c r="L1464" s="179" t="n">
        <v>14720013415</v>
      </c>
    </row>
    <row r="1465" ht="15" customHeight="1" s="95">
      <c r="A1465" s="143" t="n">
        <v>45294</v>
      </c>
      <c r="B1465" s="146" t="n">
        <v>1.002117</v>
      </c>
      <c r="C1465" s="179" t="n">
        <v>24792052249</v>
      </c>
      <c r="D1465" s="179" t="n">
        <v>24739680603</v>
      </c>
      <c r="E1465" s="146" t="n">
        <v>1.002024</v>
      </c>
      <c r="F1465" s="179" t="n">
        <v>91717780780</v>
      </c>
      <c r="G1465" s="179" t="n">
        <v>91532547662</v>
      </c>
      <c r="H1465" s="179">
        <f>IFERROR(D1465+G1465,D1465)</f>
        <v/>
      </c>
      <c r="I1465" s="184">
        <f>IFERROR(D1465/H1465,"")</f>
        <v/>
      </c>
      <c r="J1465" s="179" t="n">
        <v>4947936121</v>
      </c>
      <c r="K1465" s="179" t="n">
        <v>9895872241</v>
      </c>
      <c r="L1465" s="179" t="n">
        <v>14843808362</v>
      </c>
    </row>
    <row r="1466" ht="15" customHeight="1" s="95">
      <c r="A1466" s="143" t="n">
        <v>45295</v>
      </c>
      <c r="B1466" s="146" t="n">
        <v>1.000431</v>
      </c>
      <c r="C1466" s="179" t="n">
        <v>24996243000</v>
      </c>
      <c r="D1466" s="179" t="n">
        <v>24985485892</v>
      </c>
      <c r="E1466" s="146" t="n">
        <v>1.000924</v>
      </c>
      <c r="F1466" s="179" t="n">
        <v>92142753304</v>
      </c>
      <c r="G1466" s="179" t="n">
        <v>92057684288</v>
      </c>
      <c r="H1466" s="179">
        <f>IFERROR(D1466+G1466,D1466)</f>
        <v/>
      </c>
      <c r="I1466" s="184">
        <f>IFERROR(D1466/H1466,"")</f>
        <v/>
      </c>
      <c r="J1466" s="179" t="n">
        <v>4997097178</v>
      </c>
      <c r="K1466" s="179" t="n">
        <v>9994194357</v>
      </c>
      <c r="L1466" s="179" t="n">
        <v>14991291535</v>
      </c>
    </row>
    <row r="1467" ht="15" customHeight="1" s="95">
      <c r="A1467" s="143" t="n">
        <v>45296</v>
      </c>
      <c r="B1467" s="146" t="n">
        <v>0.999866</v>
      </c>
      <c r="C1467" s="179" t="n">
        <v>25128587806</v>
      </c>
      <c r="D1467" s="179" t="n">
        <v>25131965801</v>
      </c>
      <c r="E1467" s="146" t="n">
        <v>1.000813</v>
      </c>
      <c r="F1467" s="179" t="n">
        <v>92526809338</v>
      </c>
      <c r="G1467" s="179" t="n">
        <v>92451675744</v>
      </c>
      <c r="H1467" s="179">
        <f>IFERROR(D1467+G1467,D1467)</f>
        <v/>
      </c>
      <c r="I1467" s="184">
        <f>IFERROR(D1467/H1467,"")</f>
        <v/>
      </c>
      <c r="J1467" s="179" t="n">
        <v>5026393160</v>
      </c>
      <c r="K1467" s="179" t="n">
        <v>10052786320</v>
      </c>
      <c r="L1467" s="179" t="n">
        <v>15079179481</v>
      </c>
    </row>
    <row r="1468" ht="15" customHeight="1" s="95">
      <c r="A1468" s="143" t="n">
        <v>45297</v>
      </c>
      <c r="B1468" s="146" t="n">
        <v>1.000505</v>
      </c>
      <c r="C1468" s="179" t="n">
        <v>25398486592</v>
      </c>
      <c r="D1468" s="179" t="n">
        <v>25385663710</v>
      </c>
      <c r="E1468" s="146" t="n">
        <v>1.0007</v>
      </c>
      <c r="F1468" s="179" t="n">
        <v>92858801168</v>
      </c>
      <c r="G1468" s="179" t="n">
        <v>92793854583</v>
      </c>
      <c r="H1468" s="179">
        <f>IFERROR(D1468+G1468,D1468)</f>
        <v/>
      </c>
      <c r="I1468" s="184">
        <f>IFERROR(D1468/H1468,"")</f>
        <v/>
      </c>
      <c r="J1468" s="179" t="n">
        <v>5077132742</v>
      </c>
      <c r="K1468" s="179" t="n">
        <v>10154265484</v>
      </c>
      <c r="L1468" s="179" t="n">
        <v>15231398226</v>
      </c>
    </row>
    <row r="1469" ht="15" customHeight="1" s="95">
      <c r="A1469" s="143" t="n">
        <v>45298</v>
      </c>
      <c r="B1469" s="146" t="n">
        <v>1.000698</v>
      </c>
      <c r="C1469" s="179" t="n">
        <v>25419111813</v>
      </c>
      <c r="D1469" s="179" t="n">
        <v>25401371687</v>
      </c>
      <c r="E1469" s="146" t="n">
        <v>1.000542</v>
      </c>
      <c r="F1469" s="179" t="n">
        <v>93445427842</v>
      </c>
      <c r="G1469" s="179" t="n">
        <v>93394782264</v>
      </c>
      <c r="H1469" s="179">
        <f>IFERROR(D1469+G1469,D1469)</f>
        <v/>
      </c>
      <c r="I1469" s="184">
        <f>IFERROR(D1469/H1469,"")</f>
        <v/>
      </c>
      <c r="J1469" s="179" t="n">
        <v>5080274337</v>
      </c>
      <c r="K1469" s="179" t="n">
        <v>10160548675</v>
      </c>
      <c r="L1469" s="179" t="n">
        <v>15240823012</v>
      </c>
    </row>
    <row r="1470" ht="15" customHeight="1" s="95">
      <c r="A1470" s="143" t="n">
        <v>45299</v>
      </c>
      <c r="B1470" s="146" t="n">
        <v>1.002061</v>
      </c>
      <c r="C1470" s="179" t="n">
        <v>25416437623</v>
      </c>
      <c r="D1470" s="179" t="n">
        <v>25364165776</v>
      </c>
      <c r="E1470" s="146" t="n">
        <v>1.001824</v>
      </c>
      <c r="F1470" s="179" t="n">
        <v>93704952521</v>
      </c>
      <c r="G1470" s="179" t="n">
        <v>93534299594</v>
      </c>
      <c r="H1470" s="179">
        <f>IFERROR(D1470+G1470,D1470)</f>
        <v/>
      </c>
      <c r="I1470" s="184">
        <f>IFERROR(D1470/H1470,"")</f>
        <v/>
      </c>
      <c r="J1470" s="179" t="n">
        <v>5072833155</v>
      </c>
      <c r="K1470" s="179" t="n">
        <v>10145666310</v>
      </c>
      <c r="L1470" s="179" t="n">
        <v>15218499466</v>
      </c>
    </row>
    <row r="1471" ht="15" customHeight="1" s="95">
      <c r="A1471" s="143" t="n">
        <v>45300</v>
      </c>
      <c r="B1471" s="146" t="n">
        <v>0.999866</v>
      </c>
      <c r="C1471" s="179" t="n">
        <v>25359430366</v>
      </c>
      <c r="D1471" s="179" t="n">
        <v>25362818592</v>
      </c>
      <c r="E1471" s="146" t="n">
        <v>1.000506</v>
      </c>
      <c r="F1471" s="179" t="n">
        <v>94083713350</v>
      </c>
      <c r="G1471" s="179" t="n">
        <v>94036134420</v>
      </c>
      <c r="H1471" s="179">
        <f>IFERROR(D1471+G1471,D1471)</f>
        <v/>
      </c>
      <c r="I1471" s="184">
        <f>IFERROR(D1471/H1471,"")</f>
        <v/>
      </c>
      <c r="J1471" s="179" t="n">
        <v>5072563718</v>
      </c>
      <c r="K1471" s="179" t="n">
        <v>10145127437</v>
      </c>
      <c r="L1471" s="179" t="n">
        <v>15217691155</v>
      </c>
    </row>
    <row r="1472" ht="15" customHeight="1" s="95">
      <c r="A1472" s="143" t="n">
        <v>45301</v>
      </c>
      <c r="B1472" s="146" t="n">
        <v>0.999725</v>
      </c>
      <c r="C1472" s="179" t="n">
        <v>25215666922</v>
      </c>
      <c r="D1472" s="179" t="n">
        <v>25222598695</v>
      </c>
      <c r="E1472" s="146" t="n">
        <v>1.000215</v>
      </c>
      <c r="F1472" s="179" t="n">
        <v>94064205857</v>
      </c>
      <c r="G1472" s="179" t="n">
        <v>94043940150</v>
      </c>
      <c r="H1472" s="179">
        <f>IFERROR(D1472+G1472,D1472)</f>
        <v/>
      </c>
      <c r="I1472" s="184">
        <f>IFERROR(D1472/H1472,"")</f>
        <v/>
      </c>
      <c r="J1472" s="179" t="n">
        <v>5044519739</v>
      </c>
      <c r="K1472" s="179" t="n">
        <v>10089039478</v>
      </c>
      <c r="L1472" s="179" t="n">
        <v>15133559217</v>
      </c>
    </row>
    <row r="1473" ht="15" customHeight="1" s="95">
      <c r="A1473" s="143" t="n">
        <v>45302</v>
      </c>
      <c r="B1473" s="146" t="n">
        <v>1.00032</v>
      </c>
      <c r="C1473" s="179" t="n">
        <v>25291406986</v>
      </c>
      <c r="D1473" s="179" t="n">
        <v>25283319369</v>
      </c>
      <c r="E1473" s="146" t="n">
        <v>1.000034</v>
      </c>
      <c r="F1473" s="179" t="n">
        <v>94504765887</v>
      </c>
      <c r="G1473" s="179" t="n">
        <v>94501521810</v>
      </c>
      <c r="H1473" s="179">
        <f>IFERROR(D1473+G1473,D1473)</f>
        <v/>
      </c>
      <c r="I1473" s="184">
        <f>IFERROR(D1473/H1473,"")</f>
        <v/>
      </c>
      <c r="J1473" s="179" t="n">
        <v>5056663874</v>
      </c>
      <c r="K1473" s="179" t="n">
        <v>10113327748</v>
      </c>
      <c r="L1473" s="179" t="n">
        <v>15169991621</v>
      </c>
    </row>
    <row r="1474" ht="15" customHeight="1" s="95">
      <c r="A1474" s="143" t="n">
        <v>45303</v>
      </c>
      <c r="B1474" s="146" t="n">
        <v>0.999279</v>
      </c>
      <c r="C1474" s="179" t="n">
        <v>25286028707</v>
      </c>
      <c r="D1474" s="179" t="n">
        <v>25304271096</v>
      </c>
      <c r="E1474" s="146" t="n">
        <v>0.99878</v>
      </c>
      <c r="F1474" s="179" t="n">
        <v>95062620421</v>
      </c>
      <c r="G1474" s="179" t="n">
        <v>95178757111</v>
      </c>
      <c r="H1474" s="179">
        <f>IFERROR(D1474+G1474,D1474)</f>
        <v/>
      </c>
      <c r="I1474" s="184">
        <f>IFERROR(D1474/H1474,"")</f>
        <v/>
      </c>
      <c r="J1474" s="179" t="n">
        <v>5060854219</v>
      </c>
      <c r="K1474" s="179" t="n">
        <v>10121708438</v>
      </c>
      <c r="L1474" s="179" t="n">
        <v>15182562658</v>
      </c>
    </row>
    <row r="1475" ht="15" customHeight="1" s="95">
      <c r="A1475" s="143" t="n">
        <v>45304</v>
      </c>
      <c r="B1475" s="146" t="n">
        <v>1.00206</v>
      </c>
      <c r="C1475" s="179" t="n">
        <v>25390042131</v>
      </c>
      <c r="D1475" s="179" t="n">
        <v>25337837212</v>
      </c>
      <c r="E1475" s="146" t="n">
        <v>1.00115</v>
      </c>
      <c r="F1475" s="179" t="n">
        <v>95002649650</v>
      </c>
      <c r="G1475" s="179" t="n">
        <v>94893504047</v>
      </c>
      <c r="H1475" s="179">
        <f>IFERROR(D1475+G1475,D1475)</f>
        <v/>
      </c>
      <c r="I1475" s="184">
        <f>IFERROR(D1475/H1475,"")</f>
        <v/>
      </c>
      <c r="J1475" s="179" t="n">
        <v>5067567442</v>
      </c>
      <c r="K1475" s="179" t="n">
        <v>10135134885</v>
      </c>
      <c r="L1475" s="179" t="n">
        <v>15202702327</v>
      </c>
    </row>
    <row r="1476" ht="15" customHeight="1" s="95">
      <c r="A1476" s="143" t="n">
        <v>45305</v>
      </c>
      <c r="B1476" s="146" t="n">
        <v>1.000508</v>
      </c>
      <c r="C1476" s="179" t="n">
        <v>25476679495</v>
      </c>
      <c r="D1476" s="179" t="n">
        <v>25463747446</v>
      </c>
      <c r="E1476" s="146" t="n">
        <v>1.000685</v>
      </c>
      <c r="F1476" s="179" t="n">
        <v>94996286994</v>
      </c>
      <c r="G1476" s="179" t="n">
        <v>94931220646</v>
      </c>
      <c r="H1476" s="179">
        <f>IFERROR(D1476+G1476,D1476)</f>
        <v/>
      </c>
      <c r="I1476" s="184">
        <f>IFERROR(D1476/H1476,"")</f>
        <v/>
      </c>
      <c r="J1476" s="179" t="n">
        <v>5092749489</v>
      </c>
      <c r="K1476" s="179" t="n">
        <v>10185498978</v>
      </c>
      <c r="L1476" s="179" t="n">
        <v>15278248468</v>
      </c>
    </row>
    <row r="1477" ht="15" customHeight="1" s="95">
      <c r="A1477" s="143" t="n">
        <v>45306</v>
      </c>
      <c r="B1477" s="146" t="n">
        <v>1.000238</v>
      </c>
      <c r="C1477" s="179" t="n">
        <v>25508991917</v>
      </c>
      <c r="D1477" s="179" t="n">
        <v>25502911571</v>
      </c>
      <c r="E1477" s="146" t="n">
        <v>0.9961</v>
      </c>
      <c r="F1477" s="179" t="n">
        <v>95050997231</v>
      </c>
      <c r="G1477" s="179" t="n">
        <v>95423155847</v>
      </c>
      <c r="H1477" s="179">
        <f>IFERROR(D1477+G1477,D1477)</f>
        <v/>
      </c>
      <c r="I1477" s="184">
        <f>IFERROR(D1477/H1477,"")</f>
        <v/>
      </c>
      <c r="J1477" s="179" t="n">
        <v>5100582314</v>
      </c>
      <c r="K1477" s="179" t="n">
        <v>10201164628</v>
      </c>
      <c r="L1477" s="179" t="n">
        <v>15301746943</v>
      </c>
    </row>
    <row r="1478" ht="15" customHeight="1" s="95">
      <c r="A1478" s="143" t="n">
        <v>45307</v>
      </c>
      <c r="B1478" s="146" t="n">
        <v>1.000758</v>
      </c>
      <c r="C1478" s="179" t="n">
        <v>25494823062</v>
      </c>
      <c r="D1478" s="179" t="n">
        <v>25475507048</v>
      </c>
      <c r="E1478" s="146" t="n">
        <v>0.999897</v>
      </c>
      <c r="F1478" s="179" t="n">
        <v>95255892093</v>
      </c>
      <c r="G1478" s="179" t="n">
        <v>95265717126</v>
      </c>
      <c r="H1478" s="179">
        <f>IFERROR(D1478+G1478,D1478)</f>
        <v/>
      </c>
      <c r="I1478" s="184">
        <f>IFERROR(D1478/H1478,"")</f>
        <v/>
      </c>
      <c r="J1478" s="179" t="n">
        <v>5095101410</v>
      </c>
      <c r="K1478" s="179" t="n">
        <v>10190202819</v>
      </c>
      <c r="L1478" s="179" t="n">
        <v>15285304229</v>
      </c>
    </row>
    <row r="1479" ht="15" customHeight="1" s="95">
      <c r="A1479" s="143" t="n">
        <v>45308</v>
      </c>
      <c r="B1479" s="146" t="n">
        <v>0.9998899999999999</v>
      </c>
      <c r="C1479" s="179" t="n">
        <v>25436193578</v>
      </c>
      <c r="D1479" s="179" t="n">
        <v>25438989920</v>
      </c>
      <c r="E1479" s="146" t="n">
        <v>0.999885</v>
      </c>
      <c r="F1479" s="179" t="n">
        <v>95104647039</v>
      </c>
      <c r="G1479" s="179" t="n">
        <v>95115618788</v>
      </c>
      <c r="H1479" s="179">
        <f>IFERROR(D1479+G1479,D1479)</f>
        <v/>
      </c>
      <c r="I1479" s="184">
        <f>IFERROR(D1479/H1479,"")</f>
        <v/>
      </c>
      <c r="J1479" s="179" t="n">
        <v>5087797984</v>
      </c>
      <c r="K1479" s="179" t="n">
        <v>10175595968</v>
      </c>
      <c r="L1479" s="179" t="n">
        <v>15263393952</v>
      </c>
    </row>
    <row r="1480" ht="15" customHeight="1" s="95">
      <c r="A1480" s="143" t="n">
        <v>45309</v>
      </c>
      <c r="B1480" s="146" t="n">
        <v>1.000223</v>
      </c>
      <c r="C1480" s="179" t="n">
        <v>25697140663</v>
      </c>
      <c r="D1480" s="179" t="n">
        <v>25691424038</v>
      </c>
      <c r="E1480" s="146" t="n">
        <v>0.999528</v>
      </c>
      <c r="F1480" s="179" t="n">
        <v>95125787221</v>
      </c>
      <c r="G1480" s="179" t="n">
        <v>95170683049</v>
      </c>
      <c r="H1480" s="179">
        <f>IFERROR(D1480+G1480,D1480)</f>
        <v/>
      </c>
      <c r="I1480" s="184">
        <f>IFERROR(D1480/H1480,"")</f>
        <v/>
      </c>
      <c r="J1480" s="179" t="n">
        <v>5138284808</v>
      </c>
      <c r="K1480" s="179" t="n">
        <v>10276569615</v>
      </c>
      <c r="L1480" s="179" t="n">
        <v>15414854423</v>
      </c>
    </row>
    <row r="1481" ht="15" customHeight="1" s="95">
      <c r="A1481" s="143" t="n">
        <v>45310</v>
      </c>
      <c r="B1481" s="146" t="n">
        <v>1.000093</v>
      </c>
      <c r="C1481" s="179" t="n">
        <v>25632873599</v>
      </c>
      <c r="D1481" s="179" t="n">
        <v>25630491160</v>
      </c>
      <c r="E1481" s="146" t="n">
        <v>0.999013</v>
      </c>
      <c r="F1481" s="179" t="n">
        <v>94955321534</v>
      </c>
      <c r="G1481" s="179" t="n">
        <v>95049132211</v>
      </c>
      <c r="H1481" s="179">
        <f>IFERROR(D1481+G1481,D1481)</f>
        <v/>
      </c>
      <c r="I1481" s="184">
        <f>IFERROR(D1481/H1481,"")</f>
        <v/>
      </c>
      <c r="J1481" s="179" t="n">
        <v>5126098232</v>
      </c>
      <c r="K1481" s="179" t="n">
        <v>10252196464</v>
      </c>
      <c r="L1481" s="179" t="n">
        <v>15378294696</v>
      </c>
    </row>
    <row r="1482" ht="15" customHeight="1" s="95">
      <c r="A1482" s="143" t="n">
        <v>45311</v>
      </c>
      <c r="B1482" s="146" t="n">
        <v>0.999842</v>
      </c>
      <c r="C1482" s="179" t="n">
        <v>25524310090</v>
      </c>
      <c r="D1482" s="179" t="n">
        <v>25528333809</v>
      </c>
      <c r="E1482" s="146" t="n">
        <v>0.999328</v>
      </c>
      <c r="F1482" s="179" t="n">
        <v>94967646330</v>
      </c>
      <c r="G1482" s="179" t="n">
        <v>95031511742</v>
      </c>
      <c r="H1482" s="179">
        <f>IFERROR(D1482+G1482,D1482)</f>
        <v/>
      </c>
      <c r="I1482" s="184">
        <f>IFERROR(D1482/H1482,"")</f>
        <v/>
      </c>
      <c r="J1482" s="179" t="n">
        <v>5105666762</v>
      </c>
      <c r="K1482" s="179" t="n">
        <v>10211333524</v>
      </c>
      <c r="L1482" s="179" t="n">
        <v>15317000285</v>
      </c>
    </row>
    <row r="1483" ht="15" customHeight="1" s="95">
      <c r="A1483" s="143" t="n">
        <v>45312</v>
      </c>
      <c r="B1483" s="146" t="n">
        <v>0.998818</v>
      </c>
      <c r="C1483" s="179" t="n">
        <v>25716146840</v>
      </c>
      <c r="D1483" s="179" t="n">
        <v>25746571522</v>
      </c>
      <c r="E1483" s="146" t="n">
        <v>0.998815</v>
      </c>
      <c r="F1483" s="179" t="n">
        <v>94983399556</v>
      </c>
      <c r="G1483" s="179" t="n">
        <v>95096050759</v>
      </c>
      <c r="H1483" s="179">
        <f>IFERROR(D1483+G1483,D1483)</f>
        <v/>
      </c>
      <c r="I1483" s="184">
        <f>IFERROR(D1483/H1483,"")</f>
        <v/>
      </c>
      <c r="J1483" s="179" t="n">
        <v>5149314304</v>
      </c>
      <c r="K1483" s="179" t="n">
        <v>10298628609</v>
      </c>
      <c r="L1483" s="179" t="n">
        <v>15447942913</v>
      </c>
    </row>
    <row r="1484" ht="15" customHeight="1" s="95">
      <c r="A1484" s="143" t="n">
        <v>45313</v>
      </c>
      <c r="B1484" s="146" t="n">
        <v>1.000318</v>
      </c>
      <c r="C1484" s="179" t="n">
        <v>25784105675</v>
      </c>
      <c r="D1484" s="179" t="n">
        <v>25775899074</v>
      </c>
      <c r="E1484" s="146" t="n">
        <v>0.999102</v>
      </c>
      <c r="F1484" s="179" t="n">
        <v>94910190842</v>
      </c>
      <c r="G1484" s="179" t="n">
        <v>94995470865</v>
      </c>
      <c r="H1484" s="179">
        <f>IFERROR(D1484+G1484,D1484)</f>
        <v/>
      </c>
      <c r="I1484" s="184">
        <f>IFERROR(D1484/H1484,"")</f>
        <v/>
      </c>
      <c r="J1484" s="179" t="n">
        <v>5155179815</v>
      </c>
      <c r="K1484" s="179" t="n">
        <v>10310359630</v>
      </c>
      <c r="L1484" s="179" t="n">
        <v>15465539444</v>
      </c>
    </row>
    <row r="1485" ht="15" customHeight="1" s="95">
      <c r="A1485" s="143" t="n">
        <v>45314</v>
      </c>
      <c r="B1485" s="146" t="n">
        <v>0.998148</v>
      </c>
      <c r="C1485" s="179" t="n">
        <v>25616692818</v>
      </c>
      <c r="D1485" s="179" t="n">
        <v>25664219448</v>
      </c>
      <c r="E1485" s="146" t="n">
        <v>0.99716</v>
      </c>
      <c r="F1485" s="179" t="n">
        <v>94768937396</v>
      </c>
      <c r="G1485" s="179" t="n">
        <v>95038846879</v>
      </c>
      <c r="H1485" s="179">
        <f>IFERROR(D1485+G1485,D1485)</f>
        <v/>
      </c>
      <c r="I1485" s="184">
        <f>IFERROR(D1485/H1485,"")</f>
        <v/>
      </c>
      <c r="J1485" s="179" t="n">
        <v>5132843890</v>
      </c>
      <c r="K1485" s="179" t="n">
        <v>10265687779</v>
      </c>
      <c r="L1485" s="179" t="n">
        <v>15398531669</v>
      </c>
    </row>
    <row r="1486" ht="15" customHeight="1" s="95">
      <c r="A1486" s="143" t="n">
        <v>45315</v>
      </c>
      <c r="B1486" s="146" t="n">
        <v>1.001796</v>
      </c>
      <c r="C1486" s="179" t="n">
        <v>25729582053</v>
      </c>
      <c r="D1486" s="179" t="n">
        <v>25683444422</v>
      </c>
      <c r="E1486" s="146" t="n">
        <v>1.000573</v>
      </c>
      <c r="F1486" s="179" t="n">
        <v>95571888926</v>
      </c>
      <c r="G1486" s="179" t="n">
        <v>95517189723</v>
      </c>
      <c r="H1486" s="179">
        <f>IFERROR(D1486+G1486,D1486)</f>
        <v/>
      </c>
      <c r="I1486" s="184">
        <f>IFERROR(D1486/H1486,"")</f>
        <v/>
      </c>
      <c r="J1486" s="179" t="n">
        <v>5136688884</v>
      </c>
      <c r="K1486" s="179" t="n">
        <v>10273377769</v>
      </c>
      <c r="L1486" s="179" t="n">
        <v>15410066653</v>
      </c>
    </row>
    <row r="1487" ht="15" customHeight="1" s="95">
      <c r="A1487" s="143" t="n">
        <v>45316</v>
      </c>
      <c r="B1487" s="146" t="n">
        <v>1.000402</v>
      </c>
      <c r="C1487" s="179" t="n">
        <v>25853040903</v>
      </c>
      <c r="D1487" s="179" t="n">
        <v>25842665008</v>
      </c>
      <c r="E1487" s="146" t="n">
        <v>0.999237</v>
      </c>
      <c r="F1487" s="179" t="n">
        <v>95512604443</v>
      </c>
      <c r="G1487" s="179" t="n">
        <v>95585539137</v>
      </c>
      <c r="H1487" s="179">
        <f>IFERROR(D1487+G1487,D1487)</f>
        <v/>
      </c>
      <c r="I1487" s="184">
        <f>IFERROR(D1487/H1487,"")</f>
        <v/>
      </c>
      <c r="J1487" s="179" t="n">
        <v>5168533002</v>
      </c>
      <c r="K1487" s="179" t="n">
        <v>10337066003</v>
      </c>
      <c r="L1487" s="179" t="n">
        <v>15505599005</v>
      </c>
    </row>
    <row r="1488" ht="15" customHeight="1" s="95">
      <c r="A1488" s="143" t="n">
        <v>45317</v>
      </c>
      <c r="B1488" s="146" t="n">
        <v>1.000979</v>
      </c>
      <c r="C1488" s="179" t="n">
        <v>26004553962</v>
      </c>
      <c r="D1488" s="179" t="n">
        <v>25979109812</v>
      </c>
      <c r="E1488" s="146" t="n">
        <v>1.000111</v>
      </c>
      <c r="F1488" s="179" t="n">
        <v>95526771968</v>
      </c>
      <c r="G1488" s="179" t="n">
        <v>95516154689</v>
      </c>
      <c r="H1488" s="179">
        <f>IFERROR(D1488+G1488,D1488)</f>
        <v/>
      </c>
      <c r="I1488" s="184">
        <f>IFERROR(D1488/H1488,"")</f>
        <v/>
      </c>
      <c r="J1488" s="179" t="n">
        <v>5195821962</v>
      </c>
      <c r="K1488" s="179" t="n">
        <v>10391643925</v>
      </c>
      <c r="L1488" s="179" t="n">
        <v>15587465887</v>
      </c>
    </row>
    <row r="1489" ht="15" customHeight="1" s="95">
      <c r="A1489" s="143" t="n">
        <v>45318</v>
      </c>
      <c r="B1489" s="146" t="n">
        <v>1.00037</v>
      </c>
      <c r="C1489" s="179" t="n">
        <v>26102844699</v>
      </c>
      <c r="D1489" s="179" t="n">
        <v>26093201046</v>
      </c>
      <c r="E1489" s="146" t="n">
        <v>0.9996699999999999</v>
      </c>
      <c r="F1489" s="179" t="n">
        <v>95549259109</v>
      </c>
      <c r="G1489" s="179" t="n">
        <v>95580836590</v>
      </c>
      <c r="H1489" s="179">
        <f>IFERROR(D1489+G1489,D1489)</f>
        <v/>
      </c>
      <c r="I1489" s="184">
        <f>IFERROR(D1489/H1489,"")</f>
        <v/>
      </c>
      <c r="J1489" s="179" t="n">
        <v>5218640209</v>
      </c>
      <c r="K1489" s="179" t="n">
        <v>10437280418</v>
      </c>
      <c r="L1489" s="179" t="n">
        <v>15655920628</v>
      </c>
    </row>
    <row r="1490" ht="15" customHeight="1" s="95">
      <c r="A1490" s="143" t="n">
        <v>45319</v>
      </c>
      <c r="B1490" s="146" t="n">
        <v>0.9997239999999999</v>
      </c>
      <c r="C1490" s="179" t="n">
        <v>26127764448</v>
      </c>
      <c r="D1490" s="179" t="n">
        <v>26134987156</v>
      </c>
      <c r="E1490" s="146" t="n">
        <v>0.999861</v>
      </c>
      <c r="F1490" s="179" t="n">
        <v>96043727984</v>
      </c>
      <c r="G1490" s="179" t="n">
        <v>96057084672</v>
      </c>
      <c r="H1490" s="179">
        <f>IFERROR(D1490+G1490,D1490)</f>
        <v/>
      </c>
      <c r="I1490" s="184">
        <f>IFERROR(D1490/H1490,"")</f>
        <v/>
      </c>
      <c r="J1490" s="179" t="n">
        <v>5226997431</v>
      </c>
      <c r="K1490" s="179" t="n">
        <v>10453994862</v>
      </c>
      <c r="L1490" s="179" t="n">
        <v>15680992294</v>
      </c>
    </row>
    <row r="1491" ht="15" customHeight="1" s="95">
      <c r="A1491" s="143" t="n">
        <v>45320</v>
      </c>
      <c r="B1491" s="146" t="n">
        <v>1.000307</v>
      </c>
      <c r="C1491" s="179" t="n">
        <v>26149631833</v>
      </c>
      <c r="D1491" s="179" t="n">
        <v>26141618380</v>
      </c>
      <c r="E1491" s="146" t="n">
        <v>0.999685</v>
      </c>
      <c r="F1491" s="179" t="n">
        <v>96013416643</v>
      </c>
      <c r="G1491" s="179" t="n">
        <v>96043707729</v>
      </c>
      <c r="H1491" s="179">
        <f>IFERROR(D1491+G1491,D1491)</f>
        <v/>
      </c>
      <c r="I1491" s="184">
        <f>IFERROR(D1491/H1491,"")</f>
        <v/>
      </c>
      <c r="J1491" s="179" t="n">
        <v>5228323676</v>
      </c>
      <c r="K1491" s="179" t="n">
        <v>10456647352</v>
      </c>
      <c r="L1491" s="179" t="n">
        <v>15684971028</v>
      </c>
    </row>
    <row r="1492" ht="15" customHeight="1" s="95">
      <c r="A1492" s="143" t="n">
        <v>45321</v>
      </c>
      <c r="B1492" s="146" t="n">
        <v>1.000122</v>
      </c>
      <c r="C1492" s="179" t="n">
        <v>26431761377</v>
      </c>
      <c r="D1492" s="179" t="n">
        <v>26428543358</v>
      </c>
      <c r="E1492" s="146" t="n">
        <v>0.999945</v>
      </c>
      <c r="F1492" s="179" t="n">
        <v>96108546237</v>
      </c>
      <c r="G1492" s="179" t="n">
        <v>96113879367</v>
      </c>
      <c r="H1492" s="179">
        <f>IFERROR(D1492+G1492,D1492)</f>
        <v/>
      </c>
      <c r="I1492" s="184">
        <f>IFERROR(D1492/H1492,"")</f>
        <v/>
      </c>
      <c r="J1492" s="179" t="n">
        <v>5285708672</v>
      </c>
      <c r="K1492" s="179" t="n">
        <v>10571417343</v>
      </c>
      <c r="L1492" s="179" t="n">
        <v>15857126015</v>
      </c>
    </row>
    <row r="1493" ht="15" customHeight="1" s="95">
      <c r="A1493" s="143" t="n">
        <v>45322</v>
      </c>
      <c r="B1493" s="146" t="n">
        <v>1.001359</v>
      </c>
      <c r="C1493" s="179" t="n">
        <v>26705653502</v>
      </c>
      <c r="D1493" s="179" t="n">
        <v>26669406889</v>
      </c>
      <c r="E1493" s="146" t="n">
        <v>1.000735</v>
      </c>
      <c r="F1493" s="179" t="n">
        <v>95993659299</v>
      </c>
      <c r="G1493" s="179" t="n">
        <v>95923148146</v>
      </c>
      <c r="H1493" s="179">
        <f>IFERROR(D1493+G1493,D1493)</f>
        <v/>
      </c>
      <c r="I1493" s="184">
        <f>IFERROR(D1493/H1493,"")</f>
        <v/>
      </c>
      <c r="J1493" s="179" t="n">
        <v>5333881378</v>
      </c>
      <c r="K1493" s="179" t="n">
        <v>10667762756</v>
      </c>
      <c r="L1493" s="179" t="n">
        <v>16001644133</v>
      </c>
    </row>
    <row r="1494" ht="15" customHeight="1" s="95">
      <c r="A1494" s="143" t="n">
        <v>45323</v>
      </c>
      <c r="B1494" s="146" t="n">
        <v>0.999458</v>
      </c>
      <c r="C1494" s="179" t="n">
        <v>26818570042</v>
      </c>
      <c r="D1494" s="179" t="n">
        <v>26833123207</v>
      </c>
      <c r="E1494" s="146" t="n">
        <v>0.999085</v>
      </c>
      <c r="F1494" s="179" t="n">
        <v>96142607456</v>
      </c>
      <c r="G1494" s="179" t="n">
        <v>96230644282</v>
      </c>
      <c r="H1494" s="179">
        <f>IFERROR(D1494+G1494,D1494)</f>
        <v/>
      </c>
      <c r="I1494" s="184">
        <f>IFERROR(D1494/H1494,"")</f>
        <v/>
      </c>
      <c r="J1494" s="179" t="n">
        <v>5366624641</v>
      </c>
      <c r="K1494" s="179" t="n">
        <v>10733249283</v>
      </c>
      <c r="L1494" s="179" t="n">
        <v>16099873924</v>
      </c>
    </row>
    <row r="1495" ht="15" customHeight="1" s="95">
      <c r="A1495" s="143" t="n">
        <v>45324</v>
      </c>
      <c r="B1495" s="146" t="n">
        <v>1.000255</v>
      </c>
      <c r="C1495" s="179" t="n">
        <v>26837075556</v>
      </c>
      <c r="D1495" s="179" t="n">
        <v>26830244763</v>
      </c>
      <c r="E1495" s="146" t="n">
        <v>1.000005</v>
      </c>
      <c r="F1495" s="179" t="n">
        <v>96250022548</v>
      </c>
      <c r="G1495" s="179" t="n">
        <v>96249552715</v>
      </c>
      <c r="H1495" s="179">
        <f>IFERROR(D1495+G1495,D1495)</f>
        <v/>
      </c>
      <c r="I1495" s="184">
        <f>IFERROR(D1495/H1495,"")</f>
        <v/>
      </c>
      <c r="J1495" s="179" t="n">
        <v>5366048953</v>
      </c>
      <c r="K1495" s="179" t="n">
        <v>10732097905</v>
      </c>
      <c r="L1495" s="179" t="n">
        <v>16098146858</v>
      </c>
    </row>
    <row r="1496" ht="15" customHeight="1" s="95">
      <c r="A1496" s="143" t="n">
        <v>45325</v>
      </c>
      <c r="B1496" s="146" t="n">
        <v>1.00045</v>
      </c>
      <c r="C1496" s="179" t="n">
        <v>27020270935</v>
      </c>
      <c r="D1496" s="179" t="n">
        <v>27008105386</v>
      </c>
      <c r="E1496" s="146" t="n">
        <v>0.9997549999999999</v>
      </c>
      <c r="F1496" s="179" t="n">
        <v>96215760125</v>
      </c>
      <c r="G1496" s="179" t="n">
        <v>96239307048</v>
      </c>
      <c r="H1496" s="179">
        <f>IFERROR(D1496+G1496,D1496)</f>
        <v/>
      </c>
      <c r="I1496" s="184">
        <f>IFERROR(D1496/H1496,"")</f>
        <v/>
      </c>
      <c r="J1496" s="179" t="n">
        <v>5401621077</v>
      </c>
      <c r="K1496" s="179" t="n">
        <v>10803242154</v>
      </c>
      <c r="L1496" s="179" t="n">
        <v>16204863232</v>
      </c>
    </row>
    <row r="1497" ht="15" customHeight="1" s="95">
      <c r="A1497" s="143" t="n">
        <v>45326</v>
      </c>
      <c r="B1497" s="146" t="n">
        <v>1.00013</v>
      </c>
      <c r="C1497" s="179" t="n">
        <v>27060629792</v>
      </c>
      <c r="D1497" s="179" t="n">
        <v>27057125801</v>
      </c>
      <c r="E1497" s="146" t="n">
        <v>0.999991</v>
      </c>
      <c r="F1497" s="179" t="n">
        <v>96211660645</v>
      </c>
      <c r="G1497" s="179" t="n">
        <v>96212561102</v>
      </c>
      <c r="H1497" s="179">
        <f>IFERROR(D1497+G1497,D1497)</f>
        <v/>
      </c>
      <c r="I1497" s="184">
        <f>IFERROR(D1497/H1497,"")</f>
        <v/>
      </c>
      <c r="J1497" s="179" t="n">
        <v>5411425160</v>
      </c>
      <c r="K1497" s="179" t="n">
        <v>10822850320</v>
      </c>
      <c r="L1497" s="179" t="n">
        <v>16234275481</v>
      </c>
    </row>
    <row r="1498" ht="15" customHeight="1" s="95">
      <c r="A1498" s="143" t="n">
        <v>45327</v>
      </c>
      <c r="B1498" s="146" t="n">
        <v>1.000395</v>
      </c>
      <c r="C1498" s="179" t="n">
        <v>27108086552</v>
      </c>
      <c r="D1498" s="179" t="n">
        <v>27097385514</v>
      </c>
      <c r="E1498" s="146" t="n">
        <v>1.000019</v>
      </c>
      <c r="F1498" s="179" t="n">
        <v>96140803757</v>
      </c>
      <c r="G1498" s="179" t="n">
        <v>96139011789</v>
      </c>
      <c r="H1498" s="179">
        <f>IFERROR(D1498+G1498,D1498)</f>
        <v/>
      </c>
      <c r="I1498" s="184">
        <f>IFERROR(D1498/H1498,"")</f>
        <v/>
      </c>
      <c r="J1498" s="179" t="n">
        <v>5419477103</v>
      </c>
      <c r="K1498" s="179" t="n">
        <v>10838954206</v>
      </c>
      <c r="L1498" s="179" t="n">
        <v>16258431308</v>
      </c>
    </row>
    <row r="1499" ht="15" customHeight="1" s="95">
      <c r="A1499" s="143" t="n">
        <v>45328</v>
      </c>
      <c r="B1499" s="146" t="n">
        <v>1.000449</v>
      </c>
      <c r="C1499" s="179" t="n">
        <v>27045855189</v>
      </c>
      <c r="D1499" s="179" t="n">
        <v>27033728585</v>
      </c>
      <c r="E1499" s="146" t="n">
        <v>0.998849</v>
      </c>
      <c r="F1499" s="179" t="n">
        <v>96120543211</v>
      </c>
      <c r="G1499" s="179" t="n">
        <v>96231343353</v>
      </c>
      <c r="H1499" s="179">
        <f>IFERROR(D1499+G1499,D1499)</f>
        <v/>
      </c>
      <c r="I1499" s="184">
        <f>IFERROR(D1499/H1499,"")</f>
        <v/>
      </c>
      <c r="J1499" s="179" t="n">
        <v>5406745717</v>
      </c>
      <c r="K1499" s="179" t="n">
        <v>10813491434</v>
      </c>
      <c r="L1499" s="179" t="n">
        <v>16220237151</v>
      </c>
    </row>
    <row r="1500" ht="15" customHeight="1" s="95">
      <c r="A1500" s="143" t="n">
        <v>45329</v>
      </c>
      <c r="B1500" s="146" t="n">
        <v>0.99997</v>
      </c>
      <c r="C1500" s="179" t="n">
        <v>27311607280</v>
      </c>
      <c r="D1500" s="179" t="n">
        <v>27312423173</v>
      </c>
      <c r="E1500" s="146" t="n">
        <v>0.999341</v>
      </c>
      <c r="F1500" s="179" t="n">
        <v>96117987589</v>
      </c>
      <c r="G1500" s="179" t="n">
        <v>96181404717</v>
      </c>
      <c r="H1500" s="179">
        <f>IFERROR(D1500+G1500,D1500)</f>
        <v/>
      </c>
      <c r="I1500" s="184">
        <f>IFERROR(D1500/H1500,"")</f>
        <v/>
      </c>
      <c r="J1500" s="179" t="n">
        <v>5462484635</v>
      </c>
      <c r="K1500" s="179" t="n">
        <v>10924969269</v>
      </c>
      <c r="L1500" s="179" t="n">
        <v>16387453904</v>
      </c>
    </row>
    <row r="1501" ht="15" customHeight="1" s="95">
      <c r="A1501" s="143" t="n">
        <v>45330</v>
      </c>
      <c r="B1501" s="146" t="n">
        <v>0.999932</v>
      </c>
      <c r="C1501" s="179" t="n">
        <v>27517743669</v>
      </c>
      <c r="D1501" s="179" t="n">
        <v>27519608307</v>
      </c>
      <c r="E1501" s="146" t="n">
        <v>1.000404</v>
      </c>
      <c r="F1501" s="179" t="n">
        <v>96220233912</v>
      </c>
      <c r="G1501" s="179" t="n">
        <v>96181404717</v>
      </c>
      <c r="H1501" s="179">
        <f>IFERROR(D1501+G1501,D1501)</f>
        <v/>
      </c>
      <c r="I1501" s="184">
        <f>IFERROR(D1501/H1501,"")</f>
        <v/>
      </c>
      <c r="J1501" s="179" t="n">
        <v>5503921661</v>
      </c>
      <c r="K1501" s="179" t="n">
        <v>11007843323</v>
      </c>
      <c r="L1501" s="179" t="n">
        <v>16511764984</v>
      </c>
    </row>
    <row r="1502" ht="15" customHeight="1" s="95">
      <c r="A1502" s="143" t="n">
        <v>45331</v>
      </c>
      <c r="B1502" s="146" t="n">
        <v>0.999689</v>
      </c>
      <c r="C1502" s="179" t="n">
        <v>27730047415</v>
      </c>
      <c r="D1502" s="179" t="n">
        <v>27738672604</v>
      </c>
      <c r="E1502" s="146" t="n">
        <v>0.999985</v>
      </c>
      <c r="F1502" s="179" t="n">
        <v>96268386138</v>
      </c>
      <c r="G1502" s="179" t="n">
        <v>96269805863</v>
      </c>
      <c r="H1502" s="179">
        <f>IFERROR(D1502+G1502,D1502)</f>
        <v/>
      </c>
      <c r="I1502" s="184">
        <f>IFERROR(D1502/H1502,"")</f>
        <v/>
      </c>
      <c r="J1502" s="179" t="n">
        <v>5547734521</v>
      </c>
      <c r="K1502" s="179" t="n">
        <v>11095469042</v>
      </c>
      <c r="L1502" s="179" t="n">
        <v>16643203562</v>
      </c>
    </row>
    <row r="1503" ht="15" customHeight="1" s="95">
      <c r="A1503" s="143" t="n">
        <v>45332</v>
      </c>
      <c r="B1503" s="146" t="n">
        <v>0.999745</v>
      </c>
      <c r="C1503" s="179" t="n">
        <v>27927217749</v>
      </c>
      <c r="D1503" s="179" t="n">
        <v>27934335510</v>
      </c>
      <c r="E1503" s="146" t="n">
        <v>1.000339</v>
      </c>
      <c r="F1503" s="179" t="n">
        <v>96272021104</v>
      </c>
      <c r="G1503" s="179" t="n">
        <v>96239396934</v>
      </c>
      <c r="H1503" s="179">
        <f>IFERROR(D1503+G1503,D1503)</f>
        <v/>
      </c>
      <c r="I1503" s="184">
        <f>IFERROR(D1503/H1503,"")</f>
        <v/>
      </c>
      <c r="J1503" s="179" t="n">
        <v>5586867102</v>
      </c>
      <c r="K1503" s="179" t="n">
        <v>11173734204</v>
      </c>
      <c r="L1503" s="179" t="n">
        <v>16760601306</v>
      </c>
    </row>
    <row r="1504" ht="15" customHeight="1" s="95">
      <c r="A1504" s="143" t="n">
        <v>45333</v>
      </c>
      <c r="B1504" s="146" t="n">
        <v>0.999763</v>
      </c>
      <c r="C1504" s="179" t="n">
        <v>27961853335</v>
      </c>
      <c r="D1504" s="179" t="n">
        <v>27968478691</v>
      </c>
      <c r="E1504" s="146" t="n">
        <v>1.000082</v>
      </c>
      <c r="F1504" s="179" t="n">
        <v>96349651423</v>
      </c>
      <c r="G1504" s="179" t="n">
        <v>96341755178</v>
      </c>
      <c r="H1504" s="179">
        <f>IFERROR(D1504+G1504,D1504)</f>
        <v/>
      </c>
      <c r="I1504" s="184">
        <f>IFERROR(D1504/H1504,"")</f>
        <v/>
      </c>
      <c r="J1504" s="179" t="n">
        <v>5593695738</v>
      </c>
      <c r="K1504" s="179" t="n">
        <v>11187391476</v>
      </c>
      <c r="L1504" s="179" t="n">
        <v>16781087215</v>
      </c>
    </row>
    <row r="1505" ht="15" customHeight="1" s="95">
      <c r="A1505" s="143" t="n">
        <v>45334</v>
      </c>
      <c r="B1505" s="146" t="n">
        <v>1.00028</v>
      </c>
      <c r="C1505" s="179" t="n">
        <v>27931484484</v>
      </c>
      <c r="D1505" s="179" t="n">
        <v>27923661267</v>
      </c>
      <c r="E1505" s="146" t="n">
        <v>1.000471</v>
      </c>
      <c r="F1505" s="179" t="n">
        <v>96520553678</v>
      </c>
      <c r="G1505" s="179" t="n">
        <v>96475135178</v>
      </c>
      <c r="H1505" s="179">
        <f>IFERROR(D1505+G1505,D1505)</f>
        <v/>
      </c>
      <c r="I1505" s="184">
        <f>IFERROR(D1505/H1505,"")</f>
        <v/>
      </c>
      <c r="J1505" s="179" t="n">
        <v>5584732253</v>
      </c>
      <c r="K1505" s="179" t="n">
        <v>11169464507</v>
      </c>
      <c r="L1505" s="179" t="n">
        <v>16754196760</v>
      </c>
    </row>
    <row r="1506" ht="15" customHeight="1" s="95">
      <c r="A1506" s="143" t="n">
        <v>45335</v>
      </c>
      <c r="B1506" s="146" t="n">
        <v>0.99971</v>
      </c>
      <c r="C1506" s="179" t="n">
        <v>27813986835</v>
      </c>
      <c r="D1506" s="179" t="n">
        <v>27822059859</v>
      </c>
      <c r="E1506" s="146" t="n">
        <v>1.000721</v>
      </c>
      <c r="F1506" s="179" t="n">
        <v>96695482935</v>
      </c>
      <c r="G1506" s="179" t="n">
        <v>96625810237</v>
      </c>
      <c r="H1506" s="179">
        <f>IFERROR(D1506+G1506,D1506)</f>
        <v/>
      </c>
      <c r="I1506" s="184">
        <f>IFERROR(D1506/H1506,"")</f>
        <v/>
      </c>
      <c r="J1506" s="179" t="n">
        <v>5564411972</v>
      </c>
      <c r="K1506" s="179" t="n">
        <v>11128823944</v>
      </c>
      <c r="L1506" s="179" t="n">
        <v>16693235915</v>
      </c>
    </row>
    <row r="1507" ht="15" customHeight="1" s="95">
      <c r="A1507" s="143" t="n">
        <v>45336</v>
      </c>
      <c r="B1507" s="146" t="n">
        <v>1.001724</v>
      </c>
      <c r="C1507" s="179" t="n">
        <v>27890207368</v>
      </c>
      <c r="D1507" s="179" t="n">
        <v>27842197186</v>
      </c>
      <c r="E1507" s="146" t="n">
        <v>1.000973</v>
      </c>
      <c r="F1507" s="179" t="n">
        <v>96762387718</v>
      </c>
      <c r="G1507" s="179" t="n">
        <v>96668335178</v>
      </c>
      <c r="H1507" s="179">
        <f>IFERROR(D1507+G1507,D1507)</f>
        <v/>
      </c>
      <c r="I1507" s="184">
        <f>IFERROR(D1507/H1507,"")</f>
        <v/>
      </c>
      <c r="J1507" s="179" t="n">
        <v>5568439437</v>
      </c>
      <c r="K1507" s="179" t="n">
        <v>11136878874</v>
      </c>
      <c r="L1507" s="179" t="n">
        <v>16705318312</v>
      </c>
    </row>
    <row r="1508" ht="15" customHeight="1" s="95">
      <c r="A1508" s="143" t="n">
        <v>45337</v>
      </c>
      <c r="B1508" s="146" t="n">
        <v>0.998776</v>
      </c>
      <c r="C1508" s="179" t="n">
        <v>27971692430</v>
      </c>
      <c r="D1508" s="179" t="n">
        <v>28005973882</v>
      </c>
      <c r="E1508" s="146" t="n">
        <v>1.000091</v>
      </c>
      <c r="F1508" s="179" t="n">
        <v>96979195440</v>
      </c>
      <c r="G1508" s="179" t="n">
        <v>96970323174</v>
      </c>
      <c r="H1508" s="179">
        <f>IFERROR(D1508+G1508,D1508)</f>
        <v/>
      </c>
      <c r="I1508" s="184">
        <f>IFERROR(D1508/H1508,"")</f>
        <v/>
      </c>
      <c r="J1508" s="179" t="n">
        <v>5601194776</v>
      </c>
      <c r="K1508" s="179" t="n">
        <v>11202389553</v>
      </c>
      <c r="L1508" s="179" t="n">
        <v>16803584329</v>
      </c>
    </row>
    <row r="1509" ht="15" customHeight="1" s="95">
      <c r="A1509" s="143" t="n">
        <v>45338</v>
      </c>
      <c r="B1509" s="146" t="n">
        <v>0.9996930000000001</v>
      </c>
      <c r="C1509" s="179" t="n">
        <v>28104474168</v>
      </c>
      <c r="D1509" s="179" t="n">
        <v>28113105207</v>
      </c>
      <c r="E1509" s="146" t="n">
        <v>1.001265</v>
      </c>
      <c r="F1509" s="179" t="n">
        <v>97265775292</v>
      </c>
      <c r="G1509" s="179" t="n">
        <v>97142889794</v>
      </c>
      <c r="H1509" s="179">
        <f>IFERROR(D1509+G1509,D1509)</f>
        <v/>
      </c>
      <c r="I1509" s="184">
        <f>IFERROR(D1509/H1509,"")</f>
        <v/>
      </c>
      <c r="J1509" s="179" t="n">
        <v>5622621041</v>
      </c>
      <c r="K1509" s="179" t="n">
        <v>11245242083</v>
      </c>
      <c r="L1509" s="179" t="n">
        <v>16867863124</v>
      </c>
    </row>
    <row r="1510" ht="15" customHeight="1" s="95">
      <c r="A1510" s="143" t="n">
        <v>45339</v>
      </c>
      <c r="B1510" s="146" t="n">
        <v>0.999517</v>
      </c>
      <c r="C1510" s="179" t="n">
        <v>28101396698</v>
      </c>
      <c r="D1510" s="179" t="n">
        <v>28114975480</v>
      </c>
      <c r="E1510" s="146" t="n">
        <v>1.001099</v>
      </c>
      <c r="F1510" s="179" t="n">
        <v>97583119422</v>
      </c>
      <c r="G1510" s="179" t="n">
        <v>97475996041</v>
      </c>
      <c r="H1510" s="179">
        <f>IFERROR(D1510+G1510,D1510)</f>
        <v/>
      </c>
      <c r="I1510" s="184">
        <f>IFERROR(D1510/H1510,"")</f>
        <v/>
      </c>
      <c r="J1510" s="179" t="n">
        <v>5622995096</v>
      </c>
      <c r="K1510" s="179" t="n">
        <v>11245990192</v>
      </c>
      <c r="L1510" s="179" t="n">
        <v>16868985288</v>
      </c>
    </row>
    <row r="1511" ht="15" customHeight="1" s="95">
      <c r="A1511" s="143" t="n">
        <v>45340</v>
      </c>
      <c r="B1511" s="146" t="n">
        <v>0.999201</v>
      </c>
      <c r="C1511" s="179" t="n">
        <v>28110334758</v>
      </c>
      <c r="D1511" s="179" t="n">
        <v>28132806778</v>
      </c>
      <c r="E1511" s="146" t="n">
        <v>1.000606</v>
      </c>
      <c r="F1511" s="179" t="n">
        <v>97716632679</v>
      </c>
      <c r="G1511" s="179" t="n">
        <v>97657406457</v>
      </c>
      <c r="H1511" s="179">
        <f>IFERROR(D1511+G1511,D1511)</f>
        <v/>
      </c>
      <c r="I1511" s="184">
        <f>IFERROR(D1511/H1511,"")</f>
        <v/>
      </c>
      <c r="J1511" s="179" t="n">
        <v>5626561356</v>
      </c>
      <c r="K1511" s="179" t="n">
        <v>11253122711</v>
      </c>
      <c r="L1511" s="179" t="n">
        <v>16879684067</v>
      </c>
    </row>
    <row r="1512" ht="15" customHeight="1" s="95">
      <c r="A1512" s="143" t="n">
        <v>45341</v>
      </c>
      <c r="B1512" s="146" t="n">
        <v>1.000565</v>
      </c>
      <c r="C1512" s="179" t="n">
        <v>28101955808</v>
      </c>
      <c r="D1512" s="179" t="n">
        <v>28086086693</v>
      </c>
      <c r="E1512" s="146" t="n">
        <v>1.001025</v>
      </c>
      <c r="F1512" s="179" t="n">
        <v>97661857628</v>
      </c>
      <c r="G1512" s="179" t="n">
        <v>97561820179</v>
      </c>
      <c r="H1512" s="179">
        <f>IFERROR(D1512+G1512,D1512)</f>
        <v/>
      </c>
      <c r="I1512" s="184">
        <f>IFERROR(D1512/H1512,"")</f>
        <v/>
      </c>
      <c r="J1512" s="179" t="n">
        <v>5617217339</v>
      </c>
      <c r="K1512" s="179" t="n">
        <v>11234434677</v>
      </c>
      <c r="L1512" s="179" t="n">
        <v>16851652016</v>
      </c>
    </row>
    <row r="1513" ht="15" customHeight="1" s="95">
      <c r="A1513" s="143" t="n">
        <v>45342</v>
      </c>
      <c r="B1513" s="146" t="n">
        <v>0.9996159999999999</v>
      </c>
      <c r="C1513" s="179" t="n">
        <v>28031880761</v>
      </c>
      <c r="D1513" s="179" t="n">
        <v>28042638677</v>
      </c>
      <c r="E1513" s="146" t="n">
        <v>0.999872</v>
      </c>
      <c r="F1513" s="179" t="n">
        <v>97674633134</v>
      </c>
      <c r="G1513" s="179" t="n">
        <v>97687100004</v>
      </c>
      <c r="H1513" s="179">
        <f>IFERROR(D1513+G1513,D1513)</f>
        <v/>
      </c>
      <c r="I1513" s="184">
        <f>IFERROR(D1513/H1513,"")</f>
        <v/>
      </c>
      <c r="J1513" s="179" t="n">
        <v>5608527735</v>
      </c>
      <c r="K1513" s="179" t="n">
        <v>11217055471</v>
      </c>
      <c r="L1513" s="179" t="n">
        <v>16825583206</v>
      </c>
    </row>
    <row r="1514" ht="15" customHeight="1" s="95">
      <c r="A1514" s="143" t="n">
        <v>45343</v>
      </c>
      <c r="B1514" s="146" t="n">
        <v>1.000865</v>
      </c>
      <c r="C1514" s="179" t="n">
        <v>28044634163</v>
      </c>
      <c r="D1514" s="179" t="n">
        <v>28020408754</v>
      </c>
      <c r="E1514" s="146" t="n">
        <v>1.000462</v>
      </c>
      <c r="F1514" s="179" t="n">
        <v>97879397783</v>
      </c>
      <c r="G1514" s="179" t="n">
        <v>97834171621</v>
      </c>
      <c r="H1514" s="179">
        <f>IFERROR(D1514+G1514,D1514)</f>
        <v/>
      </c>
      <c r="I1514" s="184">
        <f>IFERROR(D1514/H1514,"")</f>
        <v/>
      </c>
      <c r="J1514" s="179" t="n">
        <v>5604081751</v>
      </c>
      <c r="K1514" s="179" t="n">
        <v>11208163502</v>
      </c>
      <c r="L1514" s="179" t="n">
        <v>16812245252</v>
      </c>
    </row>
    <row r="1515" ht="15" customHeight="1" s="95">
      <c r="A1515" s="143" t="n">
        <v>45344</v>
      </c>
      <c r="B1515" s="146" t="n">
        <v>1.000852</v>
      </c>
      <c r="C1515" s="179" t="n">
        <v>28111226974</v>
      </c>
      <c r="D1515" s="179" t="n">
        <v>28087297211</v>
      </c>
      <c r="E1515" s="146" t="n">
        <v>1.001104</v>
      </c>
      <c r="F1515" s="179" t="n">
        <v>98144682611</v>
      </c>
      <c r="G1515" s="179" t="n">
        <v>98036430639</v>
      </c>
      <c r="H1515" s="179">
        <f>IFERROR(D1515+G1515,D1515)</f>
        <v/>
      </c>
      <c r="I1515" s="184">
        <f>IFERROR(D1515/H1515,"")</f>
        <v/>
      </c>
      <c r="J1515" s="179" t="n">
        <v>5617459442</v>
      </c>
      <c r="K1515" s="179" t="n">
        <v>11234918884</v>
      </c>
      <c r="L1515" s="179" t="n">
        <v>16852378327</v>
      </c>
    </row>
    <row r="1516" ht="15" customHeight="1" s="95">
      <c r="A1516" s="143" t="n">
        <v>45345</v>
      </c>
      <c r="B1516" s="146" t="n">
        <v>1.000591</v>
      </c>
      <c r="C1516" s="179" t="n">
        <v>28025722760</v>
      </c>
      <c r="D1516" s="179" t="n">
        <v>28009174770</v>
      </c>
      <c r="E1516" s="146" t="n">
        <v>0.999726</v>
      </c>
      <c r="F1516" s="179" t="n">
        <v>97790168760</v>
      </c>
      <c r="G1516" s="179" t="n">
        <v>97816940164</v>
      </c>
      <c r="H1516" s="179">
        <f>IFERROR(D1516+G1516,D1516)</f>
        <v/>
      </c>
      <c r="I1516" s="184">
        <f>IFERROR(D1516/H1516,"")</f>
        <v/>
      </c>
      <c r="J1516" s="179" t="n">
        <v>5601834954</v>
      </c>
      <c r="K1516" s="179" t="n">
        <v>11203669908</v>
      </c>
      <c r="L1516" s="179" t="n">
        <v>16805504862</v>
      </c>
    </row>
    <row r="1517" ht="15" customHeight="1" s="95">
      <c r="A1517" s="143" t="n">
        <v>45346</v>
      </c>
      <c r="B1517" s="146" t="n">
        <v>1.000018</v>
      </c>
      <c r="C1517" s="179" t="n">
        <v>28156799635</v>
      </c>
      <c r="D1517" s="179" t="n">
        <v>28156288717</v>
      </c>
      <c r="E1517" s="146" t="n">
        <v>0.99974</v>
      </c>
      <c r="F1517" s="179" t="n">
        <v>97932080922</v>
      </c>
      <c r="G1517" s="179" t="n">
        <v>97957569072</v>
      </c>
      <c r="H1517" s="179">
        <f>IFERROR(D1517+G1517,D1517)</f>
        <v/>
      </c>
      <c r="I1517" s="184">
        <f>IFERROR(D1517/H1517,"")</f>
        <v/>
      </c>
      <c r="J1517" s="179" t="n">
        <v>5631257743</v>
      </c>
      <c r="K1517" s="179" t="n">
        <v>11262515487</v>
      </c>
      <c r="L1517" s="179" t="n">
        <v>16893773230</v>
      </c>
    </row>
    <row r="1518" ht="15" customHeight="1" s="95">
      <c r="A1518" s="143" t="n">
        <v>45347</v>
      </c>
      <c r="B1518" s="146" t="n">
        <v>0.999325</v>
      </c>
      <c r="C1518" s="179" t="n">
        <v>28121822743</v>
      </c>
      <c r="D1518" s="179" t="n">
        <v>28140829190</v>
      </c>
      <c r="E1518" s="146" t="n">
        <v>0.999437</v>
      </c>
      <c r="F1518" s="179" t="n">
        <v>97845940204</v>
      </c>
      <c r="G1518" s="179" t="n">
        <v>97901080683</v>
      </c>
      <c r="H1518" s="179">
        <f>IFERROR(D1518+G1518,D1518)</f>
        <v/>
      </c>
      <c r="I1518" s="184">
        <f>IFERROR(D1518/H1518,"")</f>
        <v/>
      </c>
      <c r="J1518" s="179" t="n">
        <v>5628165838</v>
      </c>
      <c r="K1518" s="179" t="n">
        <v>11256331676</v>
      </c>
      <c r="L1518" s="179" t="n">
        <v>16884497514</v>
      </c>
    </row>
    <row r="1519" ht="15" customHeight="1" s="95">
      <c r="A1519" s="143" t="n">
        <v>45348</v>
      </c>
      <c r="B1519" s="146" t="n">
        <v>0.999849</v>
      </c>
      <c r="C1519" s="179" t="n">
        <v>28184932509</v>
      </c>
      <c r="D1519" s="179" t="n">
        <v>28189180943</v>
      </c>
      <c r="E1519" s="146" t="n">
        <v>0.99999</v>
      </c>
      <c r="F1519" s="179" t="n">
        <v>97906044227</v>
      </c>
      <c r="G1519" s="179" t="n">
        <v>97906989917</v>
      </c>
      <c r="H1519" s="179">
        <f>IFERROR(D1519+G1519,D1519)</f>
        <v/>
      </c>
      <c r="I1519" s="184">
        <f>IFERROR(D1519/H1519,"")</f>
        <v/>
      </c>
      <c r="J1519" s="179" t="n">
        <v>5637836189</v>
      </c>
      <c r="K1519" s="179" t="n">
        <v>11275672377</v>
      </c>
      <c r="L1519" s="179" t="n">
        <v>16913508566</v>
      </c>
    </row>
    <row r="1520" ht="15" customHeight="1" s="95">
      <c r="A1520" s="143" t="n">
        <v>45349</v>
      </c>
      <c r="B1520" s="146" t="n">
        <v>0.999189</v>
      </c>
      <c r="C1520" s="179" t="n">
        <v>28486266050</v>
      </c>
      <c r="D1520" s="179" t="n">
        <v>28509376346</v>
      </c>
      <c r="E1520" s="146" t="n">
        <v>1.000174</v>
      </c>
      <c r="F1520" s="179" t="n">
        <v>98159651669</v>
      </c>
      <c r="G1520" s="179" t="n">
        <v>98142542645</v>
      </c>
      <c r="H1520" s="179">
        <f>IFERROR(D1520+G1520,D1520)</f>
        <v/>
      </c>
      <c r="I1520" s="184">
        <f>IFERROR(D1520/H1520,"")</f>
        <v/>
      </c>
      <c r="J1520" s="179" t="n">
        <v>5701875269</v>
      </c>
      <c r="K1520" s="179" t="n">
        <v>11403750538</v>
      </c>
      <c r="L1520" s="179" t="n">
        <v>17105625808</v>
      </c>
    </row>
    <row r="1521" ht="15" customHeight="1" s="95">
      <c r="A1521" s="143" t="n">
        <v>45350</v>
      </c>
      <c r="B1521" s="146" t="n">
        <v>1.000274</v>
      </c>
      <c r="C1521" s="179" t="n">
        <v>28523776208</v>
      </c>
      <c r="D1521" s="179" t="n">
        <v>28515975814</v>
      </c>
      <c r="E1521" s="146" t="n">
        <v>1.000465</v>
      </c>
      <c r="F1521" s="179" t="n">
        <v>98383119474</v>
      </c>
      <c r="G1521" s="179" t="n">
        <v>98337345397</v>
      </c>
      <c r="H1521" s="179">
        <f>IFERROR(D1521+G1521,D1521)</f>
        <v/>
      </c>
      <c r="I1521" s="184">
        <f>IFERROR(D1521/H1521,"")</f>
        <v/>
      </c>
      <c r="J1521" s="179" t="n">
        <v>5703195163</v>
      </c>
      <c r="K1521" s="179" t="n">
        <v>11406390326</v>
      </c>
      <c r="L1521" s="179" t="n">
        <v>17109585488</v>
      </c>
    </row>
    <row r="1522" ht="15" customHeight="1" s="95">
      <c r="A1522" s="143" t="n">
        <v>45351</v>
      </c>
      <c r="B1522" s="146" t="n">
        <v>1.000795</v>
      </c>
      <c r="C1522" s="179" t="n">
        <v>28708849724</v>
      </c>
      <c r="D1522" s="179" t="n">
        <v>28686040292</v>
      </c>
      <c r="E1522" s="146" t="n">
        <v>0.998777</v>
      </c>
      <c r="F1522" s="179" t="n">
        <v>98408639152</v>
      </c>
      <c r="G1522" s="179" t="n">
        <v>98529127766</v>
      </c>
      <c r="H1522" s="179">
        <f>IFERROR(D1522+G1522,D1522)</f>
        <v/>
      </c>
      <c r="I1522" s="184">
        <f>IFERROR(D1522/H1522,"")</f>
        <v/>
      </c>
      <c r="J1522" s="179" t="n">
        <v>5737208058</v>
      </c>
      <c r="K1522" s="179" t="n">
        <v>11474416117</v>
      </c>
      <c r="L1522" s="179" t="n">
        <v>17211624175</v>
      </c>
    </row>
    <row r="1523" ht="15" customHeight="1" s="95">
      <c r="A1523" s="143" t="n">
        <v>45352</v>
      </c>
      <c r="B1523" s="146" t="n">
        <v>0.998856</v>
      </c>
      <c r="C1523" s="179" t="n">
        <v>28737795515</v>
      </c>
      <c r="D1523" s="179" t="n">
        <v>28770719800</v>
      </c>
      <c r="E1523" s="146" t="n">
        <v>0.998842</v>
      </c>
      <c r="F1523" s="179" t="n">
        <v>98821123301</v>
      </c>
      <c r="G1523" s="179" t="n">
        <v>98935726215</v>
      </c>
      <c r="H1523" s="179">
        <f>IFERROR(D1523+G1523,D1523)</f>
        <v/>
      </c>
      <c r="I1523" s="184">
        <f>IFERROR(D1523/H1523,"")</f>
        <v/>
      </c>
      <c r="J1523" s="179" t="n">
        <v>5754143960</v>
      </c>
      <c r="K1523" s="179" t="n">
        <v>11508287920</v>
      </c>
      <c r="L1523" s="179" t="n">
        <v>17262431880</v>
      </c>
    </row>
    <row r="1524" ht="15" customHeight="1" s="95">
      <c r="A1524" s="143" t="n">
        <v>45353</v>
      </c>
      <c r="B1524" s="146" t="n">
        <v>0.998544</v>
      </c>
      <c r="C1524" s="179" t="n">
        <v>28988023972</v>
      </c>
      <c r="D1524" s="179" t="n">
        <v>29030277566</v>
      </c>
      <c r="E1524" s="146" t="n">
        <v>1.000331</v>
      </c>
      <c r="F1524" s="179" t="n">
        <v>99274662637</v>
      </c>
      <c r="G1524" s="179" t="n">
        <v>99241827650</v>
      </c>
      <c r="H1524" s="179">
        <f>IFERROR(D1524+G1524,D1524)</f>
        <v/>
      </c>
      <c r="I1524" s="184">
        <f>IFERROR(D1524/H1524,"")</f>
        <v/>
      </c>
      <c r="J1524" s="179" t="n">
        <v>5806055513</v>
      </c>
      <c r="K1524" s="179" t="n">
        <v>11612111026</v>
      </c>
      <c r="L1524" s="179" t="n">
        <v>17418166540</v>
      </c>
    </row>
    <row r="1525" ht="15" customHeight="1" s="95">
      <c r="A1525" s="143" t="n">
        <v>45354</v>
      </c>
      <c r="B1525" s="146" t="n">
        <v>1.00001</v>
      </c>
      <c r="C1525" s="179" t="n">
        <v>29024244865</v>
      </c>
      <c r="D1525" s="179" t="n">
        <v>29023957394</v>
      </c>
      <c r="E1525" s="146" t="n">
        <v>1.000752</v>
      </c>
      <c r="F1525" s="179" t="n">
        <v>99236691116</v>
      </c>
      <c r="G1525" s="179" t="n">
        <v>99162109542</v>
      </c>
      <c r="H1525" s="179">
        <f>IFERROR(D1525+G1525,D1525)</f>
        <v/>
      </c>
      <c r="I1525" s="184">
        <f>IFERROR(D1525/H1525,"")</f>
        <v/>
      </c>
      <c r="J1525" s="179" t="n">
        <v>5804791479</v>
      </c>
      <c r="K1525" s="179" t="n">
        <v>11609582958</v>
      </c>
      <c r="L1525" s="179" t="n">
        <v>17414374436</v>
      </c>
    </row>
    <row r="1526" ht="15" customHeight="1" s="95">
      <c r="A1526" s="143" t="n">
        <v>45355</v>
      </c>
      <c r="B1526" s="146" t="n">
        <v>1.000693</v>
      </c>
      <c r="C1526" s="179" t="n">
        <v>29005491998</v>
      </c>
      <c r="D1526" s="179" t="n">
        <v>28985408081</v>
      </c>
      <c r="E1526" s="146" t="n">
        <v>1.001444</v>
      </c>
      <c r="F1526" s="179" t="n">
        <v>99558140762</v>
      </c>
      <c r="G1526" s="179" t="n">
        <v>99414578650</v>
      </c>
      <c r="H1526" s="179">
        <f>IFERROR(D1526+G1526,D1526)</f>
        <v/>
      </c>
      <c r="I1526" s="184">
        <f>IFERROR(D1526/H1526,"")</f>
        <v/>
      </c>
      <c r="J1526" s="179" t="n">
        <v>5797081616</v>
      </c>
      <c r="K1526" s="179" t="n">
        <v>11594163232</v>
      </c>
      <c r="L1526" s="179" t="n">
        <v>17391244849</v>
      </c>
    </row>
    <row r="1527" ht="15" customHeight="1" s="95">
      <c r="A1527" s="143" t="n">
        <v>45356</v>
      </c>
      <c r="B1527" s="146" t="n">
        <v>1.001412</v>
      </c>
      <c r="C1527" s="179" t="n">
        <v>28909521080</v>
      </c>
      <c r="D1527" s="179" t="n">
        <v>28868772689</v>
      </c>
      <c r="E1527" s="146" t="n">
        <v>1.002434</v>
      </c>
      <c r="F1527" s="179" t="n">
        <v>99604141292</v>
      </c>
      <c r="G1527" s="179" t="n">
        <v>99362321279</v>
      </c>
      <c r="H1527" s="179">
        <f>IFERROR(D1527+G1527,D1527)</f>
        <v/>
      </c>
      <c r="I1527" s="184">
        <f>IFERROR(D1527/H1527,"")</f>
        <v/>
      </c>
      <c r="J1527" s="179" t="n">
        <v>5773754538</v>
      </c>
      <c r="K1527" s="179" t="n">
        <v>11547509076</v>
      </c>
      <c r="L1527" s="179" t="n">
        <v>17321263613</v>
      </c>
    </row>
    <row r="1528" ht="15" customHeight="1" s="95">
      <c r="A1528" s="143" t="n">
        <v>45357</v>
      </c>
      <c r="B1528" s="146" t="n">
        <v>1.00285</v>
      </c>
      <c r="C1528" s="179" t="n">
        <v>28863658730</v>
      </c>
      <c r="D1528" s="179" t="n">
        <v>28781617886</v>
      </c>
      <c r="E1528" s="146" t="n">
        <v>1.001474</v>
      </c>
      <c r="F1528" s="179" t="n">
        <v>100445783977</v>
      </c>
      <c r="G1528" s="179" t="n">
        <v>100297963474</v>
      </c>
      <c r="H1528" s="179">
        <f>IFERROR(D1528+G1528,D1528)</f>
        <v/>
      </c>
      <c r="I1528" s="184">
        <f>IFERROR(D1528/H1528,"")</f>
        <v/>
      </c>
      <c r="J1528" s="179" t="n">
        <v>5756323577</v>
      </c>
      <c r="K1528" s="179" t="n">
        <v>11512647154</v>
      </c>
      <c r="L1528" s="179" t="n">
        <v>17268970732</v>
      </c>
    </row>
    <row r="1529" ht="15" customHeight="1" s="95">
      <c r="A1529" s="143" t="n">
        <v>45358</v>
      </c>
      <c r="B1529" s="146" t="n">
        <v>1.000484</v>
      </c>
      <c r="C1529" s="179" t="n">
        <v>29178220261</v>
      </c>
      <c r="D1529" s="179" t="n">
        <v>29164093470</v>
      </c>
      <c r="E1529" s="146" t="n">
        <v>1.001472</v>
      </c>
      <c r="F1529" s="179" t="n">
        <v>100524264534</v>
      </c>
      <c r="G1529" s="179" t="n">
        <v>100376464496</v>
      </c>
      <c r="H1529" s="179">
        <f>IFERROR(D1529+G1529,D1529)</f>
        <v/>
      </c>
      <c r="I1529" s="184">
        <f>IFERROR(D1529/H1529,"")</f>
        <v/>
      </c>
      <c r="J1529" s="179" t="n">
        <v>5832818694</v>
      </c>
      <c r="K1529" s="179" t="n">
        <v>11665637388</v>
      </c>
      <c r="L1529" s="179" t="n">
        <v>17498456082</v>
      </c>
    </row>
    <row r="1530" ht="15" customHeight="1" s="95">
      <c r="A1530" s="143" t="n">
        <v>45359</v>
      </c>
      <c r="B1530" s="146" t="n">
        <v>0.998776</v>
      </c>
      <c r="C1530" s="179" t="n">
        <v>29285124724</v>
      </c>
      <c r="D1530" s="179" t="n">
        <v>29321005804</v>
      </c>
      <c r="E1530" s="146" t="n">
        <v>1.00023</v>
      </c>
      <c r="F1530" s="179" t="n">
        <v>100821677144</v>
      </c>
      <c r="G1530" s="179" t="n">
        <v>100798451833</v>
      </c>
      <c r="H1530" s="179">
        <f>IFERROR(D1530+G1530,D1530)</f>
        <v/>
      </c>
      <c r="I1530" s="184">
        <f>IFERROR(D1530/H1530,"")</f>
        <v/>
      </c>
      <c r="J1530" s="179" t="n">
        <v>5864201161</v>
      </c>
      <c r="K1530" s="179" t="n">
        <v>11728402322</v>
      </c>
      <c r="L1530" s="179" t="n">
        <v>17592603482</v>
      </c>
    </row>
    <row r="1531" ht="15" customHeight="1" s="95">
      <c r="A1531" s="143" t="n">
        <v>45360</v>
      </c>
      <c r="B1531" s="146" t="n">
        <v>1.000685</v>
      </c>
      <c r="C1531" s="179" t="n">
        <v>29970583776</v>
      </c>
      <c r="D1531" s="179" t="n">
        <v>29950074794</v>
      </c>
      <c r="E1531" s="146" t="n">
        <v>1.00257</v>
      </c>
      <c r="F1531" s="179" t="n">
        <v>101243181280</v>
      </c>
      <c r="G1531" s="179" t="n">
        <v>100983703402</v>
      </c>
      <c r="H1531" s="179">
        <f>IFERROR(D1531+G1531,D1531)</f>
        <v/>
      </c>
      <c r="I1531" s="184">
        <f>IFERROR(D1531/H1531,"")</f>
        <v/>
      </c>
      <c r="J1531" s="179" t="n">
        <v>5990014959</v>
      </c>
      <c r="K1531" s="179" t="n">
        <v>11980029918</v>
      </c>
      <c r="L1531" s="179" t="n">
        <v>17970044876</v>
      </c>
    </row>
    <row r="1532" ht="15" customHeight="1" s="95">
      <c r="A1532" s="143" t="n">
        <v>45361</v>
      </c>
      <c r="B1532" s="146" t="n">
        <v>1.000321</v>
      </c>
      <c r="C1532" s="179" t="n">
        <v>30009494581</v>
      </c>
      <c r="D1532" s="179" t="n">
        <v>29999870340</v>
      </c>
      <c r="E1532" s="146" t="n">
        <v>1.002181</v>
      </c>
      <c r="F1532" s="179" t="n">
        <v>101814936996</v>
      </c>
      <c r="G1532" s="179" t="n">
        <v>101593400470</v>
      </c>
      <c r="H1532" s="179">
        <f>IFERROR(D1532+G1532,D1532)</f>
        <v/>
      </c>
      <c r="I1532" s="184">
        <f>IFERROR(D1532/H1532,"")</f>
        <v/>
      </c>
      <c r="J1532" s="179" t="n">
        <v>5999974068</v>
      </c>
      <c r="K1532" s="179" t="n">
        <v>11999948136</v>
      </c>
      <c r="L1532" s="179" t="n">
        <v>17999922204</v>
      </c>
    </row>
    <row r="1533" ht="15" customHeight="1" s="95">
      <c r="A1533" s="143" t="n">
        <v>45362</v>
      </c>
      <c r="B1533" s="146" t="n">
        <v>1.000919</v>
      </c>
      <c r="C1533" s="179" t="n">
        <v>30181778283</v>
      </c>
      <c r="D1533" s="179" t="n">
        <v>30154076957</v>
      </c>
      <c r="E1533" s="146" t="n">
        <v>1.00152</v>
      </c>
      <c r="F1533" s="179" t="n">
        <v>102297568054</v>
      </c>
      <c r="G1533" s="179" t="n">
        <v>102142328780</v>
      </c>
      <c r="H1533" s="179">
        <f>IFERROR(D1533+G1533,D1533)</f>
        <v/>
      </c>
      <c r="I1533" s="184">
        <f>IFERROR(D1533/H1533,"")</f>
        <v/>
      </c>
      <c r="J1533" s="179" t="n">
        <v>6030815391</v>
      </c>
      <c r="K1533" s="179" t="n">
        <v>12061630783</v>
      </c>
      <c r="L1533" s="179" t="n">
        <v>18092446174</v>
      </c>
    </row>
    <row r="1534" ht="15" customHeight="1" s="95">
      <c r="A1534" s="143" t="n">
        <v>45363</v>
      </c>
      <c r="B1534" s="146" t="n">
        <v>0.999382</v>
      </c>
      <c r="C1534" s="179" t="n">
        <v>30448288035</v>
      </c>
      <c r="D1534" s="179" t="n">
        <v>30467105049</v>
      </c>
      <c r="E1534" s="146" t="n">
        <v>0.99998</v>
      </c>
      <c r="F1534" s="179" t="n">
        <v>102035960671</v>
      </c>
      <c r="G1534" s="179" t="n">
        <v>102038014496</v>
      </c>
      <c r="H1534" s="179">
        <f>IFERROR(D1534+G1534,D1534)</f>
        <v/>
      </c>
      <c r="I1534" s="184">
        <f>IFERROR(D1534/H1534,"")</f>
        <v/>
      </c>
      <c r="J1534" s="179" t="n">
        <v>6093421010</v>
      </c>
      <c r="K1534" s="179" t="n">
        <v>12186842020</v>
      </c>
      <c r="L1534" s="179" t="n">
        <v>18280263029</v>
      </c>
    </row>
    <row r="1535" ht="15" customHeight="1" s="95">
      <c r="A1535" s="143" t="n">
        <v>45364</v>
      </c>
      <c r="B1535" s="146" t="n">
        <v>1.000857</v>
      </c>
      <c r="C1535" s="179" t="n">
        <v>30400676482</v>
      </c>
      <c r="D1535" s="179" t="n">
        <v>30374633798</v>
      </c>
      <c r="E1535" s="146" t="n">
        <v>0.999875</v>
      </c>
      <c r="F1535" s="179" t="n">
        <v>102414694159</v>
      </c>
      <c r="G1535" s="179" t="n">
        <v>102427507494</v>
      </c>
      <c r="H1535" s="179">
        <f>IFERROR(D1535+G1535,D1535)</f>
        <v/>
      </c>
      <c r="I1535" s="184">
        <f>IFERROR(D1535/H1535,"")</f>
        <v/>
      </c>
      <c r="J1535" s="179" t="n">
        <v>6074926760</v>
      </c>
      <c r="K1535" s="179" t="n">
        <v>12149853519</v>
      </c>
      <c r="L1535" s="179" t="n">
        <v>18224780279</v>
      </c>
    </row>
    <row r="1536" ht="15" customHeight="1" s="95">
      <c r="A1536" s="143" t="n">
        <v>45365</v>
      </c>
      <c r="B1536" s="146" t="n">
        <v>1.000669</v>
      </c>
      <c r="C1536" s="179" t="n">
        <v>30811279025</v>
      </c>
      <c r="D1536" s="179" t="n">
        <v>30790690968</v>
      </c>
      <c r="E1536" s="146" t="n">
        <v>1.000467</v>
      </c>
      <c r="F1536" s="179" t="n">
        <v>102757940827</v>
      </c>
      <c r="G1536" s="179" t="n">
        <v>102710016199</v>
      </c>
      <c r="H1536" s="179">
        <f>IFERROR(D1536+G1536,D1536)</f>
        <v/>
      </c>
      <c r="I1536" s="184">
        <f>IFERROR(D1536/H1536,"")</f>
        <v/>
      </c>
      <c r="J1536" s="179" t="n">
        <v>6158138194</v>
      </c>
      <c r="K1536" s="179" t="n">
        <v>12316276387</v>
      </c>
      <c r="L1536" s="179" t="n">
        <v>18474414581</v>
      </c>
    </row>
    <row r="1537" ht="15" customHeight="1" s="95">
      <c r="A1537" s="143" t="n">
        <v>45366</v>
      </c>
      <c r="B1537" s="146" t="n">
        <v>0.999156</v>
      </c>
      <c r="C1537" s="179" t="n">
        <v>30584241101</v>
      </c>
      <c r="D1537" s="179" t="n">
        <v>30610061451</v>
      </c>
      <c r="E1537" s="146" t="n">
        <v>0.999129</v>
      </c>
      <c r="F1537" s="179" t="n">
        <v>102930574059</v>
      </c>
      <c r="G1537" s="179" t="n">
        <v>103020254096</v>
      </c>
      <c r="H1537" s="179">
        <f>IFERROR(D1537+G1537,D1537)</f>
        <v/>
      </c>
      <c r="I1537" s="184">
        <f>IFERROR(D1537/H1537,"")</f>
        <v/>
      </c>
      <c r="J1537" s="179" t="n">
        <v>6122012290</v>
      </c>
      <c r="K1537" s="179" t="n">
        <v>12244024580</v>
      </c>
      <c r="L1537" s="179" t="n">
        <v>18366036871</v>
      </c>
    </row>
    <row r="1538" ht="15" customHeight="1" s="95">
      <c r="A1538" s="143" t="n">
        <v>45367</v>
      </c>
      <c r="B1538" s="146" t="n">
        <v>0.999094</v>
      </c>
      <c r="C1538" s="179" t="n">
        <v>30773017722</v>
      </c>
      <c r="D1538" s="179" t="n">
        <v>30800933643</v>
      </c>
      <c r="E1538" s="146" t="n">
        <v>0.999081</v>
      </c>
      <c r="F1538" s="179" t="n">
        <v>103373346487</v>
      </c>
      <c r="G1538" s="179" t="n">
        <v>103468417275</v>
      </c>
      <c r="H1538" s="179">
        <f>IFERROR(D1538+G1538,D1538)</f>
        <v/>
      </c>
      <c r="I1538" s="184">
        <f>IFERROR(D1538/H1538,"")</f>
        <v/>
      </c>
      <c r="J1538" s="179" t="n">
        <v>6160186729</v>
      </c>
      <c r="K1538" s="179" t="n">
        <v>12320373457</v>
      </c>
      <c r="L1538" s="179" t="n">
        <v>18480560186</v>
      </c>
    </row>
    <row r="1539" ht="15" customHeight="1" s="95">
      <c r="A1539" s="143" t="n">
        <v>45368</v>
      </c>
      <c r="B1539" s="146" t="n">
        <v>0.998475</v>
      </c>
      <c r="C1539" s="179" t="n">
        <v>30874004417</v>
      </c>
      <c r="D1539" s="179" t="n">
        <v>30921171548</v>
      </c>
      <c r="E1539" s="146" t="n">
        <v>0.997259</v>
      </c>
      <c r="F1539" s="179" t="n">
        <v>102917484336</v>
      </c>
      <c r="G1539" s="179" t="n">
        <v>103200334753</v>
      </c>
      <c r="H1539" s="179">
        <f>IFERROR(D1539+G1539,D1539)</f>
        <v/>
      </c>
      <c r="I1539" s="184">
        <f>IFERROR(D1539/H1539,"")</f>
        <v/>
      </c>
      <c r="J1539" s="179" t="n">
        <v>6184234310</v>
      </c>
      <c r="K1539" s="179" t="n">
        <v>12368468619</v>
      </c>
      <c r="L1539" s="179" t="n">
        <v>18552702929</v>
      </c>
    </row>
    <row r="1540" ht="15" customHeight="1" s="95">
      <c r="A1540" s="143" t="n">
        <v>45369</v>
      </c>
      <c r="B1540" s="146" t="n">
        <v>1.000593</v>
      </c>
      <c r="C1540" s="179" t="n">
        <v>30886917866</v>
      </c>
      <c r="D1540" s="179" t="n">
        <v>30868621522</v>
      </c>
      <c r="E1540" s="146" t="n">
        <v>0.99983</v>
      </c>
      <c r="F1540" s="179" t="n">
        <v>103492063270</v>
      </c>
      <c r="G1540" s="179" t="n">
        <v>103509620572</v>
      </c>
      <c r="H1540" s="179">
        <f>IFERROR(D1540+G1540,D1540)</f>
        <v/>
      </c>
      <c r="I1540" s="184">
        <f>IFERROR(D1540/H1540,"")</f>
        <v/>
      </c>
      <c r="J1540" s="179" t="n">
        <v>6173724304</v>
      </c>
      <c r="K1540" s="179" t="n">
        <v>12347448609</v>
      </c>
      <c r="L1540" s="179" t="n">
        <v>18521172913</v>
      </c>
    </row>
    <row r="1541" ht="15" customHeight="1" s="95">
      <c r="A1541" s="143" t="n">
        <v>45370</v>
      </c>
      <c r="B1541" s="146" t="n">
        <v>0.9991</v>
      </c>
      <c r="C1541" s="179" t="n">
        <v>30988716071</v>
      </c>
      <c r="D1541" s="179" t="n">
        <v>31016622525</v>
      </c>
      <c r="E1541" s="146" t="n">
        <v>0.999096</v>
      </c>
      <c r="F1541" s="179" t="n">
        <v>103358414046</v>
      </c>
      <c r="G1541" s="179" t="n">
        <v>103451904000</v>
      </c>
      <c r="H1541" s="179">
        <f>IFERROR(D1541+G1541,D1541)</f>
        <v/>
      </c>
      <c r="I1541" s="184">
        <f>IFERROR(D1541/H1541,"")</f>
        <v/>
      </c>
      <c r="J1541" s="179" t="n">
        <v>6203324505</v>
      </c>
      <c r="K1541" s="179" t="n">
        <v>12406649010</v>
      </c>
      <c r="L1541" s="179" t="n">
        <v>18609973515</v>
      </c>
    </row>
    <row r="1542" ht="15" customHeight="1" s="95">
      <c r="A1542" s="143" t="n">
        <v>45371</v>
      </c>
      <c r="B1542" s="146" t="n">
        <v>0.997708</v>
      </c>
      <c r="C1542" s="179" t="n">
        <v>31256595649</v>
      </c>
      <c r="D1542" s="179" t="n">
        <v>31328405709</v>
      </c>
      <c r="E1542" s="146" t="n">
        <v>1.000073</v>
      </c>
      <c r="F1542" s="179" t="n">
        <v>103787308309</v>
      </c>
      <c r="G1542" s="179" t="n">
        <v>103779752876</v>
      </c>
      <c r="H1542" s="179">
        <f>IFERROR(D1542+G1542,D1542)</f>
        <v/>
      </c>
      <c r="I1542" s="184">
        <f>IFERROR(D1542/H1542,"")</f>
        <v/>
      </c>
      <c r="J1542" s="179" t="n">
        <v>6265681142</v>
      </c>
      <c r="K1542" s="179" t="n">
        <v>12531362284</v>
      </c>
      <c r="L1542" s="179" t="n">
        <v>18797043425</v>
      </c>
    </row>
    <row r="1543" ht="15" customHeight="1" s="95">
      <c r="A1543" s="143" t="n">
        <v>45372</v>
      </c>
      <c r="B1543" s="146" t="n">
        <v>1.000353</v>
      </c>
      <c r="C1543" s="179" t="n">
        <v>31407655538</v>
      </c>
      <c r="D1543" s="179" t="n">
        <v>31396584520</v>
      </c>
      <c r="E1543" s="146" t="n">
        <v>0.999601</v>
      </c>
      <c r="F1543" s="179" t="n">
        <v>103705912309</v>
      </c>
      <c r="G1543" s="179" t="n">
        <v>103747353982</v>
      </c>
      <c r="H1543" s="179">
        <f>IFERROR(D1543+G1543,D1543)</f>
        <v/>
      </c>
      <c r="I1543" s="184">
        <f>IFERROR(D1543/H1543,"")</f>
        <v/>
      </c>
      <c r="J1543" s="179" t="n">
        <v>6279316904</v>
      </c>
      <c r="K1543" s="179" t="n">
        <v>12558633808</v>
      </c>
      <c r="L1543" s="179" t="n">
        <v>18837950712</v>
      </c>
    </row>
    <row r="1544" ht="15" customHeight="1" s="95">
      <c r="A1544" s="143" t="n">
        <v>45373</v>
      </c>
      <c r="B1544" s="146" t="n">
        <v>1.00111</v>
      </c>
      <c r="C1544" s="179" t="n">
        <v>31894564384</v>
      </c>
      <c r="D1544" s="179" t="n">
        <v>31859202494</v>
      </c>
      <c r="E1544" s="146" t="n">
        <v>1.000402</v>
      </c>
      <c r="F1544" s="179" t="n">
        <v>103924885647</v>
      </c>
      <c r="G1544" s="179" t="n">
        <v>103883093903</v>
      </c>
      <c r="H1544" s="179">
        <f>IFERROR(D1544+G1544,D1544)</f>
        <v/>
      </c>
      <c r="I1544" s="184">
        <f>IFERROR(D1544/H1544,"")</f>
        <v/>
      </c>
      <c r="J1544" s="179" t="n">
        <v>6371840499</v>
      </c>
      <c r="K1544" s="179" t="n">
        <v>12743680998</v>
      </c>
      <c r="L1544" s="179" t="n">
        <v>19115521496</v>
      </c>
    </row>
    <row r="1545" ht="15" customHeight="1" s="95">
      <c r="A1545" s="143" t="n">
        <v>45374</v>
      </c>
      <c r="B1545" s="146" t="n">
        <v>1.000441</v>
      </c>
      <c r="C1545" s="179" t="n">
        <v>31996066949</v>
      </c>
      <c r="D1545" s="179" t="n">
        <v>31981957333</v>
      </c>
      <c r="E1545" s="146" t="n">
        <v>1.000523</v>
      </c>
      <c r="F1545" s="179" t="n">
        <v>104042955962</v>
      </c>
      <c r="G1545" s="179" t="n">
        <v>103988598023</v>
      </c>
      <c r="H1545" s="179">
        <f>IFERROR(D1545+G1545,D1545)</f>
        <v/>
      </c>
      <c r="I1545" s="184">
        <f>IFERROR(D1545/H1545,"")</f>
        <v/>
      </c>
      <c r="J1545" s="179" t="n">
        <v>6396391467</v>
      </c>
      <c r="K1545" s="179" t="n">
        <v>12792782933</v>
      </c>
      <c r="L1545" s="179" t="n">
        <v>19189174400</v>
      </c>
    </row>
    <row r="1546" ht="15" customHeight="1" s="95">
      <c r="A1546" s="143" t="n">
        <v>45375</v>
      </c>
      <c r="B1546" s="146" t="n">
        <v>0.999066</v>
      </c>
      <c r="C1546" s="179" t="n">
        <v>32009320838</v>
      </c>
      <c r="D1546" s="179" t="n">
        <v>32039230546</v>
      </c>
      <c r="E1546" s="146" t="n">
        <v>0.999078</v>
      </c>
      <c r="F1546" s="179" t="n">
        <v>103995094518</v>
      </c>
      <c r="G1546" s="179" t="n">
        <v>104091096626</v>
      </c>
      <c r="H1546" s="179">
        <f>IFERROR(D1546+G1546,D1546)</f>
        <v/>
      </c>
      <c r="I1546" s="184">
        <f>IFERROR(D1546/H1546,"")</f>
        <v/>
      </c>
      <c r="J1546" s="179" t="n">
        <v>6407846109</v>
      </c>
      <c r="K1546" s="179" t="n">
        <v>12815692218</v>
      </c>
      <c r="L1546" s="179" t="n">
        <v>19223538328</v>
      </c>
    </row>
    <row r="1547" ht="15" customHeight="1" s="95">
      <c r="A1547" s="143" t="n">
        <v>45376</v>
      </c>
      <c r="B1547" s="146" t="n">
        <v>0.999945</v>
      </c>
      <c r="C1547" s="179" t="n">
        <v>32044215217</v>
      </c>
      <c r="D1547" s="179" t="n">
        <v>32045966455</v>
      </c>
      <c r="E1547" s="146" t="n">
        <v>1.00033</v>
      </c>
      <c r="F1547" s="179" t="n">
        <v>104029403026</v>
      </c>
      <c r="G1547" s="179" t="n">
        <v>103995132454</v>
      </c>
      <c r="H1547" s="179">
        <f>IFERROR(D1547+G1547,D1547)</f>
        <v/>
      </c>
      <c r="I1547" s="184">
        <f>IFERROR(D1547/H1547,"")</f>
        <v/>
      </c>
      <c r="J1547" s="179" t="n">
        <v>6409193291</v>
      </c>
      <c r="K1547" s="179" t="n">
        <v>12818386582</v>
      </c>
      <c r="L1547" s="179" t="n">
        <v>19227579873</v>
      </c>
    </row>
    <row r="1548" ht="15" customHeight="1" s="95">
      <c r="A1548" s="143" t="n">
        <v>45377</v>
      </c>
      <c r="B1548" s="146" t="n">
        <v>1.000579</v>
      </c>
      <c r="C1548" s="179" t="n">
        <v>32181228113</v>
      </c>
      <c r="D1548" s="179" t="n">
        <v>32162612684</v>
      </c>
      <c r="E1548" s="146" t="n">
        <v>0.999959</v>
      </c>
      <c r="F1548" s="179" t="n">
        <v>103791045667</v>
      </c>
      <c r="G1548" s="179" t="n">
        <v>103795271118</v>
      </c>
      <c r="H1548" s="179">
        <f>IFERROR(D1548+G1548,D1548)</f>
        <v/>
      </c>
      <c r="I1548" s="184">
        <f>IFERROR(D1548/H1548,"")</f>
        <v/>
      </c>
      <c r="J1548" s="179" t="n">
        <v>6432522537</v>
      </c>
      <c r="K1548" s="179" t="n">
        <v>12865045074</v>
      </c>
      <c r="L1548" s="179" t="n">
        <v>19297567610</v>
      </c>
    </row>
    <row r="1549" ht="15" customHeight="1" s="95">
      <c r="A1549" s="143" t="n">
        <v>45378</v>
      </c>
      <c r="B1549" s="146" t="n">
        <v>0.999968</v>
      </c>
      <c r="C1549" s="179" t="n">
        <v>32247836171</v>
      </c>
      <c r="D1549" s="179" t="n">
        <v>32248882780</v>
      </c>
      <c r="E1549" s="146" t="n">
        <v>1.001435</v>
      </c>
      <c r="F1549" s="179" t="n">
        <v>104171067977</v>
      </c>
      <c r="G1549" s="179" t="n">
        <v>104021774101</v>
      </c>
      <c r="H1549" s="179">
        <f>IFERROR(D1549+G1549,D1549)</f>
        <v/>
      </c>
      <c r="I1549" s="184">
        <f>IFERROR(D1549/H1549,"")</f>
        <v/>
      </c>
      <c r="J1549" s="179" t="n">
        <v>6449776556</v>
      </c>
      <c r="K1549" s="179" t="n">
        <v>12899553112</v>
      </c>
      <c r="L1549" s="179" t="n">
        <v>19349329668</v>
      </c>
    </row>
    <row r="1550" ht="15" customHeight="1" s="95">
      <c r="A1550" s="143" t="n">
        <v>45379</v>
      </c>
      <c r="B1550" s="146" t="n">
        <v>1.00263</v>
      </c>
      <c r="C1550" s="179" t="n">
        <v>32146805257</v>
      </c>
      <c r="D1550" s="179" t="n">
        <v>32062476370</v>
      </c>
      <c r="E1550" s="146" t="n">
        <v>1.001539</v>
      </c>
      <c r="F1550" s="179" t="n">
        <v>104315388264</v>
      </c>
      <c r="G1550" s="179" t="n">
        <v>104155045254</v>
      </c>
      <c r="H1550" s="179">
        <f>IFERROR(D1550+G1550,D1550)</f>
        <v/>
      </c>
      <c r="I1550" s="184">
        <f>IFERROR(D1550/H1550,"")</f>
        <v/>
      </c>
      <c r="J1550" s="179" t="n">
        <v>6412495274</v>
      </c>
      <c r="K1550" s="179" t="n">
        <v>12824990548</v>
      </c>
      <c r="L1550" s="179" t="n">
        <v>19237485822</v>
      </c>
    </row>
    <row r="1551" ht="15" customHeight="1" s="95">
      <c r="A1551" s="143" t="n">
        <v>45380</v>
      </c>
      <c r="B1551" s="146" t="n">
        <v>0.999072</v>
      </c>
      <c r="C1551" s="179" t="n">
        <v>32427222481</v>
      </c>
      <c r="D1551" s="179" t="n">
        <v>32457348585</v>
      </c>
      <c r="E1551" s="146" t="n">
        <v>0.999431</v>
      </c>
      <c r="F1551" s="179" t="n">
        <v>104365606173</v>
      </c>
      <c r="G1551" s="179" t="n">
        <v>104424999527</v>
      </c>
      <c r="H1551" s="179">
        <f>IFERROR(D1551+G1551,D1551)</f>
        <v/>
      </c>
      <c r="I1551" s="184">
        <f>IFERROR(D1551/H1551,"")</f>
        <v/>
      </c>
      <c r="J1551" s="179" t="n">
        <v>6491469717</v>
      </c>
      <c r="K1551" s="179" t="n">
        <v>12982939434</v>
      </c>
      <c r="L1551" s="179" t="n">
        <v>19474409151</v>
      </c>
    </row>
    <row r="1552" ht="15" customHeight="1" s="95">
      <c r="A1552" s="143" t="n">
        <v>45381</v>
      </c>
      <c r="B1552" s="146" t="n">
        <v>0.9998860000000001</v>
      </c>
      <c r="C1552" s="179" t="n">
        <v>32433889043</v>
      </c>
      <c r="D1552" s="179" t="n">
        <v>32437593699</v>
      </c>
      <c r="E1552" s="146" t="n">
        <v>1.000177</v>
      </c>
      <c r="F1552" s="179" t="n">
        <v>104553076925</v>
      </c>
      <c r="G1552" s="179" t="n">
        <v>104534603683</v>
      </c>
      <c r="H1552" s="179">
        <f>IFERROR(D1552+G1552,D1552)</f>
        <v/>
      </c>
      <c r="I1552" s="184">
        <f>IFERROR(D1552/H1552,"")</f>
        <v/>
      </c>
      <c r="J1552" s="179" t="n">
        <v>6487518740</v>
      </c>
      <c r="K1552" s="179" t="n">
        <v>12975037480</v>
      </c>
      <c r="L1552" s="179" t="n">
        <v>19462556219</v>
      </c>
    </row>
    <row r="1553" ht="15" customHeight="1" s="95">
      <c r="A1553" s="143" t="n">
        <v>45382</v>
      </c>
      <c r="B1553" s="146" t="n">
        <v>1.000261</v>
      </c>
      <c r="C1553" s="179" t="n">
        <v>32460741764</v>
      </c>
      <c r="D1553" s="179" t="n">
        <v>32452276188</v>
      </c>
      <c r="E1553" s="146" t="n">
        <v>1.00058</v>
      </c>
      <c r="F1553" s="179" t="n">
        <v>104538350178</v>
      </c>
      <c r="G1553" s="179" t="n">
        <v>104477803735</v>
      </c>
      <c r="H1553" s="179">
        <f>IFERROR(D1553+G1553,D1553)</f>
        <v/>
      </c>
      <c r="I1553" s="184">
        <f>IFERROR(D1553/H1553,"")</f>
        <v/>
      </c>
      <c r="J1553" s="179" t="n">
        <v>6490455238</v>
      </c>
      <c r="K1553" s="179" t="n">
        <v>12980910475</v>
      </c>
      <c r="L1553" s="179" t="n">
        <v>19471365713</v>
      </c>
    </row>
    <row r="1554" ht="15" customHeight="1" s="95">
      <c r="A1554" s="143" t="n">
        <v>45383</v>
      </c>
      <c r="B1554" s="146" t="n">
        <v>0.999879</v>
      </c>
      <c r="C1554" s="179" t="n">
        <v>32388206506</v>
      </c>
      <c r="D1554" s="179" t="n">
        <v>32392141106</v>
      </c>
      <c r="E1554" s="146" t="n">
        <v>1.000048</v>
      </c>
      <c r="F1554" s="179" t="n">
        <v>104510345551</v>
      </c>
      <c r="G1554" s="179" t="n">
        <v>104505348425</v>
      </c>
      <c r="H1554" s="179">
        <f>IFERROR(D1554+G1554,D1554)</f>
        <v/>
      </c>
      <c r="I1554" s="184">
        <f>IFERROR(D1554/H1554,"")</f>
        <v/>
      </c>
      <c r="J1554" s="179" t="n">
        <v>6478428221</v>
      </c>
      <c r="K1554" s="179" t="n">
        <v>12956856442</v>
      </c>
      <c r="L1554" s="179" t="n">
        <v>19435284664</v>
      </c>
    </row>
    <row r="1555" ht="15" customHeight="1" s="95">
      <c r="A1555" s="143" t="n">
        <v>45384</v>
      </c>
      <c r="B1555" s="146" t="n">
        <v>0.999606</v>
      </c>
      <c r="C1555" s="179" t="n">
        <v>32627669901</v>
      </c>
      <c r="D1555" s="179" t="n">
        <v>32640533902</v>
      </c>
      <c r="E1555" s="146" t="n">
        <v>1.000222</v>
      </c>
      <c r="F1555" s="179" t="n">
        <v>104466269110</v>
      </c>
      <c r="G1555" s="179" t="n">
        <v>104443110092</v>
      </c>
      <c r="H1555" s="179">
        <f>IFERROR(D1555+G1555,D1555)</f>
        <v/>
      </c>
      <c r="I1555" s="184">
        <f>IFERROR(D1555/H1555,"")</f>
        <v/>
      </c>
      <c r="J1555" s="179" t="n">
        <v>6528106780</v>
      </c>
      <c r="K1555" s="179" t="n">
        <v>13056213561</v>
      </c>
      <c r="L1555" s="179" t="n">
        <v>19584320341</v>
      </c>
    </row>
    <row r="1556" ht="15" customHeight="1" s="95">
      <c r="A1556" s="143" t="n">
        <v>45385</v>
      </c>
      <c r="B1556" s="146" t="n">
        <v>0.999336</v>
      </c>
      <c r="C1556" s="179" t="n">
        <v>32751475130</v>
      </c>
      <c r="D1556" s="179" t="n">
        <v>32773245961</v>
      </c>
      <c r="E1556" s="146" t="n">
        <v>1.000566</v>
      </c>
      <c r="F1556" s="179" t="n">
        <v>104665901774</v>
      </c>
      <c r="G1556" s="179" t="n">
        <v>104606669153</v>
      </c>
      <c r="H1556" s="179">
        <f>IFERROR(D1556+G1556,D1556)</f>
        <v/>
      </c>
      <c r="I1556" s="184">
        <f>IFERROR(D1556/H1556,"")</f>
        <v/>
      </c>
      <c r="J1556" s="179" t="n">
        <v>6554649192</v>
      </c>
      <c r="K1556" s="179" t="n">
        <v>13109298384</v>
      </c>
      <c r="L1556" s="179" t="n">
        <v>19663947577</v>
      </c>
    </row>
    <row r="1557" ht="15" customHeight="1" s="95">
      <c r="A1557" s="143" t="n">
        <v>45386</v>
      </c>
      <c r="B1557" s="146" t="n">
        <v>0.999754</v>
      </c>
      <c r="C1557" s="179" t="n">
        <v>32876497719</v>
      </c>
      <c r="D1557" s="179" t="n">
        <v>32884580103</v>
      </c>
      <c r="E1557" s="146" t="n">
        <v>1.000073</v>
      </c>
      <c r="F1557" s="179" t="n">
        <v>105331957106</v>
      </c>
      <c r="G1557" s="179" t="n">
        <v>105324263812</v>
      </c>
      <c r="H1557" s="179">
        <f>IFERROR(D1557+G1557,D1557)</f>
        <v/>
      </c>
      <c r="I1557" s="184">
        <f>IFERROR(D1557/H1557,"")</f>
        <v/>
      </c>
      <c r="J1557" s="179" t="n">
        <v>6576916021</v>
      </c>
      <c r="K1557" s="179" t="n">
        <v>13153832041</v>
      </c>
      <c r="L1557" s="179" t="n">
        <v>19730748062</v>
      </c>
    </row>
    <row r="1558" ht="15" customHeight="1" s="95">
      <c r="A1558" s="143" t="n">
        <v>45387</v>
      </c>
      <c r="B1558" s="146" t="n">
        <v>1.001006</v>
      </c>
      <c r="C1558" s="179" t="n">
        <v>33042630684</v>
      </c>
      <c r="D1558" s="179" t="n">
        <v>33009423615</v>
      </c>
      <c r="E1558" s="146" t="n">
        <v>1.000511</v>
      </c>
      <c r="F1558" s="179" t="n">
        <v>106232925072</v>
      </c>
      <c r="G1558" s="179" t="n">
        <v>106178711431</v>
      </c>
      <c r="H1558" s="179">
        <f>IFERROR(D1558+G1558,D1558)</f>
        <v/>
      </c>
      <c r="I1558" s="184">
        <f>IFERROR(D1558/H1558,"")</f>
        <v/>
      </c>
      <c r="J1558" s="179" t="n">
        <v>6601884723</v>
      </c>
      <c r="K1558" s="179" t="n">
        <v>13203769446</v>
      </c>
      <c r="L1558" s="179" t="n">
        <v>19805654169</v>
      </c>
    </row>
    <row r="1559" ht="15" customHeight="1" s="95">
      <c r="A1559" s="143" t="n">
        <v>45388</v>
      </c>
      <c r="B1559" s="146" t="n">
        <v>0.9988939999999999</v>
      </c>
      <c r="C1559" s="179" t="n">
        <v>32959702181</v>
      </c>
      <c r="D1559" s="179" t="n">
        <v>32996196236</v>
      </c>
      <c r="E1559" s="146" t="n">
        <v>1.000411</v>
      </c>
      <c r="F1559" s="179" t="n">
        <v>106688966458</v>
      </c>
      <c r="G1559" s="179" t="n">
        <v>106645097383</v>
      </c>
      <c r="H1559" s="179">
        <f>IFERROR(D1559+G1559,D1559)</f>
        <v/>
      </c>
      <c r="I1559" s="184">
        <f>IFERROR(D1559/H1559,"")</f>
        <v/>
      </c>
      <c r="J1559" s="179" t="n">
        <v>6599239247</v>
      </c>
      <c r="K1559" s="179" t="n">
        <v>13198478494</v>
      </c>
      <c r="L1559" s="179" t="n">
        <v>19797717742</v>
      </c>
    </row>
    <row r="1560" ht="15" customHeight="1" s="95">
      <c r="A1560" s="143" t="n">
        <v>45389</v>
      </c>
      <c r="B1560" s="146" t="n">
        <v>0.997972</v>
      </c>
      <c r="C1560" s="179" t="n">
        <v>32938114837</v>
      </c>
      <c r="D1560" s="179" t="n">
        <v>33005048039</v>
      </c>
      <c r="E1560" s="146" t="n">
        <v>0.998835</v>
      </c>
      <c r="F1560" s="179" t="n">
        <v>106793326057</v>
      </c>
      <c r="G1560" s="179" t="n">
        <v>106917845726</v>
      </c>
      <c r="H1560" s="179">
        <f>IFERROR(D1560+G1560,D1560)</f>
        <v/>
      </c>
      <c r="I1560" s="184">
        <f>IFERROR(D1560/H1560,"")</f>
        <v/>
      </c>
      <c r="J1560" s="179" t="n">
        <v>6601009608</v>
      </c>
      <c r="K1560" s="179" t="n">
        <v>13202019216</v>
      </c>
      <c r="L1560" s="179" t="n">
        <v>19803028823</v>
      </c>
    </row>
    <row r="1561" ht="15" customHeight="1" s="95">
      <c r="A1561" s="143" t="n">
        <v>45390</v>
      </c>
      <c r="B1561" s="146" t="n">
        <v>0.9998280000000001</v>
      </c>
      <c r="C1561" s="179" t="n">
        <v>32969896796</v>
      </c>
      <c r="D1561" s="179" t="n">
        <v>32975559743</v>
      </c>
      <c r="E1561" s="146" t="n">
        <v>0.999978</v>
      </c>
      <c r="F1561" s="179" t="n">
        <v>106908680868</v>
      </c>
      <c r="G1561" s="179" t="n">
        <v>106911041835</v>
      </c>
      <c r="H1561" s="179">
        <f>IFERROR(D1561+G1561,D1561)</f>
        <v/>
      </c>
      <c r="I1561" s="184">
        <f>IFERROR(D1561/H1561,"")</f>
        <v/>
      </c>
      <c r="J1561" s="179" t="n">
        <v>6595111949</v>
      </c>
      <c r="K1561" s="179" t="n">
        <v>13190223897</v>
      </c>
      <c r="L1561" s="179" t="n">
        <v>19785335846</v>
      </c>
    </row>
    <row r="1562" ht="15" customHeight="1" s="95">
      <c r="A1562" s="143" t="n">
        <v>45391</v>
      </c>
      <c r="B1562" s="146" t="n">
        <v>0.999482</v>
      </c>
      <c r="C1562" s="179" t="n">
        <v>32588939051</v>
      </c>
      <c r="D1562" s="179" t="n">
        <v>32605825511</v>
      </c>
      <c r="E1562" s="146" t="n">
        <v>1.000037</v>
      </c>
      <c r="F1562" s="179" t="n">
        <v>107051011825</v>
      </c>
      <c r="G1562" s="179" t="n">
        <v>107047060349</v>
      </c>
      <c r="H1562" s="179">
        <f>IFERROR(D1562+G1562,D1562)</f>
        <v/>
      </c>
      <c r="I1562" s="184">
        <f>IFERROR(D1562/H1562,"")</f>
        <v/>
      </c>
      <c r="J1562" s="179" t="n">
        <v>6521165102</v>
      </c>
      <c r="K1562" s="179" t="n">
        <v>13042330204</v>
      </c>
      <c r="L1562" s="179" t="n">
        <v>19563495307</v>
      </c>
    </row>
    <row r="1563" ht="15" customHeight="1" s="95">
      <c r="A1563" s="143" t="n">
        <v>45392</v>
      </c>
      <c r="B1563" s="146" t="n">
        <v>1.000834</v>
      </c>
      <c r="C1563" s="179" t="n">
        <v>32324466864</v>
      </c>
      <c r="D1563" s="179" t="n">
        <v>32297514693</v>
      </c>
      <c r="E1563" s="146" t="n">
        <v>0.999738</v>
      </c>
      <c r="F1563" s="179" t="n">
        <v>107124650258</v>
      </c>
      <c r="G1563" s="179" t="n">
        <v>107152717164</v>
      </c>
      <c r="H1563" s="179">
        <f>IFERROR(D1563+G1563,D1563)</f>
        <v/>
      </c>
      <c r="I1563" s="184">
        <f>IFERROR(D1563/H1563,"")</f>
        <v/>
      </c>
      <c r="J1563" s="179" t="n">
        <v>6459502939</v>
      </c>
      <c r="K1563" s="179" t="n">
        <v>12919005877</v>
      </c>
      <c r="L1563" s="179" t="n">
        <v>19378508816</v>
      </c>
    </row>
    <row r="1564" ht="15" customHeight="1" s="95">
      <c r="A1564" s="143" t="n">
        <v>45393</v>
      </c>
      <c r="B1564" s="146" t="n">
        <v>0.99957</v>
      </c>
      <c r="C1564" s="179" t="n">
        <v>32181971707</v>
      </c>
      <c r="D1564" s="179" t="n">
        <v>32195822072</v>
      </c>
      <c r="E1564" s="146" t="n">
        <v>1.000054</v>
      </c>
      <c r="F1564" s="179" t="n">
        <v>107165949185</v>
      </c>
      <c r="G1564" s="179" t="n">
        <v>107160179573</v>
      </c>
      <c r="H1564" s="179">
        <f>IFERROR(D1564+G1564,D1564)</f>
        <v/>
      </c>
      <c r="I1564" s="184">
        <f>IFERROR(D1564/H1564,"")</f>
        <v/>
      </c>
      <c r="J1564" s="179" t="n">
        <v>6439164414</v>
      </c>
      <c r="K1564" s="179" t="n">
        <v>12878328829</v>
      </c>
      <c r="L1564" s="179" t="n">
        <v>19317493243</v>
      </c>
    </row>
    <row r="1565" ht="15" customHeight="1" s="95">
      <c r="A1565" s="143" t="n">
        <v>45394</v>
      </c>
      <c r="B1565" s="146" t="n">
        <v>1.000958</v>
      </c>
      <c r="C1565" s="179" t="n">
        <v>32222451399</v>
      </c>
      <c r="D1565" s="179" t="n">
        <v>32191598274</v>
      </c>
      <c r="E1565" s="146" t="n">
        <v>1.00019</v>
      </c>
      <c r="F1565" s="179" t="n">
        <v>107325379612</v>
      </c>
      <c r="G1565" s="179" t="n">
        <v>107305040973</v>
      </c>
      <c r="H1565" s="179">
        <f>IFERROR(D1565+G1565,D1565)</f>
        <v/>
      </c>
      <c r="I1565" s="184">
        <f>IFERROR(D1565/H1565,"")</f>
        <v/>
      </c>
      <c r="J1565" s="179" t="n">
        <v>6438319655</v>
      </c>
      <c r="K1565" s="179" t="n">
        <v>12876639310</v>
      </c>
      <c r="L1565" s="179" t="n">
        <v>19314958964</v>
      </c>
    </row>
    <row r="1566" ht="15" customHeight="1" s="95">
      <c r="A1566" s="143" t="n">
        <v>45395</v>
      </c>
      <c r="B1566" s="146" t="n">
        <v>1.001302</v>
      </c>
      <c r="C1566" s="179" t="n">
        <v>31954715645</v>
      </c>
      <c r="D1566" s="179" t="n">
        <v>31913179439</v>
      </c>
      <c r="E1566" s="146" t="n">
        <v>1.000495</v>
      </c>
      <c r="F1566" s="179" t="n">
        <v>107393356511</v>
      </c>
      <c r="G1566" s="179" t="n">
        <v>107340198678</v>
      </c>
      <c r="H1566" s="179">
        <f>IFERROR(D1566+G1566,D1566)</f>
        <v/>
      </c>
      <c r="I1566" s="184">
        <f>IFERROR(D1566/H1566,"")</f>
        <v/>
      </c>
      <c r="J1566" s="179" t="n">
        <v>6382635888</v>
      </c>
      <c r="K1566" s="179" t="n">
        <v>12765271776</v>
      </c>
      <c r="L1566" s="179" t="n">
        <v>19147907663</v>
      </c>
    </row>
    <row r="1567" ht="15" customHeight="1" s="95">
      <c r="A1567" s="143" t="n">
        <v>45396</v>
      </c>
      <c r="B1567" s="146" t="n">
        <v>0.998959</v>
      </c>
      <c r="C1567" s="179" t="n">
        <v>32081468162</v>
      </c>
      <c r="D1567" s="179" t="n">
        <v>32114898378</v>
      </c>
      <c r="E1567" s="146" t="n">
        <v>1.000199</v>
      </c>
      <c r="F1567" s="179" t="n">
        <v>107379449339</v>
      </c>
      <c r="G1567" s="179" t="n">
        <v>107358037231</v>
      </c>
      <c r="H1567" s="179">
        <f>IFERROR(D1567+G1567,D1567)</f>
        <v/>
      </c>
      <c r="I1567" s="184">
        <f>IFERROR(D1567/H1567,"")</f>
        <v/>
      </c>
      <c r="J1567" s="179" t="n">
        <v>6422979676</v>
      </c>
      <c r="K1567" s="179" t="n">
        <v>12845959351</v>
      </c>
      <c r="L1567" s="179" t="n">
        <v>19268939027</v>
      </c>
    </row>
    <row r="1568" ht="15" customHeight="1" s="95">
      <c r="A1568" s="143" t="n">
        <v>45397</v>
      </c>
      <c r="B1568" s="146" t="n">
        <v>1.000376</v>
      </c>
      <c r="C1568" s="179" t="n">
        <v>32268256090</v>
      </c>
      <c r="D1568" s="179" t="n">
        <v>32256143204</v>
      </c>
      <c r="E1568" s="146" t="n">
        <v>1.001266</v>
      </c>
      <c r="F1568" s="179" t="n">
        <v>107753288138</v>
      </c>
      <c r="G1568" s="179" t="n">
        <v>107617078790</v>
      </c>
      <c r="H1568" s="179">
        <f>IFERROR(D1568+G1568,D1568)</f>
        <v/>
      </c>
      <c r="I1568" s="184">
        <f>IFERROR(D1568/H1568,"")</f>
        <v/>
      </c>
      <c r="J1568" s="179" t="n">
        <v>6451228641</v>
      </c>
      <c r="K1568" s="179" t="n">
        <v>12902457282</v>
      </c>
      <c r="L1568" s="179" t="n">
        <v>19353685922</v>
      </c>
    </row>
    <row r="1569" ht="15" customHeight="1" s="95">
      <c r="A1569" s="143" t="n">
        <v>45398</v>
      </c>
      <c r="B1569" s="146" t="n">
        <v>1.000701</v>
      </c>
      <c r="C1569" s="179" t="n">
        <v>32413375843</v>
      </c>
      <c r="D1569" s="179" t="n">
        <v>32390684311</v>
      </c>
      <c r="E1569" s="146" t="n">
        <v>0.999864</v>
      </c>
      <c r="F1569" s="179" t="n">
        <v>107841139879</v>
      </c>
      <c r="G1569" s="179" t="n">
        <v>107855855075</v>
      </c>
      <c r="H1569" s="179">
        <f>IFERROR(D1569+G1569,D1569)</f>
        <v/>
      </c>
      <c r="I1569" s="184">
        <f>IFERROR(D1569/H1569,"")</f>
        <v/>
      </c>
      <c r="J1569" s="179" t="n">
        <v>6478136862</v>
      </c>
      <c r="K1569" s="179" t="n">
        <v>12956273724</v>
      </c>
      <c r="L1569" s="179" t="n">
        <v>19434410587</v>
      </c>
    </row>
    <row r="1570" ht="15" customHeight="1" s="95">
      <c r="A1570" s="143" t="n">
        <v>45399</v>
      </c>
      <c r="B1570" s="146" t="n">
        <v>0.999784</v>
      </c>
      <c r="C1570" s="179" t="n">
        <v>32587980460</v>
      </c>
      <c r="D1570" s="179" t="n">
        <v>32595010841</v>
      </c>
      <c r="E1570" s="146" t="n">
        <v>0.999818</v>
      </c>
      <c r="F1570" s="179" t="n">
        <v>108064659123</v>
      </c>
      <c r="G1570" s="179" t="n">
        <v>108084277540</v>
      </c>
      <c r="H1570" s="179">
        <f>IFERROR(D1570+G1570,D1570)</f>
        <v/>
      </c>
      <c r="I1570" s="184">
        <f>IFERROR(D1570/H1570,"")</f>
        <v/>
      </c>
      <c r="J1570" s="179" t="n">
        <v>6519002168</v>
      </c>
      <c r="K1570" s="179" t="n">
        <v>13038004336</v>
      </c>
      <c r="L1570" s="179" t="n">
        <v>19557006505</v>
      </c>
    </row>
    <row r="1571" ht="15" customHeight="1" s="95">
      <c r="A1571" s="143" t="n">
        <v>45400</v>
      </c>
      <c r="B1571" s="146" t="n">
        <v>1.000045</v>
      </c>
      <c r="C1571" s="179" t="n">
        <v>32522808875</v>
      </c>
      <c r="D1571" s="179" t="n">
        <v>32521358064</v>
      </c>
      <c r="E1571" s="146" t="n">
        <v>0.999877</v>
      </c>
      <c r="F1571" s="179" t="n">
        <v>108719080825</v>
      </c>
      <c r="G1571" s="179" t="n">
        <v>108732462511</v>
      </c>
      <c r="H1571" s="179">
        <f>IFERROR(D1571+G1571,D1571)</f>
        <v/>
      </c>
      <c r="I1571" s="184">
        <f>IFERROR(D1571/H1571,"")</f>
        <v/>
      </c>
      <c r="J1571" s="179" t="n">
        <v>6504271613</v>
      </c>
      <c r="K1571" s="179" t="n">
        <v>13008543226</v>
      </c>
      <c r="L1571" s="179" t="n">
        <v>19512814838</v>
      </c>
    </row>
    <row r="1572" ht="15" customHeight="1" s="95">
      <c r="A1572" s="143" t="n">
        <v>45401</v>
      </c>
      <c r="B1572" s="146" t="n">
        <v>0.99983</v>
      </c>
      <c r="C1572" s="179" t="n">
        <v>33046053379</v>
      </c>
      <c r="D1572" s="179" t="n">
        <v>33051686898</v>
      </c>
      <c r="E1572" s="146" t="n">
        <v>1.000217</v>
      </c>
      <c r="F1572" s="179" t="n">
        <v>109084372698</v>
      </c>
      <c r="G1572" s="179" t="n">
        <v>109060699941</v>
      </c>
      <c r="H1572" s="179">
        <f>IFERROR(D1572+G1572,D1572)</f>
        <v/>
      </c>
      <c r="I1572" s="184">
        <f>IFERROR(D1572/H1572,"")</f>
        <v/>
      </c>
      <c r="J1572" s="179" t="n">
        <v>6610337380</v>
      </c>
      <c r="K1572" s="179" t="n">
        <v>13220674759</v>
      </c>
      <c r="L1572" s="179" t="n">
        <v>19831012139</v>
      </c>
    </row>
    <row r="1573" ht="15" customHeight="1" s="95">
      <c r="A1573" s="143" t="n">
        <v>45402</v>
      </c>
      <c r="B1573" s="146" t="n">
        <v>1.000753</v>
      </c>
      <c r="C1573" s="179" t="n">
        <v>33914604456</v>
      </c>
      <c r="D1573" s="179" t="n">
        <v>33889086387</v>
      </c>
      <c r="E1573" s="146" t="n">
        <v>1.000263</v>
      </c>
      <c r="F1573" s="179" t="n">
        <v>109818847614</v>
      </c>
      <c r="G1573" s="179" t="n">
        <v>109789942731</v>
      </c>
      <c r="H1573" s="179">
        <f>IFERROR(D1573+G1573,D1573)</f>
        <v/>
      </c>
      <c r="I1573" s="184">
        <f>IFERROR(D1573/H1573,"")</f>
        <v/>
      </c>
      <c r="J1573" s="179" t="n">
        <v>6777817277</v>
      </c>
      <c r="K1573" s="179" t="n">
        <v>13555634555</v>
      </c>
      <c r="L1573" s="179" t="n">
        <v>20333451832</v>
      </c>
    </row>
    <row r="1574" ht="15" customHeight="1" s="95">
      <c r="A1574" s="143" t="n">
        <v>45403</v>
      </c>
      <c r="B1574" s="146" t="n">
        <v>0.999813</v>
      </c>
      <c r="C1574" s="179" t="n">
        <v>33947195928</v>
      </c>
      <c r="D1574" s="179" t="n">
        <v>33953557017</v>
      </c>
      <c r="E1574" s="146" t="n">
        <v>1.00044</v>
      </c>
      <c r="F1574" s="179" t="n">
        <v>109776804504</v>
      </c>
      <c r="G1574" s="179" t="n">
        <v>109728561340</v>
      </c>
      <c r="H1574" s="179">
        <f>IFERROR(D1574+G1574,D1574)</f>
        <v/>
      </c>
      <c r="I1574" s="184">
        <f>IFERROR(D1574/H1574,"")</f>
        <v/>
      </c>
      <c r="J1574" s="179" t="n">
        <v>6790711403</v>
      </c>
      <c r="K1574" s="179" t="n">
        <v>13581422807</v>
      </c>
      <c r="L1574" s="179" t="n">
        <v>20372134210</v>
      </c>
    </row>
    <row r="1575" ht="15" customHeight="1" s="95">
      <c r="A1575" s="143" t="n">
        <v>45404</v>
      </c>
      <c r="B1575" s="146" t="n">
        <v>0.9997239999999999</v>
      </c>
      <c r="C1575" s="179" t="n">
        <v>33932246307</v>
      </c>
      <c r="D1575" s="179" t="n">
        <v>33941612080</v>
      </c>
      <c r="E1575" s="146" t="n">
        <v>0.999954</v>
      </c>
      <c r="F1575" s="179" t="n">
        <v>109867996220</v>
      </c>
      <c r="G1575" s="179" t="n">
        <v>109873024184</v>
      </c>
      <c r="H1575" s="179">
        <f>IFERROR(D1575+G1575,D1575)</f>
        <v/>
      </c>
      <c r="I1575" s="184">
        <f>IFERROR(D1575/H1575,"")</f>
        <v/>
      </c>
      <c r="J1575" s="179" t="n">
        <v>6788322416</v>
      </c>
      <c r="K1575" s="179" t="n">
        <v>13576644832</v>
      </c>
      <c r="L1575" s="179" t="n">
        <v>20364967248</v>
      </c>
    </row>
    <row r="1576" ht="15" customHeight="1" s="95">
      <c r="A1576" s="143" t="n">
        <v>45405</v>
      </c>
      <c r="B1576" s="146" t="n">
        <v>0.9997239999999999</v>
      </c>
      <c r="C1576" s="179" t="n">
        <v>33798041789</v>
      </c>
      <c r="D1576" s="179" t="n">
        <v>33807381546</v>
      </c>
      <c r="E1576" s="146" t="n">
        <v>0.999956</v>
      </c>
      <c r="F1576" s="179" t="n">
        <v>109891550171</v>
      </c>
      <c r="G1576" s="179" t="n">
        <v>109896347540</v>
      </c>
      <c r="H1576" s="179">
        <f>IFERROR(D1576+G1576,D1576)</f>
        <v/>
      </c>
      <c r="I1576" s="184">
        <f>IFERROR(D1576/H1576,"")</f>
        <v/>
      </c>
      <c r="J1576" s="179" t="n">
        <v>6761476309</v>
      </c>
      <c r="K1576" s="179" t="n">
        <v>13522952618</v>
      </c>
      <c r="L1576" s="179" t="n">
        <v>20284428928</v>
      </c>
    </row>
    <row r="1577" ht="15" customHeight="1" s="95">
      <c r="A1577" s="143" t="n">
        <v>45406</v>
      </c>
      <c r="B1577" s="146" t="n">
        <v>1.000068</v>
      </c>
      <c r="C1577" s="179" t="n">
        <v>33632083380</v>
      </c>
      <c r="D1577" s="179" t="n">
        <v>33629806120</v>
      </c>
      <c r="E1577" s="146" t="n">
        <v>1.000241</v>
      </c>
      <c r="F1577" s="179" t="n">
        <v>110436760601</v>
      </c>
      <c r="G1577" s="179" t="n">
        <v>110410163131</v>
      </c>
      <c r="H1577" s="179">
        <f>IFERROR(D1577+G1577,D1577)</f>
        <v/>
      </c>
      <c r="I1577" s="184">
        <f>IFERROR(D1577/H1577,"")</f>
        <v/>
      </c>
      <c r="J1577" s="179" t="n">
        <v>6725961224</v>
      </c>
      <c r="K1577" s="179" t="n">
        <v>13451922448</v>
      </c>
      <c r="L1577" s="179" t="n">
        <v>20177883672</v>
      </c>
    </row>
    <row r="1578" ht="15" customHeight="1" s="95">
      <c r="A1578" s="143" t="n">
        <v>45407</v>
      </c>
      <c r="B1578" s="146" t="n">
        <v>1.000577</v>
      </c>
      <c r="C1578" s="179" t="n">
        <v>33424671604</v>
      </c>
      <c r="D1578" s="179" t="n">
        <v>33405410210</v>
      </c>
      <c r="E1578" s="146" t="n">
        <v>0.999718</v>
      </c>
      <c r="F1578" s="179" t="n">
        <v>110475849461</v>
      </c>
      <c r="G1578" s="179" t="n">
        <v>110506960878</v>
      </c>
      <c r="H1578" s="179">
        <f>IFERROR(D1578+G1578,D1578)</f>
        <v/>
      </c>
      <c r="I1578" s="184">
        <f>IFERROR(D1578/H1578,"")</f>
        <v/>
      </c>
      <c r="J1578" s="179" t="n">
        <v>6681082042</v>
      </c>
      <c r="K1578" s="179" t="n">
        <v>13362164084</v>
      </c>
      <c r="L1578" s="179" t="n">
        <v>20043246126</v>
      </c>
    </row>
    <row r="1579" ht="15" customHeight="1" s="95">
      <c r="A1579" s="143" t="n">
        <v>45408</v>
      </c>
      <c r="B1579" s="146" t="n">
        <v>0.9999479999999999</v>
      </c>
      <c r="C1579" s="179" t="n">
        <v>33352434130</v>
      </c>
      <c r="D1579" s="179" t="n">
        <v>33354175775</v>
      </c>
      <c r="E1579" s="146" t="n">
        <v>0.999821</v>
      </c>
      <c r="F1579" s="179" t="n">
        <v>110438459159</v>
      </c>
      <c r="G1579" s="179" t="n">
        <v>110458192449</v>
      </c>
      <c r="H1579" s="179">
        <f>IFERROR(D1579+G1579,D1579)</f>
        <v/>
      </c>
      <c r="I1579" s="184">
        <f>IFERROR(D1579/H1579,"")</f>
        <v/>
      </c>
      <c r="J1579" s="179" t="n">
        <v>6670835155</v>
      </c>
      <c r="K1579" s="179" t="n">
        <v>13341670310</v>
      </c>
      <c r="L1579" s="179" t="n">
        <v>20012505465</v>
      </c>
    </row>
    <row r="1580" ht="15" customHeight="1" s="95">
      <c r="A1580" s="143" t="n">
        <v>45409</v>
      </c>
      <c r="B1580" s="146" t="n">
        <v>0.999969</v>
      </c>
      <c r="C1580" s="179" t="n">
        <v>33372364894</v>
      </c>
      <c r="D1580" s="179" t="n">
        <v>33373405915</v>
      </c>
      <c r="E1580" s="146" t="n">
        <v>0.999696</v>
      </c>
      <c r="F1580" s="179" t="n">
        <v>110388612840</v>
      </c>
      <c r="G1580" s="179" t="n">
        <v>110422210601</v>
      </c>
      <c r="H1580" s="179">
        <f>IFERROR(D1580+G1580,D1580)</f>
        <v/>
      </c>
      <c r="I1580" s="184">
        <f>IFERROR(D1580/H1580,"")</f>
        <v/>
      </c>
      <c r="J1580" s="179" t="n">
        <v>6674681183</v>
      </c>
      <c r="K1580" s="179" t="n">
        <v>13349362366</v>
      </c>
      <c r="L1580" s="179" t="n">
        <v>20024043549</v>
      </c>
    </row>
    <row r="1581" ht="15" customHeight="1" s="95">
      <c r="A1581" s="143" t="n">
        <v>45410</v>
      </c>
      <c r="B1581" s="146" t="n">
        <v>1.000324</v>
      </c>
      <c r="C1581" s="179" t="n">
        <v>33498303948</v>
      </c>
      <c r="D1581" s="179" t="n">
        <v>33487464783</v>
      </c>
      <c r="E1581" s="146" t="n">
        <v>0.999629</v>
      </c>
      <c r="F1581" s="179" t="n">
        <v>110489863655</v>
      </c>
      <c r="G1581" s="179" t="n">
        <v>110530820766</v>
      </c>
      <c r="H1581" s="179">
        <f>IFERROR(D1581+G1581,D1581)</f>
        <v/>
      </c>
      <c r="I1581" s="184">
        <f>IFERROR(D1581/H1581,"")</f>
        <v/>
      </c>
      <c r="J1581" s="179" t="n">
        <v>6697492957</v>
      </c>
      <c r="K1581" s="179" t="n">
        <v>13394985913</v>
      </c>
      <c r="L1581" s="179" t="n">
        <v>20092478870</v>
      </c>
    </row>
    <row r="1582" ht="15" customHeight="1" s="95">
      <c r="A1582" s="143" t="n">
        <v>45411</v>
      </c>
      <c r="B1582" s="146" t="n">
        <v>1.000027</v>
      </c>
      <c r="C1582" s="179" t="n">
        <v>33510299795</v>
      </c>
      <c r="D1582" s="179" t="n">
        <v>33509388080</v>
      </c>
      <c r="E1582" s="146" t="n">
        <v>0.999881</v>
      </c>
      <c r="F1582" s="179" t="n">
        <v>110621142036</v>
      </c>
      <c r="G1582" s="179" t="n">
        <v>110634331136</v>
      </c>
      <c r="H1582" s="179">
        <f>IFERROR(D1582+G1582,D1582)</f>
        <v/>
      </c>
      <c r="I1582" s="184">
        <f>IFERROR(D1582/H1582,"")</f>
        <v/>
      </c>
      <c r="J1582" s="179" t="n">
        <v>6701877616</v>
      </c>
      <c r="K1582" s="179" t="n">
        <v>13403755232</v>
      </c>
      <c r="L1582" s="179" t="n">
        <v>20105632848</v>
      </c>
    </row>
    <row r="1583" ht="15" customHeight="1" s="95">
      <c r="A1583" s="143" t="n">
        <v>45412</v>
      </c>
      <c r="B1583" s="146" t="n">
        <v>0.99948</v>
      </c>
      <c r="C1583" s="179" t="n">
        <v>33307408955</v>
      </c>
      <c r="D1583" s="179" t="n">
        <v>33324725452</v>
      </c>
      <c r="E1583" s="146" t="n">
        <v>0.999344</v>
      </c>
      <c r="F1583" s="179" t="n">
        <v>110513523759</v>
      </c>
      <c r="G1583" s="179" t="n">
        <v>110586103421</v>
      </c>
      <c r="H1583" s="179">
        <f>IFERROR(D1583+G1583,D1583)</f>
        <v/>
      </c>
      <c r="I1583" s="184">
        <f>IFERROR(D1583/H1583,"")</f>
        <v/>
      </c>
      <c r="J1583" s="179" t="n">
        <v>6664945090</v>
      </c>
      <c r="K1583" s="179" t="n">
        <v>13329890181</v>
      </c>
      <c r="L1583" s="179" t="n">
        <v>19994835271</v>
      </c>
    </row>
    <row r="1584" ht="15" customHeight="1" s="95">
      <c r="A1584" s="143" t="n">
        <v>45413</v>
      </c>
      <c r="B1584" s="146" t="n">
        <v>1.000022</v>
      </c>
      <c r="C1584" s="179" t="n">
        <v>33207618056</v>
      </c>
      <c r="D1584" s="179" t="n">
        <v>33206899235</v>
      </c>
      <c r="E1584" s="146" t="n">
        <v>0.998694</v>
      </c>
      <c r="F1584" s="179" t="n">
        <v>110569151502</v>
      </c>
      <c r="G1584" s="179" t="n">
        <v>110713757065</v>
      </c>
      <c r="H1584" s="179">
        <f>IFERROR(D1584+G1584,D1584)</f>
        <v/>
      </c>
      <c r="I1584" s="184">
        <f>IFERROR(D1584/H1584,"")</f>
        <v/>
      </c>
      <c r="J1584" s="179" t="n">
        <v>6641379847</v>
      </c>
      <c r="K1584" s="179" t="n">
        <v>13282759694</v>
      </c>
      <c r="L1584" s="179" t="n">
        <v>19924139541</v>
      </c>
    </row>
    <row r="1585" ht="15" customHeight="1" s="95">
      <c r="A1585" s="143" t="n">
        <v>45414</v>
      </c>
      <c r="B1585" s="146" t="n">
        <v>0.999597</v>
      </c>
      <c r="C1585" s="179" t="n">
        <v>32986193179</v>
      </c>
      <c r="D1585" s="179" t="n">
        <v>32999489545</v>
      </c>
      <c r="E1585" s="146" t="n">
        <v>0.99875</v>
      </c>
      <c r="F1585" s="179" t="n">
        <v>110656637832</v>
      </c>
      <c r="G1585" s="179" t="n">
        <v>110795145116</v>
      </c>
      <c r="H1585" s="179">
        <f>IFERROR(D1585+G1585,D1585)</f>
        <v/>
      </c>
      <c r="I1585" s="184">
        <f>IFERROR(D1585/H1585,"")</f>
        <v/>
      </c>
      <c r="J1585" s="179" t="n">
        <v>6599897909</v>
      </c>
      <c r="K1585" s="179" t="n">
        <v>13199795818</v>
      </c>
      <c r="L1585" s="179" t="n">
        <v>19799693727</v>
      </c>
    </row>
    <row r="1586" ht="15" customHeight="1" s="95">
      <c r="A1586" s="143" t="n">
        <v>45415</v>
      </c>
      <c r="B1586" s="146" t="n">
        <v>0.999988</v>
      </c>
      <c r="C1586" s="179" t="n">
        <v>33110451072</v>
      </c>
      <c r="D1586" s="179" t="n">
        <v>33110847062</v>
      </c>
      <c r="E1586" s="146" t="n">
        <v>0.999972</v>
      </c>
      <c r="F1586" s="179" t="n">
        <v>110617957580</v>
      </c>
      <c r="G1586" s="179" t="n">
        <v>110621004641</v>
      </c>
      <c r="H1586" s="179">
        <f>IFERROR(D1586+G1586,D1586)</f>
        <v/>
      </c>
      <c r="I1586" s="184">
        <f>IFERROR(D1586/H1586,"")</f>
        <v/>
      </c>
      <c r="J1586" s="179" t="n">
        <v>6622169412</v>
      </c>
      <c r="K1586" s="179" t="n">
        <v>13244338825</v>
      </c>
      <c r="L1586" s="179" t="n">
        <v>19866508237</v>
      </c>
    </row>
    <row r="1587" ht="15" customHeight="1" s="95">
      <c r="A1587" s="143" t="n">
        <v>45416</v>
      </c>
      <c r="B1587" s="146" t="n">
        <v>0.999515</v>
      </c>
      <c r="C1587" s="179" t="n">
        <v>33242855123</v>
      </c>
      <c r="D1587" s="179" t="n">
        <v>33258998125</v>
      </c>
      <c r="E1587" s="146" t="n">
        <v>0.999951</v>
      </c>
      <c r="F1587" s="179" t="n">
        <v>110688767950</v>
      </c>
      <c r="G1587" s="179" t="n">
        <v>110694222091</v>
      </c>
      <c r="H1587" s="179">
        <f>IFERROR(D1587+G1587,D1587)</f>
        <v/>
      </c>
      <c r="I1587" s="184">
        <f>IFERROR(D1587/H1587,"")</f>
        <v/>
      </c>
      <c r="J1587" s="179" t="n">
        <v>6651799625</v>
      </c>
      <c r="K1587" s="179" t="n">
        <v>13303599250</v>
      </c>
      <c r="L1587" s="179" t="n">
        <v>19955398875</v>
      </c>
    </row>
    <row r="1588" ht="15" customHeight="1" s="95">
      <c r="A1588" s="143" t="n">
        <v>45417</v>
      </c>
      <c r="B1588" s="146" t="n">
        <v>0.999684</v>
      </c>
      <c r="C1588" s="179" t="n">
        <v>33553569011</v>
      </c>
      <c r="D1588" s="179" t="n">
        <v>33564162858</v>
      </c>
      <c r="E1588" s="146" t="n">
        <v>1.000142</v>
      </c>
      <c r="F1588" s="179" t="n">
        <v>110788373070</v>
      </c>
      <c r="G1588" s="179" t="n">
        <v>110772681918</v>
      </c>
      <c r="H1588" s="179">
        <f>IFERROR(D1588+G1588,D1588)</f>
        <v/>
      </c>
      <c r="I1588" s="184">
        <f>IFERROR(D1588/H1588,"")</f>
        <v/>
      </c>
      <c r="J1588" s="179" t="n">
        <v>6712832572</v>
      </c>
      <c r="K1588" s="179" t="n">
        <v>13425665143</v>
      </c>
      <c r="L1588" s="179" t="n">
        <v>20138497715</v>
      </c>
    </row>
    <row r="1589" ht="15" customHeight="1" s="95">
      <c r="A1589" s="143" t="n">
        <v>45418</v>
      </c>
      <c r="B1589" s="146" t="n">
        <v>1.000105</v>
      </c>
      <c r="C1589" s="179" t="n">
        <v>33590213411</v>
      </c>
      <c r="D1589" s="179" t="n">
        <v>33586701847</v>
      </c>
      <c r="E1589" s="146" t="n">
        <v>0.999572</v>
      </c>
      <c r="F1589" s="179" t="n">
        <v>110825639138</v>
      </c>
      <c r="G1589" s="179" t="n">
        <v>110873058530</v>
      </c>
      <c r="H1589" s="179">
        <f>IFERROR(D1589+G1589,D1589)</f>
        <v/>
      </c>
      <c r="I1589" s="184">
        <f>IFERROR(D1589/H1589,"")</f>
        <v/>
      </c>
      <c r="J1589" s="179" t="n">
        <v>6717340369</v>
      </c>
      <c r="K1589" s="179" t="n">
        <v>13434680739</v>
      </c>
      <c r="L1589" s="179" t="n">
        <v>20152021108</v>
      </c>
    </row>
    <row r="1590" ht="15" customHeight="1" s="95">
      <c r="A1590" s="143" t="n">
        <v>45419</v>
      </c>
      <c r="B1590" s="146" t="n">
        <v>0.999764</v>
      </c>
      <c r="C1590" s="179" t="n">
        <v>33236464970</v>
      </c>
      <c r="D1590" s="179" t="n">
        <v>33244307056</v>
      </c>
      <c r="E1590" s="146" t="n">
        <v>0.999814</v>
      </c>
      <c r="F1590" s="179" t="n">
        <v>110901272818</v>
      </c>
      <c r="G1590" s="179" t="n">
        <v>110921922287</v>
      </c>
      <c r="H1590" s="179">
        <f>IFERROR(D1590+G1590,D1590)</f>
        <v/>
      </c>
      <c r="I1590" s="184">
        <f>IFERROR(D1590/H1590,"")</f>
        <v/>
      </c>
      <c r="J1590" s="179" t="n">
        <v>6648861411</v>
      </c>
      <c r="K1590" s="179" t="n">
        <v>13297722822</v>
      </c>
      <c r="L1590" s="179" t="n">
        <v>19946584234</v>
      </c>
    </row>
    <row r="1591" ht="15" customHeight="1" s="95">
      <c r="A1591" s="143" t="n">
        <v>45420</v>
      </c>
      <c r="B1591" s="146" t="n">
        <v>0.9996620000000001</v>
      </c>
      <c r="C1591" s="179" t="n">
        <v>33227726880</v>
      </c>
      <c r="D1591" s="179" t="n">
        <v>33238961412</v>
      </c>
      <c r="E1591" s="146" t="n">
        <v>1.000172</v>
      </c>
      <c r="F1591" s="179" t="n">
        <v>110976763728</v>
      </c>
      <c r="G1591" s="179" t="n">
        <v>110957682345</v>
      </c>
      <c r="H1591" s="179">
        <f>IFERROR(D1591+G1591,D1591)</f>
        <v/>
      </c>
      <c r="I1591" s="184">
        <f>IFERROR(D1591/H1591,"")</f>
        <v/>
      </c>
      <c r="J1591" s="179" t="n">
        <v>6647792282</v>
      </c>
      <c r="K1591" s="179" t="n">
        <v>13295584565</v>
      </c>
      <c r="L1591" s="179" t="n">
        <v>19943376847</v>
      </c>
    </row>
    <row r="1592" ht="15" customHeight="1" s="95">
      <c r="A1592" s="143" t="n">
        <v>45421</v>
      </c>
      <c r="B1592" s="146" t="n">
        <v>1.000396</v>
      </c>
      <c r="C1592" s="179" t="n">
        <v>33103278114</v>
      </c>
      <c r="D1592" s="179" t="n">
        <v>33090161132</v>
      </c>
      <c r="E1592" s="146" t="n">
        <v>0.99986</v>
      </c>
      <c r="F1592" s="179" t="n">
        <v>110896762597</v>
      </c>
      <c r="G1592" s="179" t="n">
        <v>110912256575</v>
      </c>
      <c r="H1592" s="179">
        <f>IFERROR(D1592+G1592,D1592)</f>
        <v/>
      </c>
      <c r="I1592" s="184">
        <f>IFERROR(D1592/H1592,"")</f>
        <v/>
      </c>
      <c r="J1592" s="179" t="n">
        <v>6618032226</v>
      </c>
      <c r="K1592" s="179" t="n">
        <v>13236064453</v>
      </c>
      <c r="L1592" s="179" t="n">
        <v>19854096679</v>
      </c>
    </row>
    <row r="1593" ht="15" customHeight="1" s="95">
      <c r="A1593" s="143" t="n">
        <v>45422</v>
      </c>
      <c r="B1593" s="146" t="n">
        <v>1.000966</v>
      </c>
      <c r="C1593" s="179" t="n">
        <v>33100966961</v>
      </c>
      <c r="D1593" s="179" t="n">
        <v>33069024020</v>
      </c>
      <c r="E1593" s="146" t="n">
        <v>1.000259</v>
      </c>
      <c r="F1593" s="179" t="n">
        <v>110971026530</v>
      </c>
      <c r="G1593" s="179" t="n">
        <v>110942314840</v>
      </c>
      <c r="H1593" s="179">
        <f>IFERROR(D1593+G1593,D1593)</f>
        <v/>
      </c>
      <c r="I1593" s="184">
        <f>IFERROR(D1593/H1593,"")</f>
        <v/>
      </c>
      <c r="J1593" s="179" t="n">
        <v>6613804804</v>
      </c>
      <c r="K1593" s="179" t="n">
        <v>13227609608</v>
      </c>
      <c r="L1593" s="179" t="n">
        <v>19841414412</v>
      </c>
    </row>
    <row r="1594" ht="15" customHeight="1" s="95">
      <c r="A1594" s="143" t="n">
        <v>45423</v>
      </c>
      <c r="B1594" s="146" t="n">
        <v>0.999961</v>
      </c>
      <c r="C1594" s="179" t="n">
        <v>33104074657</v>
      </c>
      <c r="D1594" s="179" t="n">
        <v>33105355685</v>
      </c>
      <c r="E1594" s="146" t="n">
        <v>0.999834</v>
      </c>
      <c r="F1594" s="179" t="n">
        <v>110774390759</v>
      </c>
      <c r="G1594" s="179" t="n">
        <v>110792766957</v>
      </c>
      <c r="H1594" s="179">
        <f>IFERROR(D1594+G1594,D1594)</f>
        <v/>
      </c>
      <c r="I1594" s="184">
        <f>IFERROR(D1594/H1594,"")</f>
        <v/>
      </c>
      <c r="J1594" s="179" t="n">
        <v>6621071137</v>
      </c>
      <c r="K1594" s="179" t="n">
        <v>13242142274</v>
      </c>
      <c r="L1594" s="179" t="n">
        <v>19863213411</v>
      </c>
    </row>
    <row r="1595" ht="15" customHeight="1" s="95">
      <c r="A1595" s="143" t="n">
        <v>45424</v>
      </c>
      <c r="B1595" s="146" t="n">
        <v>0.999901</v>
      </c>
      <c r="C1595" s="179" t="n">
        <v>33125559801</v>
      </c>
      <c r="D1595" s="179" t="n">
        <v>33128840117</v>
      </c>
      <c r="E1595" s="146" t="n">
        <v>0.9996429999999999</v>
      </c>
      <c r="F1595" s="179" t="n">
        <v>110785721838</v>
      </c>
      <c r="G1595" s="179" t="n">
        <v>110825332251</v>
      </c>
      <c r="H1595" s="179">
        <f>IFERROR(D1595+G1595,D1595)</f>
        <v/>
      </c>
      <c r="I1595" s="184">
        <f>IFERROR(D1595/H1595,"")</f>
        <v/>
      </c>
      <c r="J1595" s="179" t="n">
        <v>6625768023</v>
      </c>
      <c r="K1595" s="179" t="n">
        <v>13251536047</v>
      </c>
      <c r="L1595" s="179" t="n">
        <v>19877304070</v>
      </c>
    </row>
    <row r="1596" ht="15" customHeight="1" s="95">
      <c r="A1596" s="143" t="n">
        <v>45425</v>
      </c>
      <c r="B1596" s="146" t="n">
        <v>1.000153</v>
      </c>
      <c r="C1596" s="179" t="n">
        <v>33130326364</v>
      </c>
      <c r="D1596" s="179" t="n">
        <v>33125252425</v>
      </c>
      <c r="E1596" s="146" t="n">
        <v>0.9992799999999999</v>
      </c>
      <c r="F1596" s="179" t="n">
        <v>110786173480</v>
      </c>
      <c r="G1596" s="179" t="n">
        <v>110865967477</v>
      </c>
      <c r="H1596" s="179">
        <f>IFERROR(D1596+G1596,D1596)</f>
        <v/>
      </c>
      <c r="I1596" s="184">
        <f>IFERROR(D1596/H1596,"")</f>
        <v/>
      </c>
      <c r="J1596" s="179" t="n">
        <v>6625050485</v>
      </c>
      <c r="K1596" s="179" t="n">
        <v>13250100970</v>
      </c>
      <c r="L1596" s="179" t="n">
        <v>19875151455</v>
      </c>
    </row>
    <row r="1597" ht="15" customHeight="1" s="95">
      <c r="A1597" s="143" t="n">
        <v>45426</v>
      </c>
      <c r="B1597" s="146" t="n">
        <v>1.000133</v>
      </c>
      <c r="C1597" s="179" t="n">
        <v>33109966184</v>
      </c>
      <c r="D1597" s="179" t="n">
        <v>33105557588</v>
      </c>
      <c r="E1597" s="146" t="n">
        <v>1.000069</v>
      </c>
      <c r="F1597" s="179" t="n">
        <v>110878655264</v>
      </c>
      <c r="G1597" s="179" t="n">
        <v>110871001519</v>
      </c>
      <c r="H1597" s="179">
        <f>IFERROR(D1597+G1597,D1597)</f>
        <v/>
      </c>
      <c r="I1597" s="184">
        <f>IFERROR(D1597/H1597,"")</f>
        <v/>
      </c>
      <c r="J1597" s="179" t="n">
        <v>6621111518</v>
      </c>
      <c r="K1597" s="179" t="n">
        <v>13242223035</v>
      </c>
      <c r="L1597" s="179" t="n">
        <v>19863334553</v>
      </c>
    </row>
    <row r="1598" ht="15" customHeight="1" s="95">
      <c r="A1598" s="143" t="n">
        <v>45427</v>
      </c>
      <c r="B1598" s="146" t="n">
        <v>0.999977</v>
      </c>
      <c r="C1598" s="179" t="n">
        <v>32885552556</v>
      </c>
      <c r="D1598" s="179" t="n">
        <v>32886310580</v>
      </c>
      <c r="E1598" s="146" t="n">
        <v>0.9994960000000001</v>
      </c>
      <c r="F1598" s="179" t="n">
        <v>110824101343</v>
      </c>
      <c r="G1598" s="179" t="n">
        <v>110879963166</v>
      </c>
      <c r="H1598" s="179">
        <f>IFERROR(D1598+G1598,D1598)</f>
        <v/>
      </c>
      <c r="I1598" s="184">
        <f>IFERROR(D1598/H1598,"")</f>
        <v/>
      </c>
      <c r="J1598" s="179" t="n">
        <v>6577262116</v>
      </c>
      <c r="K1598" s="179" t="n">
        <v>13154524232</v>
      </c>
      <c r="L1598" s="179" t="n">
        <v>19731786348</v>
      </c>
    </row>
    <row r="1599" ht="15" customHeight="1" s="95">
      <c r="A1599" s="143" t="n">
        <v>45428</v>
      </c>
      <c r="B1599" s="146" t="n">
        <v>0.999597</v>
      </c>
      <c r="C1599" s="179" t="n">
        <v>33258596927</v>
      </c>
      <c r="D1599" s="179" t="n">
        <v>33271997417</v>
      </c>
      <c r="E1599" s="146" t="n">
        <v>0.999596</v>
      </c>
      <c r="F1599" s="179" t="n">
        <v>111085894494</v>
      </c>
      <c r="G1599" s="179" t="n">
        <v>111130820319</v>
      </c>
      <c r="H1599" s="179">
        <f>IFERROR(D1599+G1599,D1599)</f>
        <v/>
      </c>
      <c r="I1599" s="184">
        <f>IFERROR(D1599/H1599,"")</f>
        <v/>
      </c>
      <c r="J1599" s="179" t="n">
        <v>6654399483</v>
      </c>
      <c r="K1599" s="179" t="n">
        <v>13308798967</v>
      </c>
      <c r="L1599" s="179" t="n">
        <v>19963198450</v>
      </c>
    </row>
    <row r="1600" ht="15" customHeight="1" s="95">
      <c r="A1600" s="143" t="n">
        <v>45429</v>
      </c>
      <c r="B1600" s="146" t="n">
        <v>0.999706</v>
      </c>
      <c r="C1600" s="179" t="n">
        <v>33317330060</v>
      </c>
      <c r="D1600" s="179" t="n">
        <v>33327130686</v>
      </c>
      <c r="E1600" s="146" t="n">
        <v>0.999919</v>
      </c>
      <c r="F1600" s="179" t="n">
        <v>111196169794</v>
      </c>
      <c r="G1600" s="179" t="n">
        <v>111205215897</v>
      </c>
      <c r="H1600" s="179">
        <f>IFERROR(D1600+G1600,D1600)</f>
        <v/>
      </c>
      <c r="I1600" s="184">
        <f>IFERROR(D1600/H1600,"")</f>
        <v/>
      </c>
      <c r="J1600" s="179" t="n">
        <v>6665426137</v>
      </c>
      <c r="K1600" s="179" t="n">
        <v>13330852274</v>
      </c>
      <c r="L1600" s="179" t="n">
        <v>19996278412</v>
      </c>
    </row>
    <row r="1601" ht="15" customHeight="1" s="95">
      <c r="A1601" s="143" t="n">
        <v>45430</v>
      </c>
      <c r="B1601" s="146" t="n">
        <v>1.000915</v>
      </c>
      <c r="C1601" s="179" t="n">
        <v>33425258850</v>
      </c>
      <c r="D1601" s="179" t="n">
        <v>33394687092</v>
      </c>
      <c r="E1601" s="146" t="n">
        <v>1.001108</v>
      </c>
      <c r="F1601" s="179" t="n">
        <v>111243776375</v>
      </c>
      <c r="G1601" s="179" t="n">
        <v>111120635350</v>
      </c>
      <c r="H1601" s="179">
        <f>IFERROR(D1601+G1601,D1601)</f>
        <v/>
      </c>
      <c r="I1601" s="184">
        <f>IFERROR(D1601/H1601,"")</f>
        <v/>
      </c>
      <c r="J1601" s="179" t="n">
        <v>6678937418</v>
      </c>
      <c r="K1601" s="179" t="n">
        <v>13357874837</v>
      </c>
      <c r="L1601" s="179" t="n">
        <v>20036812255</v>
      </c>
    </row>
    <row r="1602" ht="15" customHeight="1" s="95">
      <c r="A1602" s="143" t="n">
        <v>45431</v>
      </c>
      <c r="B1602" s="146" t="n">
        <v>0.999252</v>
      </c>
      <c r="C1602" s="179" t="n">
        <v>33496396319</v>
      </c>
      <c r="D1602" s="179" t="n">
        <v>33521467625</v>
      </c>
      <c r="E1602" s="146" t="n">
        <v>0.9996620000000001</v>
      </c>
      <c r="F1602" s="179" t="n">
        <v>111359640225</v>
      </c>
      <c r="G1602" s="179" t="n">
        <v>111397334295</v>
      </c>
      <c r="H1602" s="179">
        <f>IFERROR(D1602+G1602,D1602)</f>
        <v/>
      </c>
      <c r="I1602" s="184">
        <f>IFERROR(D1602/H1602,"")</f>
        <v/>
      </c>
      <c r="J1602" s="179" t="n">
        <v>6704293525</v>
      </c>
      <c r="K1602" s="179" t="n">
        <v>13408587050</v>
      </c>
      <c r="L1602" s="179" t="n">
        <v>20112880575</v>
      </c>
    </row>
    <row r="1603" ht="15" customHeight="1" s="95">
      <c r="A1603" s="143" t="n">
        <v>45432</v>
      </c>
      <c r="B1603" s="146" t="n">
        <v>0.99997</v>
      </c>
      <c r="C1603" s="179" t="n">
        <v>33491726749</v>
      </c>
      <c r="D1603" s="179" t="n">
        <v>33492738380</v>
      </c>
      <c r="E1603" s="146" t="n">
        <v>0.999945</v>
      </c>
      <c r="F1603" s="179" t="n">
        <v>111417921223</v>
      </c>
      <c r="G1603" s="179" t="n">
        <v>111424006843</v>
      </c>
      <c r="H1603" s="179">
        <f>IFERROR(D1603+G1603,D1603)</f>
        <v/>
      </c>
      <c r="I1603" s="184">
        <f>IFERROR(D1603/H1603,"")</f>
        <v/>
      </c>
      <c r="J1603" s="179" t="n">
        <v>6698547676</v>
      </c>
      <c r="K1603" s="179" t="n">
        <v>13397095352</v>
      </c>
      <c r="L1603" s="179" t="n">
        <v>20095643028</v>
      </c>
    </row>
    <row r="1604" ht="15" customHeight="1" s="95">
      <c r="A1604" s="143" t="n">
        <v>45433</v>
      </c>
      <c r="B1604" s="146" t="n">
        <v>1.000167</v>
      </c>
      <c r="C1604" s="179" t="n">
        <v>33337716939</v>
      </c>
      <c r="D1604" s="179" t="n">
        <v>33332163643</v>
      </c>
      <c r="E1604" s="146" t="n">
        <v>1.000302</v>
      </c>
      <c r="F1604" s="179" t="n">
        <v>111437165600</v>
      </c>
      <c r="G1604" s="179" t="n">
        <v>111403575586</v>
      </c>
      <c r="H1604" s="179">
        <f>IFERROR(D1604+G1604,D1604)</f>
        <v/>
      </c>
      <c r="I1604" s="184">
        <f>IFERROR(D1604/H1604,"")</f>
        <v/>
      </c>
      <c r="J1604" s="179" t="n">
        <v>6666432729</v>
      </c>
      <c r="K1604" s="179" t="n">
        <v>13332865457</v>
      </c>
      <c r="L1604" s="179" t="n">
        <v>19999298186</v>
      </c>
    </row>
    <row r="1605" ht="15" customHeight="1" s="95">
      <c r="A1605" s="143" t="n">
        <v>45434</v>
      </c>
      <c r="B1605" s="146" t="n">
        <v>0.999735</v>
      </c>
      <c r="C1605" s="179" t="n">
        <v>33060634448</v>
      </c>
      <c r="D1605" s="179" t="n">
        <v>33069388063</v>
      </c>
      <c r="E1605" s="146" t="n">
        <v>0.998887</v>
      </c>
      <c r="F1605" s="179" t="n">
        <v>111349558834</v>
      </c>
      <c r="G1605" s="179" t="n">
        <v>111473587750</v>
      </c>
      <c r="H1605" s="179">
        <f>IFERROR(D1605+G1605,D1605)</f>
        <v/>
      </c>
      <c r="I1605" s="184">
        <f>IFERROR(D1605/H1605,"")</f>
        <v/>
      </c>
      <c r="J1605" s="179" t="n">
        <v>6613877613</v>
      </c>
      <c r="K1605" s="179" t="n">
        <v>13227755225</v>
      </c>
      <c r="L1605" s="179" t="n">
        <v>19841632838</v>
      </c>
    </row>
    <row r="1606" ht="15" customHeight="1" s="95">
      <c r="A1606" s="143" t="n">
        <v>45435</v>
      </c>
      <c r="B1606" s="146" t="n">
        <v>1.000244</v>
      </c>
      <c r="C1606" s="179" t="n">
        <v>33090585885</v>
      </c>
      <c r="D1606" s="179" t="n">
        <v>33082501568</v>
      </c>
      <c r="E1606" s="146" t="n">
        <v>0.9997779999999999</v>
      </c>
      <c r="F1606" s="179" t="n">
        <v>111691996591</v>
      </c>
      <c r="G1606" s="179" t="n">
        <v>111716839497</v>
      </c>
      <c r="H1606" s="179">
        <f>IFERROR(D1606+G1606,D1606)</f>
        <v/>
      </c>
      <c r="I1606" s="184">
        <f>IFERROR(D1606/H1606,"")</f>
        <v/>
      </c>
      <c r="J1606" s="179" t="n">
        <v>6616500314</v>
      </c>
      <c r="K1606" s="179" t="n">
        <v>13233000627</v>
      </c>
      <c r="L1606" s="179" t="n">
        <v>19849500941</v>
      </c>
    </row>
    <row r="1607" ht="15" customHeight="1" s="95">
      <c r="A1607" s="143" t="n">
        <v>45436</v>
      </c>
      <c r="B1607" s="146" t="n">
        <v>1.00045</v>
      </c>
      <c r="C1607" s="179" t="n">
        <v>32804752867</v>
      </c>
      <c r="D1607" s="179" t="n">
        <v>32790000632</v>
      </c>
      <c r="E1607" s="146" t="n">
        <v>0.999865</v>
      </c>
      <c r="F1607" s="179" t="n">
        <v>111764202935</v>
      </c>
      <c r="G1607" s="179" t="n">
        <v>111779325302</v>
      </c>
      <c r="H1607" s="179">
        <f>IFERROR(D1607+G1607,D1607)</f>
        <v/>
      </c>
      <c r="I1607" s="184">
        <f>IFERROR(D1607/H1607,"")</f>
        <v/>
      </c>
      <c r="J1607" s="179" t="n">
        <v>6558000126</v>
      </c>
      <c r="K1607" s="179" t="n">
        <v>13116000253</v>
      </c>
      <c r="L1607" s="179" t="n">
        <v>19674000379</v>
      </c>
    </row>
    <row r="1608" ht="15" customHeight="1" s="95">
      <c r="A1608" s="143" t="n">
        <v>45437</v>
      </c>
      <c r="B1608" s="146" t="n">
        <v>0.999787</v>
      </c>
      <c r="C1608" s="179" t="n">
        <v>32729172469</v>
      </c>
      <c r="D1608" s="179" t="n">
        <v>32736157272</v>
      </c>
      <c r="E1608" s="146" t="n">
        <v>0.999534</v>
      </c>
      <c r="F1608" s="179" t="n">
        <v>111803675088</v>
      </c>
      <c r="G1608" s="179" t="n">
        <v>111855848957</v>
      </c>
      <c r="H1608" s="179">
        <f>IFERROR(D1608+G1608,D1608)</f>
        <v/>
      </c>
      <c r="I1608" s="184">
        <f>IFERROR(D1608/H1608,"")</f>
        <v/>
      </c>
      <c r="J1608" s="179" t="n">
        <v>6547231454</v>
      </c>
      <c r="K1608" s="179" t="n">
        <v>13094462909</v>
      </c>
      <c r="L1608" s="179" t="n">
        <v>19641694363</v>
      </c>
    </row>
    <row r="1609" ht="15" customHeight="1" s="95">
      <c r="A1609" s="143" t="n">
        <v>45438</v>
      </c>
      <c r="B1609" s="146" t="n">
        <v>1.000048</v>
      </c>
      <c r="C1609" s="179" t="n">
        <v>32709493598</v>
      </c>
      <c r="D1609" s="179" t="n">
        <v>32707933643</v>
      </c>
      <c r="E1609" s="146" t="n">
        <v>0.999877</v>
      </c>
      <c r="F1609" s="179" t="n">
        <v>111889805136</v>
      </c>
      <c r="G1609" s="179" t="n">
        <v>111903554404</v>
      </c>
      <c r="H1609" s="179">
        <f>IFERROR(D1609+G1609,D1609)</f>
        <v/>
      </c>
      <c r="I1609" s="184">
        <f>IFERROR(D1609/H1609,"")</f>
        <v/>
      </c>
      <c r="J1609" s="179" t="n">
        <v>6541586729</v>
      </c>
      <c r="K1609" s="179" t="n">
        <v>13083173457</v>
      </c>
      <c r="L1609" s="179" t="n">
        <v>19624760186</v>
      </c>
    </row>
    <row r="1610" ht="15" customHeight="1" s="95">
      <c r="A1610" s="143" t="n">
        <v>45439</v>
      </c>
      <c r="B1610" s="146" t="n">
        <v>1.000201</v>
      </c>
      <c r="C1610" s="179" t="n">
        <v>32677165432</v>
      </c>
      <c r="D1610" s="179" t="n">
        <v>32670613489</v>
      </c>
      <c r="E1610" s="146" t="n">
        <v>0.999768</v>
      </c>
      <c r="F1610" s="179" t="n">
        <v>111943843747</v>
      </c>
      <c r="G1610" s="179" t="n">
        <v>111969842066</v>
      </c>
      <c r="H1610" s="179">
        <f>IFERROR(D1610+G1610,D1610)</f>
        <v/>
      </c>
      <c r="I1610" s="184">
        <f>IFERROR(D1610/H1610,"")</f>
        <v/>
      </c>
      <c r="J1610" s="179" t="n">
        <v>6534122698</v>
      </c>
      <c r="K1610" s="179" t="n">
        <v>13068245396</v>
      </c>
      <c r="L1610" s="179" t="n">
        <v>19602368093</v>
      </c>
    </row>
    <row r="1611" ht="15" customHeight="1" s="95">
      <c r="A1611" s="143" t="n">
        <v>45440</v>
      </c>
      <c r="B1611" s="146" t="n">
        <v>1.000176</v>
      </c>
      <c r="C1611" s="179" t="n">
        <v>32567668884</v>
      </c>
      <c r="D1611" s="179" t="n">
        <v>32561938827</v>
      </c>
      <c r="E1611" s="146" t="n">
        <v>0.999258</v>
      </c>
      <c r="F1611" s="179" t="n">
        <v>111876918242</v>
      </c>
      <c r="G1611" s="179" t="n">
        <v>111960006058</v>
      </c>
      <c r="H1611" s="179">
        <f>IFERROR(D1611+G1611,D1611)</f>
        <v/>
      </c>
      <c r="I1611" s="184">
        <f>IFERROR(D1611/H1611,"")</f>
        <v/>
      </c>
      <c r="J1611" s="179" t="n">
        <v>6512387765</v>
      </c>
      <c r="K1611" s="179" t="n">
        <v>13024775531</v>
      </c>
      <c r="L1611" s="179" t="n">
        <v>19537163296</v>
      </c>
    </row>
    <row r="1612" ht="15" customHeight="1" s="95">
      <c r="A1612" s="143" t="n">
        <v>45441</v>
      </c>
      <c r="B1612" s="146" t="n">
        <v>0.99978</v>
      </c>
      <c r="C1612" s="179" t="n">
        <v>32306841841</v>
      </c>
      <c r="D1612" s="179" t="n">
        <v>32313957291</v>
      </c>
      <c r="E1612" s="146" t="n">
        <v>0.998849</v>
      </c>
      <c r="F1612" s="179" t="n">
        <v>111848018348</v>
      </c>
      <c r="G1612" s="179" t="n">
        <v>111976890726</v>
      </c>
      <c r="H1612" s="179">
        <f>IFERROR(D1612+G1612,D1612)</f>
        <v/>
      </c>
      <c r="I1612" s="184">
        <f>IFERROR(D1612/H1612,"")</f>
        <v/>
      </c>
      <c r="J1612" s="179" t="n">
        <v>6462791458</v>
      </c>
      <c r="K1612" s="179" t="n">
        <v>12925582916</v>
      </c>
      <c r="L1612" s="179" t="n">
        <v>19388374375</v>
      </c>
    </row>
    <row r="1613" ht="15" customHeight="1" s="95">
      <c r="A1613" s="143" t="n">
        <v>45442</v>
      </c>
      <c r="B1613" s="146" t="n">
        <v>0.999954</v>
      </c>
      <c r="C1613" s="179" t="n">
        <v>32190529642</v>
      </c>
      <c r="D1613" s="179" t="n">
        <v>32192009692</v>
      </c>
      <c r="E1613" s="146" t="n">
        <v>0.998923</v>
      </c>
      <c r="F1613" s="179" t="n">
        <v>111820341327</v>
      </c>
      <c r="G1613" s="179" t="n">
        <v>111940912065</v>
      </c>
      <c r="H1613" s="179">
        <f>IFERROR(D1613+G1613,D1613)</f>
        <v/>
      </c>
      <c r="I1613" s="184">
        <f>IFERROR(D1613/H1613,"")</f>
        <v/>
      </c>
      <c r="J1613" s="179" t="n">
        <v>6438401938</v>
      </c>
      <c r="K1613" s="179" t="n">
        <v>12876803877</v>
      </c>
      <c r="L1613" s="179" t="n">
        <v>19315205815</v>
      </c>
    </row>
    <row r="1614" ht="15" customHeight="1" s="95">
      <c r="A1614" s="143" t="n">
        <v>45443</v>
      </c>
      <c r="B1614" s="146" t="n">
        <v>1.000025</v>
      </c>
      <c r="C1614" s="179" t="n">
        <v>32375963767</v>
      </c>
      <c r="D1614" s="179" t="n">
        <v>32375144849</v>
      </c>
      <c r="E1614" s="146" t="n">
        <v>0.999521</v>
      </c>
      <c r="F1614" s="179" t="n">
        <v>111910136577</v>
      </c>
      <c r="G1614" s="179" t="n">
        <v>111963763435</v>
      </c>
      <c r="H1614" s="179">
        <f>IFERROR(D1614+G1614,D1614)</f>
        <v/>
      </c>
      <c r="I1614" s="184">
        <f>IFERROR(D1614/H1614,"")</f>
        <v/>
      </c>
      <c r="J1614" s="179" t="n">
        <v>6475028970</v>
      </c>
      <c r="K1614" s="179" t="n">
        <v>12950057940</v>
      </c>
      <c r="L1614" s="179" t="n">
        <v>19425086909</v>
      </c>
    </row>
    <row r="1615" ht="15" customHeight="1" s="95">
      <c r="A1615" s="143" t="n">
        <v>45444</v>
      </c>
      <c r="B1615" s="146" t="n">
        <v>1.000073</v>
      </c>
      <c r="C1615" s="179" t="n">
        <v>32396923635</v>
      </c>
      <c r="D1615" s="179" t="n">
        <v>32394566623</v>
      </c>
      <c r="E1615" s="146" t="n">
        <v>0.99921</v>
      </c>
      <c r="F1615" s="179" t="n">
        <v>111944442929</v>
      </c>
      <c r="G1615" s="179" t="n">
        <v>112032927830</v>
      </c>
      <c r="H1615" s="179">
        <f>IFERROR(D1615+G1615,D1615)</f>
        <v/>
      </c>
      <c r="I1615" s="184">
        <f>IFERROR(D1615/H1615,"")</f>
        <v/>
      </c>
      <c r="J1615" s="179" t="n">
        <v>6478913325</v>
      </c>
      <c r="K1615" s="179" t="n">
        <v>12957826649</v>
      </c>
      <c r="L1615" s="179" t="n">
        <v>19436739974</v>
      </c>
    </row>
    <row r="1616" ht="15" customHeight="1" s="95">
      <c r="A1616" s="143" t="n">
        <v>45445</v>
      </c>
      <c r="B1616" s="146" t="n">
        <v>1.000075</v>
      </c>
      <c r="C1616" s="179" t="n">
        <v>32367745923</v>
      </c>
      <c r="D1616" s="179" t="n">
        <v>32365311734</v>
      </c>
      <c r="E1616" s="146" t="n">
        <v>0.999377</v>
      </c>
      <c r="F1616" s="179" t="n">
        <v>112022209734</v>
      </c>
      <c r="G1616" s="179" t="n">
        <v>112092055514</v>
      </c>
      <c r="H1616" s="179">
        <f>IFERROR(D1616+G1616,D1616)</f>
        <v/>
      </c>
      <c r="I1616" s="184">
        <f>IFERROR(D1616/H1616,"")</f>
        <v/>
      </c>
      <c r="J1616" s="179" t="n">
        <v>6473062347</v>
      </c>
      <c r="K1616" s="179" t="n">
        <v>12946124694</v>
      </c>
      <c r="L1616" s="179" t="n">
        <v>19419187040</v>
      </c>
    </row>
    <row r="1617" ht="15" customHeight="1" s="95">
      <c r="A1617" s="143" t="n">
        <v>45446</v>
      </c>
      <c r="B1617" s="146" t="n">
        <v>0.999604</v>
      </c>
      <c r="C1617" s="179" t="n">
        <v>32354357472</v>
      </c>
      <c r="D1617" s="179" t="n">
        <v>32367169618</v>
      </c>
      <c r="E1617" s="146" t="n">
        <v>0.999345</v>
      </c>
      <c r="F1617" s="179" t="n">
        <v>112171060130</v>
      </c>
      <c r="G1617" s="179" t="n">
        <v>112244622582</v>
      </c>
      <c r="H1617" s="179">
        <f>IFERROR(D1617+G1617,D1617)</f>
        <v/>
      </c>
      <c r="I1617" s="184">
        <f>IFERROR(D1617/H1617,"")</f>
        <v/>
      </c>
      <c r="J1617" s="179" t="n">
        <v>6473433924</v>
      </c>
      <c r="K1617" s="179" t="n">
        <v>12946867847</v>
      </c>
      <c r="L1617" s="179" t="n">
        <v>19420301771</v>
      </c>
    </row>
    <row r="1618" ht="15" customHeight="1" s="95">
      <c r="A1618" s="143" t="n">
        <v>45447</v>
      </c>
      <c r="B1618" s="146" t="n">
        <v>1.000168</v>
      </c>
      <c r="C1618" s="179" t="n">
        <v>32339406177</v>
      </c>
      <c r="D1618" s="179" t="n">
        <v>32333983060</v>
      </c>
      <c r="E1618" s="146" t="n">
        <v>0.999884</v>
      </c>
      <c r="F1618" s="179" t="n">
        <v>112142019565</v>
      </c>
      <c r="G1618" s="179" t="n">
        <v>112155074935</v>
      </c>
      <c r="H1618" s="179">
        <f>IFERROR(D1618+G1618,D1618)</f>
        <v/>
      </c>
      <c r="I1618" s="184">
        <f>IFERROR(D1618/H1618,"")</f>
        <v/>
      </c>
      <c r="J1618" s="179" t="n">
        <v>6466796612</v>
      </c>
      <c r="K1618" s="179" t="n">
        <v>12933593224</v>
      </c>
      <c r="L1618" s="179" t="n">
        <v>19400389836</v>
      </c>
    </row>
    <row r="1619" ht="15" customHeight="1" s="95">
      <c r="A1619" s="143" t="n">
        <v>45448</v>
      </c>
      <c r="B1619" s="146" t="n">
        <v>1.000233</v>
      </c>
      <c r="C1619" s="179" t="n">
        <v>32390252775</v>
      </c>
      <c r="D1619" s="179" t="n">
        <v>32382706345</v>
      </c>
      <c r="E1619" s="146" t="n">
        <v>1.000157</v>
      </c>
      <c r="F1619" s="179" t="n">
        <v>112281746542</v>
      </c>
      <c r="G1619" s="179" t="n">
        <v>112264161366</v>
      </c>
      <c r="H1619" s="179">
        <f>IFERROR(D1619+G1619,D1619)</f>
        <v/>
      </c>
      <c r="I1619" s="184">
        <f>IFERROR(D1619/H1619,"")</f>
        <v/>
      </c>
      <c r="J1619" s="179" t="n">
        <v>6476541269</v>
      </c>
      <c r="K1619" s="179" t="n">
        <v>12953082538</v>
      </c>
      <c r="L1619" s="179" t="n">
        <v>19429623807</v>
      </c>
    </row>
    <row r="1620" ht="15" customHeight="1" s="95">
      <c r="A1620" s="143" t="n">
        <v>45449</v>
      </c>
      <c r="B1620" s="146" t="n">
        <v>1.000322</v>
      </c>
      <c r="C1620" s="179" t="n">
        <v>32520410551</v>
      </c>
      <c r="D1620" s="179" t="n">
        <v>32509932592</v>
      </c>
      <c r="E1620" s="146" t="n">
        <v>1.000756</v>
      </c>
      <c r="F1620" s="179" t="n">
        <v>112346421995</v>
      </c>
      <c r="G1620" s="179" t="n">
        <v>112261595794</v>
      </c>
      <c r="H1620" s="179">
        <f>IFERROR(D1620+G1620,D1620)</f>
        <v/>
      </c>
      <c r="I1620" s="184">
        <f>IFERROR(D1620/H1620,"")</f>
        <v/>
      </c>
      <c r="J1620" s="179" t="n">
        <v>6501986518</v>
      </c>
      <c r="K1620" s="179" t="n">
        <v>13003973037</v>
      </c>
      <c r="L1620" s="179" t="n">
        <v>19505959555</v>
      </c>
    </row>
    <row r="1621" ht="15" customHeight="1" s="95">
      <c r="A1621" s="143" t="n">
        <v>45450</v>
      </c>
      <c r="B1621" s="146" t="n">
        <v>0.999933</v>
      </c>
      <c r="C1621" s="179" t="n">
        <v>32541973946</v>
      </c>
      <c r="D1621" s="179" t="n">
        <v>32544162115</v>
      </c>
      <c r="E1621" s="146" t="n">
        <v>0.999556</v>
      </c>
      <c r="F1621" s="179" t="n">
        <v>112325076097</v>
      </c>
      <c r="G1621" s="179" t="n">
        <v>112374992891</v>
      </c>
      <c r="H1621" s="179">
        <f>IFERROR(D1621+G1621,D1621)</f>
        <v/>
      </c>
      <c r="I1621" s="184">
        <f>IFERROR(D1621/H1621,"")</f>
        <v/>
      </c>
      <c r="J1621" s="179" t="n">
        <v>6508832423</v>
      </c>
      <c r="K1621" s="179" t="n">
        <v>13017664846</v>
      </c>
      <c r="L1621" s="179" t="n">
        <v>19526497269</v>
      </c>
    </row>
    <row r="1622" ht="15" customHeight="1" s="95">
      <c r="A1622" s="143" t="n">
        <v>45451</v>
      </c>
      <c r="B1622" s="146" t="n">
        <v>0.999985</v>
      </c>
      <c r="C1622" s="179" t="n">
        <v>32227451040</v>
      </c>
      <c r="D1622" s="179" t="n">
        <v>32227923468</v>
      </c>
      <c r="E1622" s="146" t="n">
        <v>0.999594</v>
      </c>
      <c r="F1622" s="179" t="n">
        <v>112411365894</v>
      </c>
      <c r="G1622" s="179" t="n">
        <v>112457052412</v>
      </c>
      <c r="H1622" s="179">
        <f>IFERROR(D1622+G1622,D1622)</f>
        <v/>
      </c>
      <c r="I1622" s="184">
        <f>IFERROR(D1622/H1622,"")</f>
        <v/>
      </c>
      <c r="J1622" s="179" t="n">
        <v>6445584694</v>
      </c>
      <c r="K1622" s="179" t="n">
        <v>12891169387</v>
      </c>
      <c r="L1622" s="179" t="n">
        <v>19336754081</v>
      </c>
    </row>
    <row r="1623" ht="15" customHeight="1" s="95">
      <c r="A1623" s="143" t="n">
        <v>45452</v>
      </c>
      <c r="B1623" s="146" t="n">
        <v>1.000012</v>
      </c>
      <c r="C1623" s="179" t="n">
        <v>32175456489</v>
      </c>
      <c r="D1623" s="179" t="n">
        <v>32175068704</v>
      </c>
      <c r="E1623" s="146" t="n">
        <v>0.999938</v>
      </c>
      <c r="F1623" s="179" t="n">
        <v>112446413981</v>
      </c>
      <c r="G1623" s="179" t="n">
        <v>112453349838</v>
      </c>
      <c r="H1623" s="179">
        <f>IFERROR(D1623+G1623,D1623)</f>
        <v/>
      </c>
      <c r="I1623" s="184">
        <f>IFERROR(D1623/H1623,"")</f>
        <v/>
      </c>
      <c r="J1623" s="179" t="n">
        <v>6435013741</v>
      </c>
      <c r="K1623" s="179" t="n">
        <v>12870027482</v>
      </c>
      <c r="L1623" s="179" t="n">
        <v>19305041222</v>
      </c>
    </row>
    <row r="1624" ht="15" customHeight="1" s="95">
      <c r="A1624" s="143" t="n">
        <v>45453</v>
      </c>
      <c r="B1624" s="146" t="n">
        <v>1.000074</v>
      </c>
      <c r="C1624" s="179" t="n">
        <v>32222464556</v>
      </c>
      <c r="D1624" s="179" t="n">
        <v>32220094693</v>
      </c>
      <c r="E1624" s="146" t="n">
        <v>1.000066</v>
      </c>
      <c r="F1624" s="179" t="n">
        <v>112447581346</v>
      </c>
      <c r="G1624" s="179" t="n">
        <v>112440208931</v>
      </c>
      <c r="H1624" s="179">
        <f>IFERROR(D1624+G1624,D1624)</f>
        <v/>
      </c>
      <c r="I1624" s="184">
        <f>IFERROR(D1624/H1624,"")</f>
        <v/>
      </c>
      <c r="J1624" s="179" t="n">
        <v>6444018939</v>
      </c>
      <c r="K1624" s="179" t="n">
        <v>12888037877</v>
      </c>
      <c r="L1624" s="179" t="n">
        <v>19332056816</v>
      </c>
    </row>
    <row r="1625" ht="15" customHeight="1" s="95">
      <c r="A1625" s="143" t="n">
        <v>45454</v>
      </c>
      <c r="B1625" s="146" t="n">
        <v>1.000227</v>
      </c>
      <c r="C1625" s="179" t="n">
        <v>32110381804</v>
      </c>
      <c r="D1625" s="179" t="n">
        <v>32103100057</v>
      </c>
      <c r="E1625" s="146" t="n">
        <v>0.999722</v>
      </c>
      <c r="F1625" s="179" t="n">
        <v>112426710109</v>
      </c>
      <c r="G1625" s="179" t="n">
        <v>112458014625</v>
      </c>
      <c r="H1625" s="179">
        <f>IFERROR(D1625+G1625,D1625)</f>
        <v/>
      </c>
      <c r="I1625" s="184">
        <f>IFERROR(D1625/H1625,"")</f>
        <v/>
      </c>
      <c r="J1625" s="179" t="n">
        <v>6420620011</v>
      </c>
      <c r="K1625" s="179" t="n">
        <v>12841240023</v>
      </c>
      <c r="L1625" s="179" t="n">
        <v>19261860034</v>
      </c>
    </row>
    <row r="1626" ht="15" customHeight="1" s="95">
      <c r="A1626" s="143" t="n">
        <v>45455</v>
      </c>
      <c r="B1626" s="146" t="n">
        <v>0.999893</v>
      </c>
      <c r="C1626" s="179" t="n">
        <v>32134142046</v>
      </c>
      <c r="D1626" s="179" t="n">
        <v>32137591089</v>
      </c>
      <c r="E1626" s="146" t="n">
        <v>0.999707</v>
      </c>
      <c r="F1626" s="179" t="n">
        <v>112470603685</v>
      </c>
      <c r="G1626" s="179" t="n">
        <v>112503584288</v>
      </c>
      <c r="H1626" s="179">
        <f>IFERROR(D1626+G1626,D1626)</f>
        <v/>
      </c>
      <c r="I1626" s="184">
        <f>IFERROR(D1626/H1626,"")</f>
        <v/>
      </c>
      <c r="J1626" s="179" t="n">
        <v>6427518218</v>
      </c>
      <c r="K1626" s="179" t="n">
        <v>12855036436</v>
      </c>
      <c r="L1626" s="179" t="n">
        <v>19282554653</v>
      </c>
    </row>
    <row r="1627" ht="15" customHeight="1" s="95">
      <c r="A1627" s="143" t="n">
        <v>45456</v>
      </c>
      <c r="B1627" s="146" t="n">
        <v>0.999927</v>
      </c>
      <c r="C1627" s="179" t="n">
        <v>32405579327</v>
      </c>
      <c r="D1627" s="179" t="n">
        <v>32407935480</v>
      </c>
      <c r="E1627" s="146" t="n">
        <v>0.999637</v>
      </c>
      <c r="F1627" s="179" t="n">
        <v>112467405781</v>
      </c>
      <c r="G1627" s="179" t="n">
        <v>112508218126</v>
      </c>
      <c r="H1627" s="179">
        <f>IFERROR(D1627+G1627,D1627)</f>
        <v/>
      </c>
      <c r="I1627" s="184">
        <f>IFERROR(D1627/H1627,"")</f>
        <v/>
      </c>
      <c r="J1627" s="179" t="n">
        <v>6481587096</v>
      </c>
      <c r="K1627" s="179" t="n">
        <v>12963174192</v>
      </c>
      <c r="L1627" s="179" t="n">
        <v>19444761288</v>
      </c>
    </row>
    <row r="1628" ht="15" customHeight="1" s="95">
      <c r="A1628" s="143" t="n">
        <v>45457</v>
      </c>
      <c r="B1628" s="146" t="n">
        <v>0.999106</v>
      </c>
      <c r="C1628" s="179" t="n">
        <v>32545946008</v>
      </c>
      <c r="D1628" s="179" t="n">
        <v>32575082110</v>
      </c>
      <c r="E1628" s="146" t="n">
        <v>0.9990790000000001</v>
      </c>
      <c r="F1628" s="179" t="n">
        <v>112494742935</v>
      </c>
      <c r="G1628" s="179" t="n">
        <v>112598486916</v>
      </c>
      <c r="H1628" s="179">
        <f>IFERROR(D1628+G1628,D1628)</f>
        <v/>
      </c>
      <c r="I1628" s="184">
        <f>IFERROR(D1628/H1628,"")</f>
        <v/>
      </c>
      <c r="J1628" s="179" t="n">
        <v>6515016422</v>
      </c>
      <c r="K1628" s="179" t="n">
        <v>13030032844</v>
      </c>
      <c r="L1628" s="179" t="n">
        <v>19545049266</v>
      </c>
    </row>
    <row r="1629" ht="15" customHeight="1" s="95">
      <c r="A1629" s="143" t="n">
        <v>45458</v>
      </c>
      <c r="B1629" s="146" t="n">
        <v>0.999905</v>
      </c>
      <c r="C1629" s="179" t="n">
        <v>32411194691</v>
      </c>
      <c r="D1629" s="179" t="n">
        <v>32414285549</v>
      </c>
      <c r="E1629" s="146" t="n">
        <v>0.999367</v>
      </c>
      <c r="F1629" s="179" t="n">
        <v>112546470868</v>
      </c>
      <c r="G1629" s="179" t="n">
        <v>112617797707</v>
      </c>
      <c r="H1629" s="179">
        <f>IFERROR(D1629+G1629,D1629)</f>
        <v/>
      </c>
      <c r="I1629" s="184">
        <f>IFERROR(D1629/H1629,"")</f>
        <v/>
      </c>
      <c r="J1629" s="179" t="n">
        <v>6482857110</v>
      </c>
      <c r="K1629" s="179" t="n">
        <v>12965714220</v>
      </c>
      <c r="L1629" s="179" t="n">
        <v>19448571329</v>
      </c>
    </row>
    <row r="1630" ht="15" customHeight="1" s="95">
      <c r="A1630" s="143" t="n">
        <v>45459</v>
      </c>
      <c r="B1630" s="146" t="n">
        <v>1.000009</v>
      </c>
      <c r="C1630" s="179" t="n">
        <v>32434944846</v>
      </c>
      <c r="D1630" s="179" t="n">
        <v>32434658299</v>
      </c>
      <c r="E1630" s="146" t="n">
        <v>0.999372</v>
      </c>
      <c r="F1630" s="179" t="n">
        <v>112478658243</v>
      </c>
      <c r="G1630" s="179" t="n">
        <v>112549383058</v>
      </c>
      <c r="H1630" s="179">
        <f>IFERROR(D1630+G1630,D1630)</f>
        <v/>
      </c>
      <c r="I1630" s="184">
        <f>IFERROR(D1630/H1630,"")</f>
        <v/>
      </c>
      <c r="J1630" s="179" t="n">
        <v>6486931660</v>
      </c>
      <c r="K1630" s="179" t="n">
        <v>12973863320</v>
      </c>
      <c r="L1630" s="179" t="n">
        <v>19460794979</v>
      </c>
    </row>
    <row r="1631" ht="15" customHeight="1" s="95">
      <c r="A1631" s="143" t="n">
        <v>45460</v>
      </c>
      <c r="B1631" s="146" t="n">
        <v>0.999802</v>
      </c>
      <c r="C1631" s="179" t="n">
        <v>32518980743</v>
      </c>
      <c r="D1631" s="179" t="n">
        <v>32525423803</v>
      </c>
      <c r="E1631" s="146" t="n">
        <v>0.999263</v>
      </c>
      <c r="F1631" s="179" t="n">
        <v>112505590399</v>
      </c>
      <c r="G1631" s="179" t="n">
        <v>112588524562</v>
      </c>
      <c r="H1631" s="179">
        <f>IFERROR(D1631+G1631,D1631)</f>
        <v/>
      </c>
      <c r="I1631" s="184">
        <f>IFERROR(D1631/H1631,"")</f>
        <v/>
      </c>
      <c r="J1631" s="179" t="n">
        <v>6505084761</v>
      </c>
      <c r="K1631" s="179" t="n">
        <v>13010169521</v>
      </c>
      <c r="L1631" s="179" t="n">
        <v>19515254282</v>
      </c>
    </row>
    <row r="1632" ht="15" customHeight="1" s="95">
      <c r="A1632" s="143" t="n">
        <v>45461</v>
      </c>
      <c r="B1632" s="146" t="n">
        <v>1.000289</v>
      </c>
      <c r="C1632" s="179" t="n">
        <v>32483099463</v>
      </c>
      <c r="D1632" s="179" t="n">
        <v>32473715717</v>
      </c>
      <c r="E1632" s="146" t="n">
        <v>0.99963</v>
      </c>
      <c r="F1632" s="179" t="n">
        <v>112484967919</v>
      </c>
      <c r="G1632" s="179" t="n">
        <v>112526571442</v>
      </c>
      <c r="H1632" s="179">
        <f>IFERROR(D1632+G1632,D1632)</f>
        <v/>
      </c>
      <c r="I1632" s="184">
        <f>IFERROR(D1632/H1632,"")</f>
        <v/>
      </c>
      <c r="J1632" s="179" t="n">
        <v>6494743143</v>
      </c>
      <c r="K1632" s="179" t="n">
        <v>12989486287</v>
      </c>
      <c r="L1632" s="179" t="n">
        <v>19484229430</v>
      </c>
    </row>
    <row r="1633" ht="15" customHeight="1" s="95">
      <c r="A1633" s="143" t="n">
        <v>45462</v>
      </c>
      <c r="B1633" s="146" t="n">
        <v>1.000379</v>
      </c>
      <c r="C1633" s="179" t="n">
        <v>32796330231</v>
      </c>
      <c r="D1633" s="179" t="n">
        <v>32783909583</v>
      </c>
      <c r="E1633" s="146" t="n">
        <v>0.9999169999999999</v>
      </c>
      <c r="F1633" s="179" t="n">
        <v>112466787566</v>
      </c>
      <c r="G1633" s="179" t="n">
        <v>112476089096</v>
      </c>
      <c r="H1633" s="179">
        <f>IFERROR(D1633+G1633,D1633)</f>
        <v/>
      </c>
      <c r="I1633" s="184">
        <f>IFERROR(D1633/H1633,"")</f>
        <v/>
      </c>
      <c r="J1633" s="179" t="n">
        <v>6556781917</v>
      </c>
      <c r="K1633" s="179" t="n">
        <v>13113563833</v>
      </c>
      <c r="L1633" s="179" t="n">
        <v>19670345750</v>
      </c>
    </row>
    <row r="1634" ht="15" customHeight="1" s="95">
      <c r="A1634" s="143" t="n">
        <v>45463</v>
      </c>
      <c r="B1634" s="146" t="n">
        <v>1.00024</v>
      </c>
      <c r="C1634" s="179" t="n">
        <v>32828754602</v>
      </c>
      <c r="D1634" s="179" t="n">
        <v>32820872509</v>
      </c>
      <c r="E1634" s="146" t="n">
        <v>0.999938</v>
      </c>
      <c r="F1634" s="179" t="n">
        <v>112574268895</v>
      </c>
      <c r="G1634" s="179" t="n">
        <v>112581261461</v>
      </c>
      <c r="H1634" s="179">
        <f>IFERROR(D1634+G1634,D1634)</f>
        <v/>
      </c>
      <c r="I1634" s="184">
        <f>IFERROR(D1634/H1634,"")</f>
        <v/>
      </c>
      <c r="J1634" s="179" t="n">
        <v>6564174502</v>
      </c>
      <c r="K1634" s="179" t="n">
        <v>13128349004</v>
      </c>
      <c r="L1634" s="179" t="n">
        <v>19692523505</v>
      </c>
    </row>
    <row r="1635" ht="15" customHeight="1" s="95">
      <c r="A1635" s="143" t="n">
        <v>45464</v>
      </c>
      <c r="B1635" s="146" t="n">
        <v>0.999476</v>
      </c>
      <c r="C1635" s="179" t="n">
        <v>32649173401</v>
      </c>
      <c r="D1635" s="179" t="n">
        <v>32666299239</v>
      </c>
      <c r="E1635" s="146" t="n">
        <v>0.99905</v>
      </c>
      <c r="F1635" s="179" t="n">
        <v>112812642970</v>
      </c>
      <c r="G1635" s="179" t="n">
        <v>112919868770</v>
      </c>
      <c r="H1635" s="179">
        <f>IFERROR(D1635+G1635,D1635)</f>
        <v/>
      </c>
      <c r="I1635" s="184">
        <f>IFERROR(D1635/H1635,"")</f>
        <v/>
      </c>
      <c r="J1635" s="179" t="n">
        <v>6533259848</v>
      </c>
      <c r="K1635" s="179" t="n">
        <v>13066519696</v>
      </c>
      <c r="L1635" s="179" t="n">
        <v>19599779543</v>
      </c>
    </row>
    <row r="1636" ht="15" customHeight="1" s="95">
      <c r="A1636" s="143" t="n">
        <v>45465</v>
      </c>
      <c r="B1636" s="146" t="n">
        <v>1.000029</v>
      </c>
      <c r="C1636" s="179" t="n">
        <v>32719370077</v>
      </c>
      <c r="D1636" s="179" t="n">
        <v>32718423043</v>
      </c>
      <c r="E1636" s="146" t="n">
        <v>0.999555</v>
      </c>
      <c r="F1636" s="179" t="n">
        <v>112842896834</v>
      </c>
      <c r="G1636" s="179" t="n">
        <v>112893109191</v>
      </c>
      <c r="H1636" s="179">
        <f>IFERROR(D1636+G1636,D1636)</f>
        <v/>
      </c>
      <c r="I1636" s="184">
        <f>IFERROR(D1636/H1636,"")</f>
        <v/>
      </c>
      <c r="J1636" s="179" t="n">
        <v>6543684609</v>
      </c>
      <c r="K1636" s="179" t="n">
        <v>13087369217</v>
      </c>
      <c r="L1636" s="179" t="n">
        <v>19631053826</v>
      </c>
    </row>
    <row r="1637" ht="15" customHeight="1" s="95">
      <c r="A1637" s="143" t="n">
        <v>45466</v>
      </c>
      <c r="B1637" s="146" t="n">
        <v>0.999907</v>
      </c>
      <c r="C1637" s="179" t="n">
        <v>32740612029</v>
      </c>
      <c r="D1637" s="179" t="n">
        <v>32743670593</v>
      </c>
      <c r="E1637" s="146" t="n">
        <v>0.999506</v>
      </c>
      <c r="F1637" s="179" t="n">
        <v>112879995149</v>
      </c>
      <c r="G1637" s="179" t="n">
        <v>112935830895</v>
      </c>
      <c r="H1637" s="179">
        <f>IFERROR(D1637+G1637,D1637)</f>
        <v/>
      </c>
      <c r="I1637" s="184">
        <f>IFERROR(D1637/H1637,"")</f>
        <v/>
      </c>
      <c r="J1637" s="179" t="n">
        <v>6548734119</v>
      </c>
      <c r="K1637" s="179" t="n">
        <v>13097468237</v>
      </c>
      <c r="L1637" s="179" t="n">
        <v>19646202356</v>
      </c>
    </row>
    <row r="1638" ht="15" customHeight="1" s="95">
      <c r="A1638" s="143" t="n">
        <v>45467</v>
      </c>
      <c r="B1638" s="146" t="n">
        <v>0.999383</v>
      </c>
      <c r="C1638" s="179" t="n">
        <v>32706221399</v>
      </c>
      <c r="D1638" s="179" t="n">
        <v>32726407861</v>
      </c>
      <c r="E1638" s="146" t="n">
        <v>0.998949</v>
      </c>
      <c r="F1638" s="179" t="n">
        <v>112889309017</v>
      </c>
      <c r="G1638" s="179" t="n">
        <v>113008023983</v>
      </c>
      <c r="H1638" s="179">
        <f>IFERROR(D1638+G1638,D1638)</f>
        <v/>
      </c>
      <c r="I1638" s="184">
        <f>IFERROR(D1638/H1638,"")</f>
        <v/>
      </c>
      <c r="J1638" s="179" t="n">
        <v>6545281572</v>
      </c>
      <c r="K1638" s="179" t="n">
        <v>13090563144</v>
      </c>
      <c r="L1638" s="179" t="n">
        <v>19635844717</v>
      </c>
    </row>
    <row r="1639" ht="15" customHeight="1" s="95">
      <c r="A1639" s="143" t="n">
        <v>45468</v>
      </c>
      <c r="B1639" s="146" t="n">
        <v>1.000351</v>
      </c>
      <c r="C1639" s="179" t="n">
        <v>32550716328</v>
      </c>
      <c r="D1639" s="179" t="n">
        <v>32539291585</v>
      </c>
      <c r="E1639" s="146" t="n">
        <v>0.999829</v>
      </c>
      <c r="F1639" s="179" t="n">
        <v>112854331672</v>
      </c>
      <c r="G1639" s="179" t="n">
        <v>112873681861</v>
      </c>
      <c r="H1639" s="179">
        <f>IFERROR(D1639+G1639,D1639)</f>
        <v/>
      </c>
      <c r="I1639" s="184">
        <f>IFERROR(D1639/H1639,"")</f>
        <v/>
      </c>
      <c r="J1639" s="179" t="n">
        <v>6507858317</v>
      </c>
      <c r="K1639" s="179" t="n">
        <v>13015716634</v>
      </c>
      <c r="L1639" s="179" t="n">
        <v>19523574951</v>
      </c>
    </row>
    <row r="1640" ht="15" customHeight="1" s="95">
      <c r="A1640" s="143" t="n">
        <v>45469</v>
      </c>
      <c r="B1640" s="146" t="n">
        <v>1.000295</v>
      </c>
      <c r="C1640" s="179" t="n">
        <v>32842736236</v>
      </c>
      <c r="D1640" s="179" t="n">
        <v>32833056750</v>
      </c>
      <c r="E1640" s="146" t="n">
        <v>0.999919</v>
      </c>
      <c r="F1640" s="179" t="n">
        <v>112916220647</v>
      </c>
      <c r="G1640" s="179" t="n">
        <v>112925414535</v>
      </c>
      <c r="H1640" s="179">
        <f>IFERROR(D1640+G1640,D1640)</f>
        <v/>
      </c>
      <c r="I1640" s="184">
        <f>IFERROR(D1640/H1640,"")</f>
        <v/>
      </c>
      <c r="J1640" s="179" t="n">
        <v>6566611350</v>
      </c>
      <c r="K1640" s="179" t="n">
        <v>13133222700</v>
      </c>
      <c r="L1640" s="179" t="n">
        <v>19699834050</v>
      </c>
    </row>
    <row r="1641" ht="15" customHeight="1" s="95">
      <c r="A1641" s="143" t="n">
        <v>45470</v>
      </c>
      <c r="B1641" s="146" t="n">
        <v>0.999756</v>
      </c>
      <c r="C1641" s="179" t="n">
        <v>32968624993</v>
      </c>
      <c r="D1641" s="179" t="n">
        <v>32976657973</v>
      </c>
      <c r="E1641" s="146" t="n">
        <v>0.999178</v>
      </c>
      <c r="F1641" s="179" t="n">
        <v>112747052708</v>
      </c>
      <c r="G1641" s="179" t="n">
        <v>112839818355</v>
      </c>
      <c r="H1641" s="179">
        <f>IFERROR(D1641+G1641,D1641)</f>
        <v/>
      </c>
      <c r="I1641" s="184">
        <f>IFERROR(D1641/H1641,"")</f>
        <v/>
      </c>
      <c r="J1641" s="179" t="n">
        <v>6595331595</v>
      </c>
      <c r="K1641" s="179" t="n">
        <v>13190663189</v>
      </c>
      <c r="L1641" s="179" t="n">
        <v>19785994784</v>
      </c>
    </row>
    <row r="1642" ht="15" customHeight="1" s="95">
      <c r="A1642" s="143" t="n">
        <v>45471</v>
      </c>
      <c r="B1642" s="146" t="n">
        <v>0.999844</v>
      </c>
      <c r="C1642" s="179" t="n">
        <v>32643723698</v>
      </c>
      <c r="D1642" s="179" t="n">
        <v>32648811269</v>
      </c>
      <c r="E1642" s="146" t="n">
        <v>0.998727</v>
      </c>
      <c r="F1642" s="179" t="n">
        <v>112628423054</v>
      </c>
      <c r="G1642" s="179" t="n">
        <v>112771944648</v>
      </c>
      <c r="H1642" s="179">
        <f>IFERROR(D1642+G1642,D1642)</f>
        <v/>
      </c>
      <c r="I1642" s="184">
        <f>IFERROR(D1642/H1642,"")</f>
        <v/>
      </c>
      <c r="J1642" s="179" t="n">
        <v>6529762254</v>
      </c>
      <c r="K1642" s="179" t="n">
        <v>13059524508</v>
      </c>
      <c r="L1642" s="179" t="n">
        <v>19589286761</v>
      </c>
    </row>
    <row r="1643" ht="15" customHeight="1" s="95">
      <c r="A1643" s="143" t="n">
        <v>45472</v>
      </c>
      <c r="B1643" s="146" t="n">
        <v>0.9998629999999999</v>
      </c>
      <c r="C1643" s="179" t="n">
        <v>32332465390</v>
      </c>
      <c r="D1643" s="179" t="n">
        <v>32336883922</v>
      </c>
      <c r="E1643" s="146" t="n">
        <v>0.998131</v>
      </c>
      <c r="F1643" s="179" t="n">
        <v>112603785912</v>
      </c>
      <c r="G1643" s="179" t="n">
        <v>112814666735</v>
      </c>
      <c r="H1643" s="179">
        <f>IFERROR(D1643+G1643,D1643)</f>
        <v/>
      </c>
      <c r="I1643" s="184">
        <f>IFERROR(D1643/H1643,"")</f>
        <v/>
      </c>
      <c r="J1643" s="179" t="n">
        <v>6467376784</v>
      </c>
      <c r="K1643" s="179" t="n">
        <v>12934753569</v>
      </c>
      <c r="L1643" s="179" t="n">
        <v>19402130353</v>
      </c>
    </row>
    <row r="1644" ht="15" customHeight="1" s="95">
      <c r="A1644" s="143" t="n">
        <v>45473</v>
      </c>
      <c r="B1644" s="146" t="n">
        <v>0.999667</v>
      </c>
      <c r="C1644" s="179" t="n">
        <v>32264498272</v>
      </c>
      <c r="D1644" s="179" t="n">
        <v>32275253630</v>
      </c>
      <c r="E1644" s="146" t="n">
        <v>0.998366</v>
      </c>
      <c r="F1644" s="179" t="n">
        <v>112627263201</v>
      </c>
      <c r="G1644" s="179" t="n">
        <v>112811587592</v>
      </c>
      <c r="H1644" s="179">
        <f>IFERROR(D1644+G1644,D1644)</f>
        <v/>
      </c>
      <c r="I1644" s="184">
        <f>IFERROR(D1644/H1644,"")</f>
        <v/>
      </c>
      <c r="J1644" s="179" t="n">
        <v>6455050726</v>
      </c>
      <c r="K1644" s="179" t="n">
        <v>12910101452</v>
      </c>
      <c r="L1644" s="179" t="n">
        <v>19365152178</v>
      </c>
    </row>
    <row r="1645" ht="15" customHeight="1" s="95">
      <c r="A1645" s="143" t="n">
        <v>45474</v>
      </c>
      <c r="B1645" s="146" t="n">
        <v>1.000065</v>
      </c>
      <c r="C1645" s="179" t="n">
        <v>32257129043</v>
      </c>
      <c r="D1645" s="179" t="n">
        <v>32255042081</v>
      </c>
      <c r="E1645" s="146" t="n">
        <v>0.998506</v>
      </c>
      <c r="F1645" s="179" t="n">
        <v>112725742595</v>
      </c>
      <c r="G1645" s="179" t="n">
        <v>112894396595</v>
      </c>
      <c r="H1645" s="179">
        <f>IFERROR(D1645+G1645,D1645)</f>
        <v/>
      </c>
      <c r="I1645" s="184">
        <f>IFERROR(D1645/H1645,"")</f>
        <v/>
      </c>
      <c r="J1645" s="179" t="n">
        <v>6451008416</v>
      </c>
      <c r="K1645" s="179" t="n">
        <v>12902016832</v>
      </c>
      <c r="L1645" s="179" t="n">
        <v>19353025249</v>
      </c>
    </row>
    <row r="1646" ht="15" customHeight="1" s="95">
      <c r="A1646" s="143" t="n">
        <v>45475</v>
      </c>
      <c r="B1646" s="146" t="n">
        <v>0.999851</v>
      </c>
      <c r="C1646" s="179" t="n">
        <v>32530200034</v>
      </c>
      <c r="D1646" s="179" t="n">
        <v>32535056906</v>
      </c>
      <c r="E1646" s="146" t="n">
        <v>0.999032</v>
      </c>
      <c r="F1646" s="179" t="n">
        <v>112763737088</v>
      </c>
      <c r="G1646" s="179" t="n">
        <v>112873021666</v>
      </c>
      <c r="H1646" s="179">
        <f>IFERROR(D1646+G1646,D1646)</f>
        <v/>
      </c>
      <c r="I1646" s="184">
        <f>IFERROR(D1646/H1646,"")</f>
        <v/>
      </c>
      <c r="J1646" s="179" t="n">
        <v>6507011381</v>
      </c>
      <c r="K1646" s="179" t="n">
        <v>13014022762</v>
      </c>
      <c r="L1646" s="179" t="n">
        <v>19521034144</v>
      </c>
    </row>
    <row r="1647" ht="15" customHeight="1" s="95">
      <c r="A1647" s="143" t="n">
        <v>45476</v>
      </c>
      <c r="B1647" s="146" t="n">
        <v>1.000052</v>
      </c>
      <c r="C1647" s="179" t="n">
        <v>32558836565</v>
      </c>
      <c r="D1647" s="179" t="n">
        <v>32557146501</v>
      </c>
      <c r="E1647" s="146" t="n">
        <v>0.998667</v>
      </c>
      <c r="F1647" s="179" t="n">
        <v>112645772763</v>
      </c>
      <c r="G1647" s="179" t="n">
        <v>112796127258</v>
      </c>
      <c r="H1647" s="179">
        <f>IFERROR(D1647+G1647,D1647)</f>
        <v/>
      </c>
      <c r="I1647" s="184">
        <f>IFERROR(D1647/H1647,"")</f>
        <v/>
      </c>
      <c r="J1647" s="179" t="n">
        <v>6511429300</v>
      </c>
      <c r="K1647" s="179" t="n">
        <v>13022858600</v>
      </c>
      <c r="L1647" s="179" t="n">
        <v>19534287901</v>
      </c>
    </row>
    <row r="1648" ht="15" customHeight="1" s="95">
      <c r="A1648" s="143" t="n">
        <v>45477</v>
      </c>
      <c r="B1648" s="146" t="n">
        <v>1.000191</v>
      </c>
      <c r="C1648" s="179" t="n">
        <v>32766506993</v>
      </c>
      <c r="D1648" s="179" t="n">
        <v>32760239531</v>
      </c>
      <c r="E1648" s="146" t="n">
        <v>0.999139</v>
      </c>
      <c r="F1648" s="179" t="n">
        <v>112523154794</v>
      </c>
      <c r="G1648" s="179" t="n">
        <v>112620148660</v>
      </c>
      <c r="H1648" s="179">
        <f>IFERROR(D1648+G1648,D1648)</f>
        <v/>
      </c>
      <c r="I1648" s="184">
        <f>IFERROR(D1648/H1648,"")</f>
        <v/>
      </c>
      <c r="J1648" s="179" t="n">
        <v>6552047906</v>
      </c>
      <c r="K1648" s="179" t="n">
        <v>13104095812</v>
      </c>
      <c r="L1648" s="179" t="n">
        <v>19656143719</v>
      </c>
    </row>
    <row r="1649" ht="15" customHeight="1" s="95">
      <c r="A1649" s="143" t="n">
        <v>45478</v>
      </c>
      <c r="B1649" s="146" t="n">
        <v>1.000156</v>
      </c>
      <c r="C1649" s="179" t="n">
        <v>32907808848</v>
      </c>
      <c r="D1649" s="179" t="n">
        <v>32902680509</v>
      </c>
      <c r="E1649" s="146" t="n">
        <v>0.999156</v>
      </c>
      <c r="F1649" s="179" t="n">
        <v>112519507193</v>
      </c>
      <c r="G1649" s="179" t="n">
        <v>112614579656</v>
      </c>
      <c r="H1649" s="179">
        <f>IFERROR(D1649+G1649,D1649)</f>
        <v/>
      </c>
      <c r="I1649" s="184">
        <f>IFERROR(D1649/H1649,"")</f>
        <v/>
      </c>
      <c r="J1649" s="179" t="n">
        <v>6580536102</v>
      </c>
      <c r="K1649" s="179" t="n">
        <v>13161072204</v>
      </c>
      <c r="L1649" s="179" t="n">
        <v>19741608305</v>
      </c>
    </row>
    <row r="1650" ht="15" customHeight="1" s="95">
      <c r="A1650" s="143" t="n">
        <v>45479</v>
      </c>
      <c r="B1650" s="146" t="n">
        <v>1.000218</v>
      </c>
      <c r="C1650" s="179" t="n">
        <v>33591923641</v>
      </c>
      <c r="D1650" s="179" t="n">
        <v>33584594948</v>
      </c>
      <c r="E1650" s="146" t="n">
        <v>1.000364</v>
      </c>
      <c r="F1650" s="179" t="n">
        <v>112325747935</v>
      </c>
      <c r="G1650" s="179" t="n">
        <v>112284921036</v>
      </c>
      <c r="H1650" s="179">
        <f>IFERROR(D1650+G1650,D1650)</f>
        <v/>
      </c>
      <c r="I1650" s="184">
        <f>IFERROR(D1650/H1650,"")</f>
        <v/>
      </c>
      <c r="J1650" s="179" t="n">
        <v>6716918990</v>
      </c>
      <c r="K1650" s="179" t="n">
        <v>13433837979</v>
      </c>
      <c r="L1650" s="179" t="n">
        <v>20150756969</v>
      </c>
    </row>
    <row r="1651" ht="15" customHeight="1" s="95">
      <c r="A1651" s="143" t="n">
        <v>45480</v>
      </c>
      <c r="B1651" s="146" t="n">
        <v>1.000223</v>
      </c>
      <c r="C1651" s="179" t="n">
        <v>33703986242</v>
      </c>
      <c r="D1651" s="179" t="n">
        <v>33696467354</v>
      </c>
      <c r="E1651" s="146" t="n">
        <v>1.000527</v>
      </c>
      <c r="F1651" s="179" t="n">
        <v>112196036454</v>
      </c>
      <c r="G1651" s="179" t="n">
        <v>112136932074</v>
      </c>
      <c r="H1651" s="179">
        <f>IFERROR(D1651+G1651,D1651)</f>
        <v/>
      </c>
      <c r="I1651" s="184">
        <f>IFERROR(D1651/H1651,"")</f>
        <v/>
      </c>
      <c r="J1651" s="179" t="n">
        <v>6739293471</v>
      </c>
      <c r="K1651" s="179" t="n">
        <v>13478586942</v>
      </c>
      <c r="L1651" s="179" t="n">
        <v>20217880412</v>
      </c>
    </row>
    <row r="1652" ht="15" customHeight="1" s="95">
      <c r="A1652" s="143" t="n">
        <v>45481</v>
      </c>
      <c r="B1652" s="146" t="n">
        <v>0.999263</v>
      </c>
      <c r="C1652" s="179" t="n">
        <v>33680777616</v>
      </c>
      <c r="D1652" s="179" t="n">
        <v>33705610370</v>
      </c>
      <c r="E1652" s="146" t="n">
        <v>0.9998590000000001</v>
      </c>
      <c r="F1652" s="179" t="n">
        <v>112126783690</v>
      </c>
      <c r="G1652" s="179" t="n">
        <v>112142604433</v>
      </c>
      <c r="H1652" s="179">
        <f>IFERROR(D1652+G1652,D1652)</f>
        <v/>
      </c>
      <c r="I1652" s="184">
        <f>IFERROR(D1652/H1652,"")</f>
        <v/>
      </c>
      <c r="J1652" s="179" t="n">
        <v>6741122074</v>
      </c>
      <c r="K1652" s="179" t="n">
        <v>13482244148</v>
      </c>
      <c r="L1652" s="179" t="n">
        <v>20223366222</v>
      </c>
    </row>
    <row r="1653" ht="15" customHeight="1" s="95">
      <c r="A1653" s="143" t="n">
        <v>45482</v>
      </c>
      <c r="B1653" s="146" t="n">
        <v>0.999816</v>
      </c>
      <c r="C1653" s="179" t="n">
        <v>33947252692</v>
      </c>
      <c r="D1653" s="179" t="n">
        <v>33953484755</v>
      </c>
      <c r="E1653" s="146" t="n">
        <v>0.999762</v>
      </c>
      <c r="F1653" s="179" t="n">
        <v>112172989929</v>
      </c>
      <c r="G1653" s="179" t="n">
        <v>112199742182</v>
      </c>
      <c r="H1653" s="179">
        <f>IFERROR(D1653+G1653,D1653)</f>
        <v/>
      </c>
      <c r="I1653" s="184">
        <f>IFERROR(D1653/H1653,"")</f>
        <v/>
      </c>
      <c r="J1653" s="179" t="n">
        <v>6790696951</v>
      </c>
      <c r="K1653" s="179" t="n">
        <v>13581393902</v>
      </c>
      <c r="L1653" s="179" t="n">
        <v>20372090853</v>
      </c>
    </row>
    <row r="1654" ht="15" customHeight="1" s="95">
      <c r="A1654" s="143" t="n">
        <v>45483</v>
      </c>
      <c r="B1654" s="146" t="n">
        <v>0.9997239999999999</v>
      </c>
      <c r="C1654" s="179" t="n">
        <v>33960471033</v>
      </c>
      <c r="D1654" s="179" t="n">
        <v>33969832027</v>
      </c>
      <c r="E1654" s="146" t="n">
        <v>0.999603</v>
      </c>
      <c r="F1654" s="179" t="n">
        <v>112264962394</v>
      </c>
      <c r="G1654" s="179" t="n">
        <v>112309521851</v>
      </c>
      <c r="H1654" s="179">
        <f>IFERROR(D1654+G1654,D1654)</f>
        <v/>
      </c>
      <c r="I1654" s="184">
        <f>IFERROR(D1654/H1654,"")</f>
        <v/>
      </c>
      <c r="J1654" s="179" t="n">
        <v>6793966405</v>
      </c>
      <c r="K1654" s="179" t="n">
        <v>13587932811</v>
      </c>
      <c r="L1654" s="179" t="n">
        <v>20381899216</v>
      </c>
    </row>
    <row r="1655" ht="15" customHeight="1" s="95">
      <c r="A1655" s="143" t="n">
        <v>45484</v>
      </c>
      <c r="B1655" s="146" t="n">
        <v>0.99976</v>
      </c>
      <c r="C1655" s="179" t="n">
        <v>34133051971</v>
      </c>
      <c r="D1655" s="179" t="n">
        <v>34141236798</v>
      </c>
      <c r="E1655" s="146" t="n">
        <v>0.999655</v>
      </c>
      <c r="F1655" s="179" t="n">
        <v>112278208909</v>
      </c>
      <c r="G1655" s="179" t="n">
        <v>112316931057</v>
      </c>
      <c r="H1655" s="179">
        <f>IFERROR(D1655+G1655,D1655)</f>
        <v/>
      </c>
      <c r="I1655" s="184">
        <f>IFERROR(D1655/H1655,"")</f>
        <v/>
      </c>
      <c r="J1655" s="179" t="n">
        <v>6828247360</v>
      </c>
      <c r="K1655" s="179" t="n">
        <v>13656494719</v>
      </c>
      <c r="L1655" s="179" t="n">
        <v>20484742079</v>
      </c>
    </row>
    <row r="1656" ht="15" customHeight="1" s="95">
      <c r="A1656" s="143" t="n">
        <v>45485</v>
      </c>
      <c r="B1656" s="146" t="n">
        <v>1.000683</v>
      </c>
      <c r="C1656" s="179" t="n">
        <v>33929006289</v>
      </c>
      <c r="D1656" s="179" t="n">
        <v>33905864709</v>
      </c>
      <c r="E1656" s="146" t="n">
        <v>1.000327</v>
      </c>
      <c r="F1656" s="179" t="n">
        <v>112437835804</v>
      </c>
      <c r="G1656" s="179" t="n">
        <v>112401111516</v>
      </c>
      <c r="H1656" s="179">
        <f>IFERROR(D1656+G1656,D1656)</f>
        <v/>
      </c>
      <c r="I1656" s="184">
        <f>IFERROR(D1656/H1656,"")</f>
        <v/>
      </c>
      <c r="J1656" s="179" t="n">
        <v>6781172942</v>
      </c>
      <c r="K1656" s="179" t="n">
        <v>13562345884</v>
      </c>
      <c r="L1656" s="179" t="n">
        <v>20343518825</v>
      </c>
    </row>
    <row r="1657" ht="15" customHeight="1" s="95">
      <c r="A1657" s="143" t="n">
        <v>45486</v>
      </c>
      <c r="B1657" s="146" t="n">
        <v>1.000127</v>
      </c>
      <c r="C1657" s="179" t="n">
        <v>33796632282</v>
      </c>
      <c r="D1657" s="179" t="n">
        <v>33792334641</v>
      </c>
      <c r="E1657" s="146" t="n">
        <v>1.000096</v>
      </c>
      <c r="F1657" s="179" t="n">
        <v>112412688005</v>
      </c>
      <c r="G1657" s="179" t="n">
        <v>112401857020</v>
      </c>
      <c r="H1657" s="179">
        <f>IFERROR(D1657+G1657,D1657)</f>
        <v/>
      </c>
      <c r="I1657" s="184">
        <f>IFERROR(D1657/H1657,"")</f>
        <v/>
      </c>
      <c r="J1657" s="179" t="n">
        <v>6758466928</v>
      </c>
      <c r="K1657" s="179" t="n">
        <v>13516933856</v>
      </c>
      <c r="L1657" s="179" t="n">
        <v>20275400785</v>
      </c>
    </row>
    <row r="1658" ht="15" customHeight="1" s="95">
      <c r="A1658" s="143" t="n">
        <v>45487</v>
      </c>
      <c r="B1658" s="146" t="n">
        <v>0.999546</v>
      </c>
      <c r="C1658" s="179" t="n">
        <v>33922415938</v>
      </c>
      <c r="D1658" s="179" t="n">
        <v>33937825791</v>
      </c>
      <c r="E1658" s="146" t="n">
        <v>0.999768</v>
      </c>
      <c r="F1658" s="179" t="n">
        <v>112432522893</v>
      </c>
      <c r="G1658" s="179" t="n">
        <v>112458559917</v>
      </c>
      <c r="H1658" s="179">
        <f>IFERROR(D1658+G1658,D1658)</f>
        <v/>
      </c>
      <c r="I1658" s="184">
        <f>IFERROR(D1658/H1658,"")</f>
        <v/>
      </c>
      <c r="J1658" s="179" t="n">
        <v>6787565158</v>
      </c>
      <c r="K1658" s="179" t="n">
        <v>13575130316</v>
      </c>
      <c r="L1658" s="179" t="n">
        <v>20362695475</v>
      </c>
    </row>
    <row r="1659" ht="15" customHeight="1" s="95">
      <c r="A1659" s="143" t="n">
        <v>45488</v>
      </c>
      <c r="B1659" s="146" t="n">
        <v>0.999665</v>
      </c>
      <c r="C1659" s="179" t="n">
        <v>33939541691</v>
      </c>
      <c r="D1659" s="179" t="n">
        <v>33950917200</v>
      </c>
      <c r="E1659" s="146" t="n">
        <v>0.9999</v>
      </c>
      <c r="F1659" s="179" t="n">
        <v>112493950291</v>
      </c>
      <c r="G1659" s="179" t="n">
        <v>112505178519</v>
      </c>
      <c r="H1659" s="179">
        <f>IFERROR(D1659+G1659,D1659)</f>
        <v/>
      </c>
      <c r="I1659" s="184">
        <f>IFERROR(D1659/H1659,"")</f>
        <v/>
      </c>
      <c r="J1659" s="179" t="n">
        <v>6790183440</v>
      </c>
      <c r="K1659" s="179" t="n">
        <v>13580366880</v>
      </c>
      <c r="L1659" s="179" t="n">
        <v>20370550320</v>
      </c>
    </row>
    <row r="1660" ht="15" customHeight="1" s="95">
      <c r="A1660" s="143" t="n">
        <v>45489</v>
      </c>
      <c r="B1660" s="146" t="n">
        <v>1.000523</v>
      </c>
      <c r="C1660" s="179" t="n">
        <v>33940211730</v>
      </c>
      <c r="D1660" s="179" t="n">
        <v>33922483232</v>
      </c>
      <c r="E1660" s="146" t="n">
        <v>1.000942</v>
      </c>
      <c r="F1660" s="179" t="n">
        <v>112632082133</v>
      </c>
      <c r="G1660" s="179" t="n">
        <v>112526046600</v>
      </c>
      <c r="H1660" s="179">
        <f>IFERROR(D1660+G1660,D1660)</f>
        <v/>
      </c>
      <c r="I1660" s="184">
        <f>IFERROR(D1660/H1660,"")</f>
        <v/>
      </c>
      <c r="J1660" s="179" t="n">
        <v>6784496646</v>
      </c>
      <c r="K1660" s="179" t="n">
        <v>13568993293</v>
      </c>
      <c r="L1660" s="179" t="n">
        <v>20353489939</v>
      </c>
    </row>
    <row r="1661" ht="15" customHeight="1" s="95">
      <c r="A1661" s="143" t="n">
        <v>45490</v>
      </c>
      <c r="B1661" s="146" t="n">
        <v>1.000066</v>
      </c>
      <c r="C1661" s="179" t="n">
        <v>33946061376</v>
      </c>
      <c r="D1661" s="179" t="n">
        <v>33943820803</v>
      </c>
      <c r="E1661" s="146" t="n">
        <v>1.000603</v>
      </c>
      <c r="F1661" s="179" t="n">
        <v>113054223093</v>
      </c>
      <c r="G1661" s="179" t="n">
        <v>112986070003</v>
      </c>
      <c r="H1661" s="179">
        <f>IFERROR(D1661+G1661,D1661)</f>
        <v/>
      </c>
      <c r="I1661" s="184">
        <f>IFERROR(D1661/H1661,"")</f>
        <v/>
      </c>
      <c r="J1661" s="179" t="n">
        <v>6788764161</v>
      </c>
      <c r="K1661" s="179" t="n">
        <v>13577528321</v>
      </c>
      <c r="L1661" s="179" t="n">
        <v>20366292482</v>
      </c>
    </row>
    <row r="1662" ht="15" customHeight="1" s="95">
      <c r="A1662" s="143" t="n">
        <v>45491</v>
      </c>
      <c r="B1662" s="146" t="n">
        <v>0.999207</v>
      </c>
      <c r="C1662" s="179" t="n">
        <v>33756217830</v>
      </c>
      <c r="D1662" s="179" t="n">
        <v>33783020661</v>
      </c>
      <c r="E1662" s="146" t="n">
        <v>0.999842</v>
      </c>
      <c r="F1662" s="179" t="n">
        <v>113208033785</v>
      </c>
      <c r="G1662" s="179" t="n">
        <v>113225940968</v>
      </c>
      <c r="H1662" s="179">
        <f>IFERROR(D1662+G1662,D1662)</f>
        <v/>
      </c>
      <c r="I1662" s="184">
        <f>IFERROR(D1662/H1662,"")</f>
        <v/>
      </c>
      <c r="J1662" s="179" t="n">
        <v>6756604132</v>
      </c>
      <c r="K1662" s="179" t="n">
        <v>13513208264</v>
      </c>
      <c r="L1662" s="179" t="n">
        <v>20269812397</v>
      </c>
    </row>
    <row r="1663" ht="15" customHeight="1" s="95">
      <c r="A1663" s="143" t="n">
        <v>45492</v>
      </c>
      <c r="B1663" s="146" t="n">
        <v>0.999781</v>
      </c>
      <c r="C1663" s="179" t="n">
        <v>33706333817</v>
      </c>
      <c r="D1663" s="179" t="n">
        <v>33713724732</v>
      </c>
      <c r="E1663" s="146" t="n">
        <v>0.999478</v>
      </c>
      <c r="F1663" s="179" t="n">
        <v>113573131359</v>
      </c>
      <c r="G1663" s="179" t="n">
        <v>113632416636</v>
      </c>
      <c r="H1663" s="179">
        <f>IFERROR(D1663+G1663,D1663)</f>
        <v/>
      </c>
      <c r="I1663" s="184">
        <f>IFERROR(D1663/H1663,"")</f>
        <v/>
      </c>
      <c r="J1663" s="179" t="n">
        <v>6742744946</v>
      </c>
      <c r="K1663" s="179" t="n">
        <v>13485489893</v>
      </c>
      <c r="L1663" s="179" t="n">
        <v>20228234839</v>
      </c>
    </row>
    <row r="1664" ht="15" customHeight="1" s="95">
      <c r="A1664" s="143" t="n">
        <v>45493</v>
      </c>
      <c r="B1664" s="146" t="n">
        <v>0.999829</v>
      </c>
      <c r="C1664" s="179" t="n">
        <v>33930661962</v>
      </c>
      <c r="D1664" s="179" t="n">
        <v>33936471595</v>
      </c>
      <c r="E1664" s="146" t="n">
        <v>1.000447</v>
      </c>
      <c r="F1664" s="179" t="n">
        <v>113747016526</v>
      </c>
      <c r="G1664" s="179" t="n">
        <v>113696229621</v>
      </c>
      <c r="H1664" s="179">
        <f>IFERROR(D1664+G1664,D1664)</f>
        <v/>
      </c>
      <c r="I1664" s="184">
        <f>IFERROR(D1664/H1664,"")</f>
        <v/>
      </c>
      <c r="J1664" s="179" t="n">
        <v>6787294319</v>
      </c>
      <c r="K1664" s="179" t="n">
        <v>13574588638</v>
      </c>
      <c r="L1664" s="179" t="n">
        <v>20361882957</v>
      </c>
    </row>
    <row r="1665" ht="15" customHeight="1" s="95">
      <c r="A1665" s="143" t="n">
        <v>45494</v>
      </c>
      <c r="B1665" s="146" t="n">
        <v>1.000019</v>
      </c>
      <c r="C1665" s="179" t="n">
        <v>34120490831</v>
      </c>
      <c r="D1665" s="179" t="n">
        <v>34119831277</v>
      </c>
      <c r="E1665" s="146" t="n">
        <v>1.000364</v>
      </c>
      <c r="F1665" s="179" t="n">
        <v>113925014705</v>
      </c>
      <c r="G1665" s="179" t="n">
        <v>113883535063</v>
      </c>
      <c r="H1665" s="179">
        <f>IFERROR(D1665+G1665,D1665)</f>
        <v/>
      </c>
      <c r="I1665" s="184">
        <f>IFERROR(D1665/H1665,"")</f>
        <v/>
      </c>
      <c r="J1665" s="179" t="n">
        <v>6823966255</v>
      </c>
      <c r="K1665" s="179" t="n">
        <v>13647932511</v>
      </c>
      <c r="L1665" s="179" t="n">
        <v>20471898766</v>
      </c>
    </row>
    <row r="1666" ht="15" customHeight="1" s="95">
      <c r="A1666" s="143" t="n">
        <v>45495</v>
      </c>
      <c r="B1666" s="146" t="n">
        <v>1.000793</v>
      </c>
      <c r="C1666" s="179" t="n">
        <v>33997779598</v>
      </c>
      <c r="D1666" s="179" t="n">
        <v>33970846511</v>
      </c>
      <c r="E1666" s="146" t="n">
        <v>1.000671</v>
      </c>
      <c r="F1666" s="179" t="n">
        <v>114040029468</v>
      </c>
      <c r="G1666" s="179" t="n">
        <v>113963604425</v>
      </c>
      <c r="H1666" s="179">
        <f>IFERROR(D1666+G1666,D1666)</f>
        <v/>
      </c>
      <c r="I1666" s="184">
        <f>IFERROR(D1666/H1666,"")</f>
        <v/>
      </c>
      <c r="J1666" s="179" t="n">
        <v>6794169302</v>
      </c>
      <c r="K1666" s="179" t="n">
        <v>13588338604</v>
      </c>
      <c r="L1666" s="179" t="n">
        <v>20382507907</v>
      </c>
    </row>
    <row r="1667" ht="15" customHeight="1" s="95">
      <c r="A1667" s="143" t="n">
        <v>45496</v>
      </c>
      <c r="B1667" s="146" t="n">
        <v>1.000048</v>
      </c>
      <c r="C1667" s="179" t="n">
        <v>33988258469</v>
      </c>
      <c r="D1667" s="179" t="n">
        <v>33986610559</v>
      </c>
      <c r="E1667" s="146" t="n">
        <v>1.000465</v>
      </c>
      <c r="F1667" s="179" t="n">
        <v>114112099009</v>
      </c>
      <c r="G1667" s="179" t="n">
        <v>114059065620</v>
      </c>
      <c r="H1667" s="179">
        <f>IFERROR(D1667+G1667,D1667)</f>
        <v/>
      </c>
      <c r="I1667" s="184">
        <f>IFERROR(D1667/H1667,"")</f>
        <v/>
      </c>
      <c r="J1667" s="179" t="n">
        <v>6797322112</v>
      </c>
      <c r="K1667" s="179" t="n">
        <v>13594644224</v>
      </c>
      <c r="L1667" s="179" t="n">
        <v>20391966335</v>
      </c>
    </row>
    <row r="1668" ht="15" customHeight="1" s="95">
      <c r="A1668" s="143" t="n">
        <v>45497</v>
      </c>
      <c r="B1668" s="146" t="n">
        <v>0.999978</v>
      </c>
      <c r="C1668" s="179" t="n">
        <v>34161985102</v>
      </c>
      <c r="D1668" s="179" t="n">
        <v>34162750424</v>
      </c>
      <c r="E1668" s="146" t="n">
        <v>1.000153</v>
      </c>
      <c r="F1668" s="179" t="n">
        <v>114269399245</v>
      </c>
      <c r="G1668" s="179" t="n">
        <v>114251942576</v>
      </c>
      <c r="H1668" s="179">
        <f>IFERROR(D1668+G1668,D1668)</f>
        <v/>
      </c>
      <c r="I1668" s="184">
        <f>IFERROR(D1668/H1668,"")</f>
        <v/>
      </c>
      <c r="J1668" s="179" t="n">
        <v>6832550085</v>
      </c>
      <c r="K1668" s="179" t="n">
        <v>13665100170</v>
      </c>
      <c r="L1668" s="179" t="n">
        <v>20497650254</v>
      </c>
    </row>
    <row r="1669" ht="15" customHeight="1" s="95">
      <c r="A1669" s="143" t="n">
        <v>45498</v>
      </c>
      <c r="B1669" s="146" t="n">
        <v>1.000243</v>
      </c>
      <c r="C1669" s="179" t="n">
        <v>34057939658</v>
      </c>
      <c r="D1669" s="179" t="n">
        <v>34049682562</v>
      </c>
      <c r="E1669" s="146" t="n">
        <v>1.000047</v>
      </c>
      <c r="F1669" s="179" t="n">
        <v>114419293392</v>
      </c>
      <c r="G1669" s="179" t="n">
        <v>114413881633</v>
      </c>
      <c r="H1669" s="179">
        <f>IFERROR(D1669+G1669,D1669)</f>
        <v/>
      </c>
      <c r="I1669" s="184">
        <f>IFERROR(D1669/H1669,"")</f>
        <v/>
      </c>
      <c r="J1669" s="179" t="n">
        <v>6809936512</v>
      </c>
      <c r="K1669" s="179" t="n">
        <v>13619873025</v>
      </c>
      <c r="L1669" s="179" t="n">
        <v>20429809537</v>
      </c>
    </row>
    <row r="1670" ht="15" customHeight="1" s="95">
      <c r="A1670" s="143" t="n">
        <v>45499</v>
      </c>
      <c r="B1670" s="146" t="n">
        <v>1.000312</v>
      </c>
      <c r="C1670" s="179" t="n">
        <v>33812969834</v>
      </c>
      <c r="D1670" s="179" t="n">
        <v>33802432482</v>
      </c>
      <c r="E1670" s="146" t="n">
        <v>0.999824</v>
      </c>
      <c r="F1670" s="179" t="n">
        <v>114381082813</v>
      </c>
      <c r="G1670" s="179" t="n">
        <v>114401179631</v>
      </c>
      <c r="H1670" s="179">
        <f>IFERROR(D1670+G1670,D1670)</f>
        <v/>
      </c>
      <c r="I1670" s="184">
        <f>IFERROR(D1670/H1670,"")</f>
        <v/>
      </c>
      <c r="J1670" s="179" t="n">
        <v>6760486496</v>
      </c>
      <c r="K1670" s="179" t="n">
        <v>13520972993</v>
      </c>
      <c r="L1670" s="179" t="n">
        <v>20281459489</v>
      </c>
    </row>
    <row r="1671" ht="15" customHeight="1" s="95">
      <c r="A1671" s="143" t="n">
        <v>45500</v>
      </c>
      <c r="B1671" s="146" t="n">
        <v>1.00024</v>
      </c>
      <c r="C1671" s="179" t="n">
        <v>34121914557</v>
      </c>
      <c r="D1671" s="179" t="n">
        <v>34113724884</v>
      </c>
      <c r="E1671" s="146" t="n">
        <v>1.000148</v>
      </c>
      <c r="F1671" s="179" t="n">
        <v>114301106013</v>
      </c>
      <c r="G1671" s="179" t="n">
        <v>114284179631</v>
      </c>
      <c r="H1671" s="179">
        <f>IFERROR(D1671+G1671,D1671)</f>
        <v/>
      </c>
      <c r="I1671" s="184">
        <f>IFERROR(D1671/H1671,"")</f>
        <v/>
      </c>
      <c r="J1671" s="179" t="n">
        <v>6822744977</v>
      </c>
      <c r="K1671" s="179" t="n">
        <v>13645489954</v>
      </c>
      <c r="L1671" s="179" t="n">
        <v>20468234930</v>
      </c>
    </row>
    <row r="1672" ht="15" customHeight="1" s="95">
      <c r="A1672" s="143" t="n">
        <v>45501</v>
      </c>
      <c r="B1672" s="146" t="n">
        <v>0.999818</v>
      </c>
      <c r="C1672" s="179" t="n">
        <v>34148847760</v>
      </c>
      <c r="D1672" s="179" t="n">
        <v>34155053309</v>
      </c>
      <c r="E1672" s="146" t="n">
        <v>1.000023</v>
      </c>
      <c r="F1672" s="179" t="n">
        <v>114323274523</v>
      </c>
      <c r="G1672" s="179" t="n">
        <v>114320685147</v>
      </c>
      <c r="H1672" s="179">
        <f>IFERROR(D1672+G1672,D1672)</f>
        <v/>
      </c>
      <c r="I1672" s="184">
        <f>IFERROR(D1672/H1672,"")</f>
        <v/>
      </c>
      <c r="J1672" s="179" t="n">
        <v>6831010662</v>
      </c>
      <c r="K1672" s="179" t="n">
        <v>13662021324</v>
      </c>
      <c r="L1672" s="179" t="n">
        <v>20493031985</v>
      </c>
    </row>
    <row r="1673" ht="15" customHeight="1" s="95">
      <c r="A1673" s="143" t="n">
        <v>45502</v>
      </c>
      <c r="B1673" s="146" t="n">
        <v>1.000206</v>
      </c>
      <c r="C1673" s="179" t="n">
        <v>34163652432</v>
      </c>
      <c r="D1673" s="179" t="n">
        <v>34156626503</v>
      </c>
      <c r="E1673" s="146" t="n">
        <v>1.000165</v>
      </c>
      <c r="F1673" s="179" t="n">
        <v>114436762854</v>
      </c>
      <c r="G1673" s="179" t="n">
        <v>114417852150</v>
      </c>
      <c r="H1673" s="179">
        <f>IFERROR(D1673+G1673,D1673)</f>
        <v/>
      </c>
      <c r="I1673" s="184">
        <f>IFERROR(D1673/H1673,"")</f>
        <v/>
      </c>
      <c r="J1673" s="179" t="n">
        <v>6831325301</v>
      </c>
      <c r="K1673" s="179" t="n">
        <v>13662650601</v>
      </c>
      <c r="L1673" s="179" t="n">
        <v>20493975902</v>
      </c>
    </row>
    <row r="1674" ht="15" customHeight="1" s="95">
      <c r="A1674" s="143" t="n">
        <v>45503</v>
      </c>
      <c r="B1674" s="146" t="n">
        <v>0.99897</v>
      </c>
      <c r="C1674" s="179" t="n">
        <v>33743476420</v>
      </c>
      <c r="D1674" s="179" t="n">
        <v>33778259315</v>
      </c>
      <c r="E1674" s="146" t="n">
        <v>1.000052</v>
      </c>
      <c r="F1674" s="179" t="n">
        <v>114423843424</v>
      </c>
      <c r="G1674" s="179" t="n">
        <v>114417852142</v>
      </c>
      <c r="H1674" s="179">
        <f>IFERROR(D1674+G1674,D1674)</f>
        <v/>
      </c>
      <c r="I1674" s="184">
        <f>IFERROR(D1674/H1674,"")</f>
        <v/>
      </c>
      <c r="J1674" s="179" t="n">
        <v>6755651863</v>
      </c>
      <c r="K1674" s="179" t="n">
        <v>13511303726</v>
      </c>
      <c r="L1674" s="179" t="n">
        <v>20266955589</v>
      </c>
    </row>
    <row r="1675" ht="15" customHeight="1" s="95">
      <c r="A1675" s="143" t="n">
        <v>45504</v>
      </c>
      <c r="B1675" s="146" t="n">
        <v>1.000007</v>
      </c>
      <c r="C1675" s="179" t="n">
        <v>33470597704</v>
      </c>
      <c r="D1675" s="179" t="n">
        <v>33470374159</v>
      </c>
      <c r="E1675" s="146" t="n">
        <v>0.999692</v>
      </c>
      <c r="F1675" s="179" t="n">
        <v>114429758402</v>
      </c>
      <c r="G1675" s="179" t="n">
        <v>114464991721</v>
      </c>
      <c r="H1675" s="179">
        <f>IFERROR(D1675+G1675,D1675)</f>
        <v/>
      </c>
      <c r="I1675" s="184">
        <f>IFERROR(D1675/H1675,"")</f>
        <v/>
      </c>
      <c r="J1675" s="179" t="n">
        <v>6694074832</v>
      </c>
      <c r="K1675" s="179" t="n">
        <v>13388149664</v>
      </c>
      <c r="L1675" s="179" t="n">
        <v>20082224495</v>
      </c>
    </row>
    <row r="1676" ht="15" customHeight="1" s="95">
      <c r="A1676" s="143" t="n">
        <v>45505</v>
      </c>
      <c r="B1676" s="146" t="n">
        <v>1.000213</v>
      </c>
      <c r="C1676" s="179" t="n">
        <v>33320722189</v>
      </c>
      <c r="D1676" s="179" t="n">
        <v>33313633956</v>
      </c>
      <c r="E1676" s="146" t="n">
        <v>0.999927</v>
      </c>
      <c r="F1676" s="179" t="n">
        <v>114343128199</v>
      </c>
      <c r="G1676" s="179" t="n">
        <v>114351452485</v>
      </c>
      <c r="H1676" s="179">
        <f>IFERROR(D1676+G1676,D1676)</f>
        <v/>
      </c>
      <c r="I1676" s="184">
        <f>IFERROR(D1676/H1676,"")</f>
        <v/>
      </c>
      <c r="J1676" s="179" t="n">
        <v>6662726791</v>
      </c>
      <c r="K1676" s="179" t="n">
        <v>13325453582</v>
      </c>
      <c r="L1676" s="179" t="n">
        <v>19988180374</v>
      </c>
    </row>
    <row r="1677" ht="15" customHeight="1" s="95">
      <c r="A1677" s="143" t="n">
        <v>45506</v>
      </c>
      <c r="B1677" s="146" t="n">
        <v>1.000213</v>
      </c>
      <c r="C1677" s="179" t="n">
        <v>32990961503</v>
      </c>
      <c r="D1677" s="179" t="n">
        <v>32983931565</v>
      </c>
      <c r="E1677" s="146" t="n">
        <v>0.999207</v>
      </c>
      <c r="F1677" s="179" t="n">
        <v>114422514458</v>
      </c>
      <c r="G1677" s="179" t="n">
        <v>114513331246</v>
      </c>
      <c r="H1677" s="179">
        <f>IFERROR(D1677+G1677,D1677)</f>
        <v/>
      </c>
      <c r="I1677" s="184">
        <f>IFERROR(D1677/H1677,"")</f>
        <v/>
      </c>
      <c r="J1677" s="179" t="n">
        <v>6596786313</v>
      </c>
      <c r="K1677" s="179" t="n">
        <v>13193572626</v>
      </c>
      <c r="L1677" s="179" t="n">
        <v>19790358939</v>
      </c>
    </row>
    <row r="1678" ht="15" customHeight="1" s="95">
      <c r="A1678" s="143" t="n">
        <v>45507</v>
      </c>
      <c r="B1678" s="146" t="n">
        <v>0.999682</v>
      </c>
      <c r="C1678" s="179" t="n">
        <v>32997407960</v>
      </c>
      <c r="D1678" s="179" t="n">
        <v>33007896099</v>
      </c>
      <c r="E1678" s="146" t="n">
        <v>0.99865</v>
      </c>
      <c r="F1678" s="179" t="n">
        <v>114339047195</v>
      </c>
      <c r="G1678" s="179" t="n">
        <v>114493642747</v>
      </c>
      <c r="H1678" s="179">
        <f>IFERROR(D1678+G1678,D1678)</f>
        <v/>
      </c>
      <c r="I1678" s="184">
        <f>IFERROR(D1678/H1678,"")</f>
        <v/>
      </c>
      <c r="J1678" s="179" t="n">
        <v>6601579220</v>
      </c>
      <c r="K1678" s="179" t="n">
        <v>13203158440</v>
      </c>
      <c r="L1678" s="179" t="n">
        <v>19804737659</v>
      </c>
    </row>
    <row r="1679" ht="15" customHeight="1" s="95">
      <c r="A1679" s="143" t="n">
        <v>45508</v>
      </c>
      <c r="B1679" s="146" t="n">
        <v>1.000315</v>
      </c>
      <c r="C1679" s="179" t="n">
        <v>33109726376</v>
      </c>
      <c r="D1679" s="179" t="n">
        <v>33099297411</v>
      </c>
      <c r="E1679" s="146" t="n">
        <v>0.999529</v>
      </c>
      <c r="F1679" s="179" t="n">
        <v>114467573236</v>
      </c>
      <c r="G1679" s="179" t="n">
        <v>114521519508</v>
      </c>
      <c r="H1679" s="179">
        <f>IFERROR(D1679+G1679,D1679)</f>
        <v/>
      </c>
      <c r="I1679" s="184">
        <f>IFERROR(D1679/H1679,"")</f>
        <v/>
      </c>
      <c r="J1679" s="179" t="n">
        <v>6619859482</v>
      </c>
      <c r="K1679" s="179" t="n">
        <v>13239718964</v>
      </c>
      <c r="L1679" s="179" t="n">
        <v>19859578447</v>
      </c>
    </row>
    <row r="1680" ht="15" customHeight="1" s="95">
      <c r="A1680" s="143" t="n">
        <v>45509</v>
      </c>
      <c r="B1680" s="146" t="n">
        <v>0.997406</v>
      </c>
      <c r="C1680" s="179" t="n">
        <v>33250262887</v>
      </c>
      <c r="D1680" s="179" t="n">
        <v>33336726036</v>
      </c>
      <c r="E1680" s="146" t="n">
        <v>0.998332</v>
      </c>
      <c r="F1680" s="179" t="n">
        <v>114321354116</v>
      </c>
      <c r="G1680" s="179" t="n">
        <v>114512361150</v>
      </c>
      <c r="H1680" s="179">
        <f>IFERROR(D1680+G1680,D1680)</f>
        <v/>
      </c>
      <c r="I1680" s="184">
        <f>IFERROR(D1680/H1680,"")</f>
        <v/>
      </c>
      <c r="J1680" s="179" t="n">
        <v>6667345207</v>
      </c>
      <c r="K1680" s="179" t="n">
        <v>13334690414</v>
      </c>
      <c r="L1680" s="179" t="n">
        <v>20002035622</v>
      </c>
    </row>
    <row r="1681" ht="15" customHeight="1" s="95">
      <c r="A1681" s="143" t="n">
        <v>45510</v>
      </c>
      <c r="B1681" s="146" t="n">
        <v>0.998175</v>
      </c>
      <c r="C1681" s="179" t="n">
        <v>33722574523</v>
      </c>
      <c r="D1681" s="179" t="n">
        <v>33784229102</v>
      </c>
      <c r="E1681" s="146" t="n">
        <v>0.9983379999999999</v>
      </c>
      <c r="F1681" s="179" t="n">
        <v>114273868572</v>
      </c>
      <c r="G1681" s="179" t="n">
        <v>114464058629</v>
      </c>
      <c r="H1681" s="179">
        <f>IFERROR(D1681+G1681,D1681)</f>
        <v/>
      </c>
      <c r="I1681" s="184">
        <f>IFERROR(D1681/H1681,"")</f>
        <v/>
      </c>
      <c r="J1681" s="179" t="n">
        <v>6756845820</v>
      </c>
      <c r="K1681" s="179" t="n">
        <v>13513691641</v>
      </c>
      <c r="L1681" s="179" t="n">
        <v>20270537461</v>
      </c>
    </row>
    <row r="1682" ht="15" customHeight="1" s="95">
      <c r="A1682" s="143" t="n">
        <v>45511</v>
      </c>
      <c r="B1682" s="146" t="n">
        <v>0.99963</v>
      </c>
      <c r="C1682" s="179" t="n">
        <v>34105143712</v>
      </c>
      <c r="D1682" s="179" t="n">
        <v>34117763902</v>
      </c>
      <c r="E1682" s="146" t="n">
        <v>0.999795</v>
      </c>
      <c r="F1682" s="179" t="n">
        <v>114449569879</v>
      </c>
      <c r="G1682" s="179" t="n">
        <v>114472981768</v>
      </c>
      <c r="H1682" s="179">
        <f>IFERROR(D1682+G1682,D1682)</f>
        <v/>
      </c>
      <c r="I1682" s="184">
        <f>IFERROR(D1682/H1682,"")</f>
        <v/>
      </c>
      <c r="J1682" s="179" t="n">
        <v>6823552780</v>
      </c>
      <c r="K1682" s="179" t="n">
        <v>13647105561</v>
      </c>
      <c r="L1682" s="179" t="n">
        <v>20470658341</v>
      </c>
    </row>
    <row r="1683" ht="15" customHeight="1" s="95">
      <c r="A1683" s="143" t="n">
        <v>45512</v>
      </c>
      <c r="B1683" s="146" t="n">
        <v>0.9999169999999999</v>
      </c>
      <c r="C1683" s="179" t="n">
        <v>34552103327</v>
      </c>
      <c r="D1683" s="179" t="n">
        <v>34554975096</v>
      </c>
      <c r="E1683" s="146" t="n">
        <v>0.999978</v>
      </c>
      <c r="F1683" s="179" t="n">
        <v>114697495372</v>
      </c>
      <c r="G1683" s="179" t="n">
        <v>114700002787</v>
      </c>
      <c r="H1683" s="179">
        <f>IFERROR(D1683+G1683,D1683)</f>
        <v/>
      </c>
      <c r="I1683" s="184">
        <f>IFERROR(D1683/H1683,"")</f>
        <v/>
      </c>
      <c r="J1683" s="179" t="n">
        <v>6910995019</v>
      </c>
      <c r="K1683" s="179" t="n">
        <v>13821990038</v>
      </c>
      <c r="L1683" s="179" t="n">
        <v>20732985058</v>
      </c>
    </row>
    <row r="1684" ht="15" customHeight="1" s="95">
      <c r="A1684" s="143" t="n">
        <v>45513</v>
      </c>
      <c r="B1684" s="146" t="n">
        <v>1.000704</v>
      </c>
      <c r="C1684" s="179" t="n">
        <v>34510958139</v>
      </c>
      <c r="D1684" s="179" t="n">
        <v>34486675893</v>
      </c>
      <c r="E1684" s="146" t="n">
        <v>1.000935</v>
      </c>
      <c r="F1684" s="179" t="n">
        <v>114970432933</v>
      </c>
      <c r="G1684" s="179" t="n">
        <v>114863053372</v>
      </c>
      <c r="H1684" s="179">
        <f>IFERROR(D1684+G1684,D1684)</f>
        <v/>
      </c>
      <c r="I1684" s="184">
        <f>IFERROR(D1684/H1684,"")</f>
        <v/>
      </c>
      <c r="J1684" s="179" t="n">
        <v>6897335179</v>
      </c>
      <c r="K1684" s="179" t="n">
        <v>13794670357</v>
      </c>
      <c r="L1684" s="179" t="n">
        <v>20692005536</v>
      </c>
    </row>
    <row r="1685" ht="15" customHeight="1" s="95">
      <c r="A1685" s="143" t="n">
        <v>45514</v>
      </c>
      <c r="B1685" s="146" t="n">
        <v>1.001523</v>
      </c>
      <c r="C1685" s="179" t="n">
        <v>34494714102</v>
      </c>
      <c r="D1685" s="179" t="n">
        <v>34442255353</v>
      </c>
      <c r="E1685" s="146" t="n">
        <v>1.002429</v>
      </c>
      <c r="F1685" s="179" t="n">
        <v>115453319573</v>
      </c>
      <c r="G1685" s="179" t="n">
        <v>115173555328</v>
      </c>
      <c r="H1685" s="179">
        <f>IFERROR(D1685+G1685,D1685)</f>
        <v/>
      </c>
      <c r="I1685" s="184">
        <f>IFERROR(D1685/H1685,"")</f>
        <v/>
      </c>
      <c r="J1685" s="179" t="n">
        <v>6888451071</v>
      </c>
      <c r="K1685" s="179" t="n">
        <v>13776902141</v>
      </c>
      <c r="L1685" s="179" t="n">
        <v>20665353212</v>
      </c>
    </row>
    <row r="1686" ht="15" customHeight="1" s="95">
      <c r="A1686" s="143" t="n">
        <v>45515</v>
      </c>
      <c r="B1686" s="146" t="n">
        <v>0.999972</v>
      </c>
      <c r="C1686" s="179" t="n">
        <v>34459345223</v>
      </c>
      <c r="D1686" s="179" t="n">
        <v>34460311962</v>
      </c>
      <c r="E1686" s="146" t="n">
        <v>1.000171</v>
      </c>
      <c r="F1686" s="179" t="n">
        <v>115682732676</v>
      </c>
      <c r="G1686" s="179" t="n">
        <v>115662943305</v>
      </c>
      <c r="H1686" s="179">
        <f>IFERROR(D1686+G1686,D1686)</f>
        <v/>
      </c>
      <c r="I1686" s="184">
        <f>IFERROR(D1686/H1686,"")</f>
        <v/>
      </c>
      <c r="J1686" s="179" t="n">
        <v>6892062392</v>
      </c>
      <c r="K1686" s="179" t="n">
        <v>13784124785</v>
      </c>
      <c r="L1686" s="179" t="n">
        <v>20676187177</v>
      </c>
    </row>
    <row r="1687" ht="15" customHeight="1" s="95">
      <c r="A1687" s="143" t="n">
        <v>45516</v>
      </c>
      <c r="B1687" s="146" t="n">
        <v>0.999833</v>
      </c>
      <c r="C1687" s="179" t="n">
        <v>34424689235</v>
      </c>
      <c r="D1687" s="179" t="n">
        <v>34430449281</v>
      </c>
      <c r="E1687" s="146" t="n">
        <v>1.00067</v>
      </c>
      <c r="F1687" s="179" t="n">
        <v>115569651109</v>
      </c>
      <c r="G1687" s="179" t="n">
        <v>115492322988</v>
      </c>
      <c r="H1687" s="179">
        <f>IFERROR(D1687+G1687,D1687)</f>
        <v/>
      </c>
      <c r="I1687" s="184">
        <f>IFERROR(D1687/H1687,"")</f>
        <v/>
      </c>
      <c r="J1687" s="179" t="n">
        <v>6886089856</v>
      </c>
      <c r="K1687" s="179" t="n">
        <v>13772179712</v>
      </c>
      <c r="L1687" s="179" t="n">
        <v>20658269569</v>
      </c>
    </row>
    <row r="1688" ht="15" customHeight="1" s="95">
      <c r="A1688" s="143" t="n">
        <v>45517</v>
      </c>
      <c r="B1688" s="146" t="n">
        <v>0.9999749999999999</v>
      </c>
      <c r="C1688" s="179" t="n">
        <v>34484174562</v>
      </c>
      <c r="D1688" s="179" t="n">
        <v>34485039045</v>
      </c>
      <c r="E1688" s="146" t="n">
        <v>1.000139</v>
      </c>
      <c r="F1688" s="179" t="n">
        <v>115615435596</v>
      </c>
      <c r="G1688" s="179" t="n">
        <v>115599323947</v>
      </c>
      <c r="H1688" s="179">
        <f>IFERROR(D1688+G1688,D1688)</f>
        <v/>
      </c>
      <c r="I1688" s="184">
        <f>IFERROR(D1688/H1688,"")</f>
        <v/>
      </c>
      <c r="J1688" s="179" t="n">
        <v>6897007809</v>
      </c>
      <c r="K1688" s="179" t="n">
        <v>13794015618</v>
      </c>
      <c r="L1688" s="179" t="n">
        <v>20691023427</v>
      </c>
    </row>
    <row r="1689" ht="15" customHeight="1" s="95">
      <c r="A1689" s="143" t="n">
        <v>45518</v>
      </c>
      <c r="B1689" s="146" t="n">
        <v>1.000494</v>
      </c>
      <c r="C1689" s="179" t="n">
        <v>34503458148</v>
      </c>
      <c r="D1689" s="179" t="n">
        <v>34486409653</v>
      </c>
      <c r="E1689" s="146" t="n">
        <v>1.000878</v>
      </c>
      <c r="F1689" s="179" t="n">
        <v>115768698244</v>
      </c>
      <c r="G1689" s="179" t="n">
        <v>115667170227</v>
      </c>
      <c r="H1689" s="179">
        <f>IFERROR(D1689+G1689,D1689)</f>
        <v/>
      </c>
      <c r="I1689" s="184">
        <f>IFERROR(D1689/H1689,"")</f>
        <v/>
      </c>
      <c r="J1689" s="179" t="n">
        <v>6897281931</v>
      </c>
      <c r="K1689" s="179" t="n">
        <v>13794563861</v>
      </c>
      <c r="L1689" s="179" t="n">
        <v>20691845792</v>
      </c>
    </row>
    <row r="1690" ht="15" customHeight="1" s="95">
      <c r="A1690" s="143" t="n">
        <v>45519</v>
      </c>
      <c r="B1690" s="146" t="n">
        <v>0.999851</v>
      </c>
      <c r="C1690" s="179" t="n">
        <v>34475527733</v>
      </c>
      <c r="D1690" s="179" t="n">
        <v>34480653511</v>
      </c>
      <c r="E1690" s="146" t="n">
        <v>1.000043</v>
      </c>
      <c r="F1690" s="179" t="n">
        <v>116190571128</v>
      </c>
      <c r="G1690" s="179" t="n">
        <v>116185570778</v>
      </c>
      <c r="H1690" s="179">
        <f>IFERROR(D1690+G1690,D1690)</f>
        <v/>
      </c>
      <c r="I1690" s="184">
        <f>IFERROR(D1690/H1690,"")</f>
        <v/>
      </c>
      <c r="J1690" s="179" t="n">
        <v>6896130702</v>
      </c>
      <c r="K1690" s="179" t="n">
        <v>13792261404</v>
      </c>
      <c r="L1690" s="179" t="n">
        <v>20688392107</v>
      </c>
    </row>
    <row r="1691" ht="15" customHeight="1" s="95">
      <c r="A1691" s="143" t="n">
        <v>45520</v>
      </c>
      <c r="B1691" s="146" t="n">
        <v>0.999955</v>
      </c>
      <c r="C1691" s="179" t="n">
        <v>34565781474</v>
      </c>
      <c r="D1691" s="179" t="n">
        <v>34567336735</v>
      </c>
      <c r="E1691" s="146" t="n">
        <v>1.000091</v>
      </c>
      <c r="F1691" s="179" t="n">
        <v>116521301017</v>
      </c>
      <c r="G1691" s="179" t="n">
        <v>116510750159</v>
      </c>
      <c r="H1691" s="179">
        <f>IFERROR(D1691+G1691,D1691)</f>
        <v/>
      </c>
      <c r="I1691" s="184">
        <f>IFERROR(D1691/H1691,"")</f>
        <v/>
      </c>
      <c r="J1691" s="179" t="n">
        <v>6913467347</v>
      </c>
      <c r="K1691" s="179" t="n">
        <v>13826934694</v>
      </c>
      <c r="L1691" s="179" t="n">
        <v>20740402041</v>
      </c>
    </row>
    <row r="1692" ht="15" customHeight="1" s="95">
      <c r="A1692" s="143" t="n">
        <v>45521</v>
      </c>
      <c r="B1692" s="146" t="n">
        <v>0.9995039999999999</v>
      </c>
      <c r="C1692" s="179" t="n">
        <v>34824646496</v>
      </c>
      <c r="D1692" s="179" t="n">
        <v>34841915813</v>
      </c>
      <c r="E1692" s="146" t="n">
        <v>0.999803</v>
      </c>
      <c r="F1692" s="179" t="n">
        <v>116732851982</v>
      </c>
      <c r="G1692" s="179" t="n">
        <v>116755830811</v>
      </c>
      <c r="H1692" s="179">
        <f>IFERROR(D1692+G1692,D1692)</f>
        <v/>
      </c>
      <c r="I1692" s="184">
        <f>IFERROR(D1692/H1692,"")</f>
        <v/>
      </c>
      <c r="J1692" s="179" t="n">
        <v>6968383163</v>
      </c>
      <c r="K1692" s="179" t="n">
        <v>13936766325</v>
      </c>
      <c r="L1692" s="179" t="n">
        <v>20905149488</v>
      </c>
    </row>
    <row r="1693" ht="15" customHeight="1" s="95">
      <c r="A1693" s="143" t="n">
        <v>45522</v>
      </c>
      <c r="B1693" s="146" t="n">
        <v>0.999926</v>
      </c>
      <c r="C1693" s="179" t="n">
        <v>34831557662</v>
      </c>
      <c r="D1693" s="179" t="n">
        <v>34834129050</v>
      </c>
      <c r="E1693" s="146" t="n">
        <v>1.000201</v>
      </c>
      <c r="F1693" s="179" t="n">
        <v>116866602270</v>
      </c>
      <c r="G1693" s="179" t="n">
        <v>116843093199</v>
      </c>
      <c r="H1693" s="179">
        <f>IFERROR(D1693+G1693,D1693)</f>
        <v/>
      </c>
      <c r="I1693" s="184">
        <f>IFERROR(D1693/H1693,"")</f>
        <v/>
      </c>
      <c r="J1693" s="179" t="n">
        <v>6966825810</v>
      </c>
      <c r="K1693" s="179" t="n">
        <v>13933651620</v>
      </c>
      <c r="L1693" s="179" t="n">
        <v>20900477430</v>
      </c>
    </row>
    <row r="1694" ht="15" customHeight="1" s="95">
      <c r="A1694" s="143" t="n">
        <v>45523</v>
      </c>
      <c r="B1694" s="146" t="n">
        <v>0.9982839999999999</v>
      </c>
      <c r="C1694" s="179" t="n">
        <v>34777228769</v>
      </c>
      <c r="D1694" s="179" t="n">
        <v>34837019791</v>
      </c>
      <c r="E1694" s="146" t="n">
        <v>0.998598</v>
      </c>
      <c r="F1694" s="179" t="n">
        <v>116739857897</v>
      </c>
      <c r="G1694" s="179" t="n">
        <v>116903706840</v>
      </c>
      <c r="H1694" s="179">
        <f>IFERROR(D1694+G1694,D1694)</f>
        <v/>
      </c>
      <c r="I1694" s="184">
        <f>IFERROR(D1694/H1694,"")</f>
        <v/>
      </c>
      <c r="J1694" s="179" t="n">
        <v>6967403958</v>
      </c>
      <c r="K1694" s="179" t="n">
        <v>13934807916</v>
      </c>
      <c r="L1694" s="179" t="n">
        <v>20902211875</v>
      </c>
    </row>
    <row r="1695" ht="15" customHeight="1" s="95">
      <c r="A1695" s="143" t="n">
        <v>45524</v>
      </c>
      <c r="B1695" s="146" t="n">
        <v>1.000829</v>
      </c>
      <c r="C1695" s="179" t="n">
        <v>34936724218</v>
      </c>
      <c r="D1695" s="179" t="n">
        <v>34907797901</v>
      </c>
      <c r="E1695" s="146" t="n">
        <v>1.000999</v>
      </c>
      <c r="F1695" s="179" t="n">
        <v>117015270220</v>
      </c>
      <c r="G1695" s="179" t="n">
        <v>116898480543</v>
      </c>
      <c r="H1695" s="179">
        <f>IFERROR(D1695+G1695,D1695)</f>
        <v/>
      </c>
      <c r="I1695" s="184">
        <f>IFERROR(D1695/H1695,"")</f>
        <v/>
      </c>
      <c r="J1695" s="179" t="n">
        <v>6981559580</v>
      </c>
      <c r="K1695" s="179" t="n">
        <v>13963119160</v>
      </c>
      <c r="L1695" s="179" t="n">
        <v>20944678741</v>
      </c>
    </row>
    <row r="1696" ht="15" customHeight="1" s="95">
      <c r="A1696" s="143" t="n">
        <v>45525</v>
      </c>
      <c r="B1696" s="146" t="n">
        <v>0.999645</v>
      </c>
      <c r="C1696" s="179" t="n">
        <v>34771665385</v>
      </c>
      <c r="D1696" s="179" t="n">
        <v>34784004628</v>
      </c>
      <c r="E1696" s="146" t="n">
        <v>0.99993</v>
      </c>
      <c r="F1696" s="179" t="n">
        <v>116980055140</v>
      </c>
      <c r="G1696" s="179" t="n">
        <v>116988232265</v>
      </c>
      <c r="H1696" s="179">
        <f>IFERROR(D1696+G1696,D1696)</f>
        <v/>
      </c>
      <c r="I1696" s="184">
        <f>IFERROR(D1696/H1696,"")</f>
        <v/>
      </c>
      <c r="J1696" s="179" t="n">
        <v>6956800926</v>
      </c>
      <c r="K1696" s="179" t="n">
        <v>13913601851</v>
      </c>
      <c r="L1696" s="179" t="n">
        <v>20870402777</v>
      </c>
    </row>
    <row r="1697" ht="15" customHeight="1" s="95">
      <c r="A1697" s="143" t="n">
        <v>45526</v>
      </c>
      <c r="B1697" s="146" t="n">
        <v>1.000055</v>
      </c>
      <c r="C1697" s="179" t="n">
        <v>34836415291</v>
      </c>
      <c r="D1697" s="179" t="n">
        <v>34834492052</v>
      </c>
      <c r="E1697" s="146" t="n">
        <v>1.000405</v>
      </c>
      <c r="F1697" s="179" t="n">
        <v>117370235101</v>
      </c>
      <c r="G1697" s="179" t="n">
        <v>117322728810</v>
      </c>
      <c r="H1697" s="179">
        <f>IFERROR(D1697+G1697,D1697)</f>
        <v/>
      </c>
      <c r="I1697" s="184">
        <f>IFERROR(D1697/H1697,"")</f>
        <v/>
      </c>
      <c r="J1697" s="179" t="n">
        <v>6966898410</v>
      </c>
      <c r="K1697" s="179" t="n">
        <v>13933796821</v>
      </c>
      <c r="L1697" s="179" t="n">
        <v>20900695231</v>
      </c>
    </row>
    <row r="1698" ht="15" customHeight="1" s="95">
      <c r="A1698" s="143" t="n">
        <v>45527</v>
      </c>
      <c r="B1698" s="146" t="n">
        <v>1.000021</v>
      </c>
      <c r="C1698" s="179" t="n">
        <v>34706748649</v>
      </c>
      <c r="D1698" s="179" t="n">
        <v>34706023410</v>
      </c>
      <c r="E1698" s="146" t="n">
        <v>1.000089</v>
      </c>
      <c r="F1698" s="179" t="n">
        <v>117411769439</v>
      </c>
      <c r="G1698" s="179" t="n">
        <v>117401281052</v>
      </c>
      <c r="H1698" s="179">
        <f>IFERROR(D1698+G1698,D1698)</f>
        <v/>
      </c>
      <c r="I1698" s="184">
        <f>IFERROR(D1698/H1698,"")</f>
        <v/>
      </c>
      <c r="J1698" s="179" t="n">
        <v>6941204682</v>
      </c>
      <c r="K1698" s="179" t="n">
        <v>13882409364</v>
      </c>
      <c r="L1698" s="179" t="n">
        <v>20823614046</v>
      </c>
    </row>
    <row r="1699" ht="15" customHeight="1" s="95">
      <c r="A1699" s="143" t="n">
        <v>45528</v>
      </c>
      <c r="B1699" s="146" t="n">
        <v>1.00038</v>
      </c>
      <c r="C1699" s="179" t="n">
        <v>34813574600</v>
      </c>
      <c r="D1699" s="179" t="n">
        <v>34800343178</v>
      </c>
      <c r="E1699" s="146" t="n">
        <v>1.001558</v>
      </c>
      <c r="F1699" s="179" t="n">
        <v>117853361164</v>
      </c>
      <c r="G1699" s="179" t="n">
        <v>117670064097</v>
      </c>
      <c r="H1699" s="179">
        <f>IFERROR(D1699+G1699,D1699)</f>
        <v/>
      </c>
      <c r="I1699" s="184">
        <f>IFERROR(D1699/H1699,"")</f>
        <v/>
      </c>
      <c r="J1699" s="179" t="n">
        <v>6960068636</v>
      </c>
      <c r="K1699" s="179" t="n">
        <v>13920137271</v>
      </c>
      <c r="L1699" s="179" t="n">
        <v>20880205907</v>
      </c>
    </row>
    <row r="1700" ht="15" customHeight="1" s="95">
      <c r="A1700" s="143" t="n">
        <v>45529</v>
      </c>
      <c r="B1700" s="146" t="n">
        <v>1.000882</v>
      </c>
      <c r="C1700" s="179" t="n">
        <v>34870903062</v>
      </c>
      <c r="D1700" s="179" t="n">
        <v>34840179642</v>
      </c>
      <c r="E1700" s="146" t="n">
        <v>1.00139</v>
      </c>
      <c r="F1700" s="179" t="n">
        <v>117976041920</v>
      </c>
      <c r="G1700" s="179" t="n">
        <v>117812279230</v>
      </c>
      <c r="H1700" s="179">
        <f>IFERROR(D1700+G1700,D1700)</f>
        <v/>
      </c>
      <c r="I1700" s="184">
        <f>IFERROR(D1700/H1700,"")</f>
        <v/>
      </c>
      <c r="J1700" s="179" t="n">
        <v>6968035928</v>
      </c>
      <c r="K1700" s="179" t="n">
        <v>13936071857</v>
      </c>
      <c r="L1700" s="179" t="n">
        <v>20904107785</v>
      </c>
    </row>
    <row r="1701" ht="15" customHeight="1" s="95">
      <c r="A1701" s="143" t="n">
        <v>45530</v>
      </c>
      <c r="B1701" s="146" t="n">
        <v>0.999324</v>
      </c>
      <c r="C1701" s="179" t="n">
        <v>34791722869</v>
      </c>
      <c r="D1701" s="179" t="n">
        <v>34815261913</v>
      </c>
      <c r="E1701" s="146" t="n">
        <v>0.999711</v>
      </c>
      <c r="F1701" s="179" t="n">
        <v>117925656123</v>
      </c>
      <c r="G1701" s="179" t="n">
        <v>117959759844</v>
      </c>
      <c r="H1701" s="179">
        <f>IFERROR(D1701+G1701,D1701)</f>
        <v/>
      </c>
      <c r="I1701" s="184">
        <f>IFERROR(D1701/H1701,"")</f>
        <v/>
      </c>
      <c r="J1701" s="179" t="n">
        <v>6963052383</v>
      </c>
      <c r="K1701" s="179" t="n">
        <v>13926104765</v>
      </c>
      <c r="L1701" s="179" t="n">
        <v>20889157148</v>
      </c>
    </row>
    <row r="1702" ht="15" customHeight="1" s="95">
      <c r="A1702" s="143" t="n">
        <v>45531</v>
      </c>
      <c r="B1702" s="146" t="n">
        <v>0.999426</v>
      </c>
      <c r="C1702" s="179" t="n">
        <v>34552804325</v>
      </c>
      <c r="D1702" s="179" t="n">
        <v>34572647517</v>
      </c>
      <c r="E1702" s="146" t="n">
        <v>0.999943</v>
      </c>
      <c r="F1702" s="179" t="n">
        <v>117869723009</v>
      </c>
      <c r="G1702" s="179" t="n">
        <v>117876443720</v>
      </c>
      <c r="H1702" s="179">
        <f>IFERROR(D1702+G1702,D1702)</f>
        <v/>
      </c>
      <c r="I1702" s="184">
        <f>IFERROR(D1702/H1702,"")</f>
        <v/>
      </c>
      <c r="J1702" s="179" t="n">
        <v>6914529503</v>
      </c>
      <c r="K1702" s="179" t="n">
        <v>13829059007</v>
      </c>
      <c r="L1702" s="179" t="n">
        <v>20743588510</v>
      </c>
    </row>
    <row r="1703" ht="15" customHeight="1" s="95">
      <c r="A1703" s="143" t="n">
        <v>45532</v>
      </c>
      <c r="B1703" s="146" t="n">
        <v>0.999543</v>
      </c>
      <c r="C1703" s="179" t="n">
        <v>34315752061</v>
      </c>
      <c r="D1703" s="179" t="n">
        <v>34331439409</v>
      </c>
      <c r="E1703" s="146" t="n">
        <v>0.999106</v>
      </c>
      <c r="F1703" s="179" t="n">
        <v>117955490801</v>
      </c>
      <c r="G1703" s="179" t="n">
        <v>118061089061</v>
      </c>
      <c r="H1703" s="179">
        <f>IFERROR(D1703+G1703,D1703)</f>
        <v/>
      </c>
      <c r="I1703" s="184">
        <f>IFERROR(D1703/H1703,"")</f>
        <v/>
      </c>
      <c r="J1703" s="179" t="n">
        <v>6866287882</v>
      </c>
      <c r="K1703" s="179" t="n">
        <v>13732575764</v>
      </c>
      <c r="L1703" s="179" t="n">
        <v>20598863645</v>
      </c>
    </row>
    <row r="1704" ht="15" customHeight="1" s="95">
      <c r="A1704" s="143" t="n">
        <v>45533</v>
      </c>
      <c r="B1704" s="146" t="n">
        <v>0.999363</v>
      </c>
      <c r="C1704" s="179" t="n">
        <v>34459204036</v>
      </c>
      <c r="D1704" s="179" t="n">
        <v>34481171119</v>
      </c>
      <c r="E1704" s="146" t="n">
        <v>0.9991100000000001</v>
      </c>
      <c r="F1704" s="179" t="n">
        <v>118135731907</v>
      </c>
      <c r="G1704" s="179" t="n">
        <v>118240987354</v>
      </c>
      <c r="H1704" s="179">
        <f>IFERROR(D1704+G1704,D1704)</f>
        <v/>
      </c>
      <c r="I1704" s="184">
        <f>IFERROR(D1704/H1704,"")</f>
        <v/>
      </c>
      <c r="J1704" s="179" t="n">
        <v>6896234224</v>
      </c>
      <c r="K1704" s="179" t="n">
        <v>13792468448</v>
      </c>
      <c r="L1704" s="179" t="n">
        <v>20688702671</v>
      </c>
    </row>
    <row r="1705" ht="15" customHeight="1" s="95">
      <c r="A1705" s="143" t="n">
        <v>45534</v>
      </c>
      <c r="B1705" s="146" t="n">
        <v>0.999627</v>
      </c>
      <c r="C1705" s="179" t="n">
        <v>34671531089</v>
      </c>
      <c r="D1705" s="179" t="n">
        <v>34684483418</v>
      </c>
      <c r="E1705" s="146" t="n">
        <v>0.999754</v>
      </c>
      <c r="F1705" s="179" t="n">
        <v>118172891314</v>
      </c>
      <c r="G1705" s="179" t="n">
        <v>118201941643</v>
      </c>
      <c r="H1705" s="179">
        <f>IFERROR(D1705+G1705,D1705)</f>
        <v/>
      </c>
      <c r="I1705" s="184">
        <f>IFERROR(D1705/H1705,"")</f>
        <v/>
      </c>
      <c r="J1705" s="179" t="n">
        <v>6936896684</v>
      </c>
      <c r="K1705" s="179" t="n">
        <v>13873793367</v>
      </c>
      <c r="L1705" s="179" t="n">
        <v>20810690051</v>
      </c>
    </row>
    <row r="1706" ht="15" customHeight="1" s="95">
      <c r="A1706" s="143" t="n">
        <v>45535</v>
      </c>
      <c r="B1706" s="146" t="n">
        <v>1.000045</v>
      </c>
      <c r="C1706" s="179" t="n">
        <v>34747703814</v>
      </c>
      <c r="D1706" s="179" t="n">
        <v>34746130908</v>
      </c>
      <c r="E1706" s="146" t="n">
        <v>1.000168</v>
      </c>
      <c r="F1706" s="179" t="n">
        <v>118222000180</v>
      </c>
      <c r="G1706" s="179" t="n">
        <v>118202145236</v>
      </c>
      <c r="H1706" s="179">
        <f>IFERROR(D1706+G1706,D1706)</f>
        <v/>
      </c>
      <c r="I1706" s="184">
        <f>IFERROR(D1706/H1706,"")</f>
        <v/>
      </c>
      <c r="J1706" s="179" t="n">
        <v>6949226182</v>
      </c>
      <c r="K1706" s="179" t="n">
        <v>13898452363</v>
      </c>
      <c r="L1706" s="179" t="n">
        <v>20847678545</v>
      </c>
    </row>
    <row r="1707" ht="15" customHeight="1" s="95">
      <c r="A1707" s="143" t="n">
        <v>45536</v>
      </c>
      <c r="B1707" s="146" t="n">
        <v>0.999908</v>
      </c>
      <c r="C1707" s="179" t="n">
        <v>34724859508</v>
      </c>
      <c r="D1707" s="179" t="n">
        <v>34728069454</v>
      </c>
      <c r="E1707" s="146" t="n">
        <v>0.999849</v>
      </c>
      <c r="F1707" s="179" t="n">
        <v>118230433723</v>
      </c>
      <c r="G1707" s="179" t="n">
        <v>118248299587</v>
      </c>
      <c r="H1707" s="179">
        <f>IFERROR(D1707+G1707,D1707)</f>
        <v/>
      </c>
      <c r="I1707" s="184">
        <f>IFERROR(D1707/H1707,"")</f>
        <v/>
      </c>
      <c r="J1707" s="179" t="n">
        <v>6945613891</v>
      </c>
      <c r="K1707" s="179" t="n">
        <v>13891227782</v>
      </c>
      <c r="L1707" s="179" t="n">
        <v>20836841672</v>
      </c>
    </row>
    <row r="1708" ht="15" customHeight="1" s="95">
      <c r="A1708" s="143" t="n">
        <v>45537</v>
      </c>
      <c r="B1708" s="146" t="n">
        <v>1.000325</v>
      </c>
      <c r="C1708" s="179" t="n">
        <v>34753454088</v>
      </c>
      <c r="D1708" s="179" t="n">
        <v>34742145574</v>
      </c>
      <c r="E1708" s="146" t="n">
        <v>1.000525</v>
      </c>
      <c r="F1708" s="179" t="n">
        <v>118295677077</v>
      </c>
      <c r="G1708" s="179" t="n">
        <v>118233609243</v>
      </c>
      <c r="H1708" s="179">
        <f>IFERROR(D1708+G1708,D1708)</f>
        <v/>
      </c>
      <c r="I1708" s="184">
        <f>IFERROR(D1708/H1708,"")</f>
        <v/>
      </c>
      <c r="J1708" s="179" t="n">
        <v>6948429115</v>
      </c>
      <c r="K1708" s="179" t="n">
        <v>13896858230</v>
      </c>
      <c r="L1708" s="179" t="n">
        <v>20845287344</v>
      </c>
    </row>
    <row r="1709" ht="15" customHeight="1" s="95">
      <c r="A1709" s="143" t="n">
        <v>45538</v>
      </c>
      <c r="B1709" s="146" t="n">
        <v>1.000089</v>
      </c>
      <c r="C1709" s="179" t="n">
        <v>34765849238</v>
      </c>
      <c r="D1709" s="179" t="n">
        <v>34762743724</v>
      </c>
      <c r="E1709" s="146" t="n">
        <v>0.9999749999999999</v>
      </c>
      <c r="F1709" s="179" t="n">
        <v>118015323883</v>
      </c>
      <c r="G1709" s="179" t="n">
        <v>118018315836</v>
      </c>
      <c r="H1709" s="179">
        <f>IFERROR(D1709+G1709,D1709)</f>
        <v/>
      </c>
      <c r="I1709" s="184">
        <f>IFERROR(D1709/H1709,"")</f>
        <v/>
      </c>
      <c r="J1709" s="179" t="n">
        <v>6952548745</v>
      </c>
      <c r="K1709" s="179" t="n">
        <v>13905097490</v>
      </c>
      <c r="L1709" s="179" t="n">
        <v>20857646234</v>
      </c>
    </row>
    <row r="1710" ht="15" customHeight="1" s="95">
      <c r="A1710" s="143" t="n">
        <v>45539</v>
      </c>
      <c r="B1710" s="146" t="n">
        <v>0.998525</v>
      </c>
      <c r="C1710" s="179" t="n">
        <v>34564791785</v>
      </c>
      <c r="D1710" s="179" t="n">
        <v>34615852808</v>
      </c>
      <c r="E1710" s="146" t="n">
        <v>0.998101</v>
      </c>
      <c r="F1710" s="179" t="n">
        <v>117932307878</v>
      </c>
      <c r="G1710" s="179" t="n">
        <v>118156634086</v>
      </c>
      <c r="H1710" s="179">
        <f>IFERROR(D1710+G1710,D1710)</f>
        <v/>
      </c>
      <c r="I1710" s="184">
        <f>IFERROR(D1710/H1710,"")</f>
        <v/>
      </c>
      <c r="J1710" s="179" t="n">
        <v>6923170562</v>
      </c>
      <c r="K1710" s="179" t="n">
        <v>13846341123</v>
      </c>
      <c r="L1710" s="179" t="n">
        <v>20769511685</v>
      </c>
    </row>
    <row r="1711" ht="15" customHeight="1" s="95">
      <c r="A1711" s="143" t="n">
        <v>45540</v>
      </c>
      <c r="B1711" s="146" t="n">
        <v>0.999981</v>
      </c>
      <c r="C1711" s="179" t="n">
        <v>34902055785</v>
      </c>
      <c r="D1711" s="179" t="n">
        <v>34902723798</v>
      </c>
      <c r="E1711" s="146" t="n">
        <v>1.000062</v>
      </c>
      <c r="F1711" s="179" t="n">
        <v>118074249578</v>
      </c>
      <c r="G1711" s="179" t="n">
        <v>118066950301</v>
      </c>
      <c r="H1711" s="179">
        <f>IFERROR(D1711+G1711,D1711)</f>
        <v/>
      </c>
      <c r="I1711" s="184">
        <f>IFERROR(D1711/H1711,"")</f>
        <v/>
      </c>
      <c r="J1711" s="179" t="n">
        <v>6980544760</v>
      </c>
      <c r="K1711" s="179" t="n">
        <v>13961089519</v>
      </c>
      <c r="L1711" s="179" t="n">
        <v>20941634279</v>
      </c>
    </row>
    <row r="1712" ht="15" customHeight="1" s="95">
      <c r="A1712" s="143" t="n">
        <v>45541</v>
      </c>
      <c r="B1712" s="146" t="n">
        <v>1.000095</v>
      </c>
      <c r="C1712" s="179" t="n">
        <v>34929814803</v>
      </c>
      <c r="D1712" s="179" t="n">
        <v>34926503646</v>
      </c>
      <c r="E1712" s="146" t="n">
        <v>0.999541</v>
      </c>
      <c r="F1712" s="179" t="n">
        <v>118124553014</v>
      </c>
      <c r="G1712" s="179" t="n">
        <v>118178760918</v>
      </c>
      <c r="H1712" s="179">
        <f>IFERROR(D1712+G1712,D1712)</f>
        <v/>
      </c>
      <c r="I1712" s="184">
        <f>IFERROR(D1712/H1712,"")</f>
        <v/>
      </c>
      <c r="J1712" s="179" t="n">
        <v>6985300729</v>
      </c>
      <c r="K1712" s="179" t="n">
        <v>13970601458</v>
      </c>
      <c r="L1712" s="179" t="n">
        <v>20955902188</v>
      </c>
    </row>
    <row r="1713" ht="15" customHeight="1" s="95">
      <c r="A1713" s="143" t="n">
        <v>45542</v>
      </c>
      <c r="B1713" s="146" t="n">
        <v>0.9998899999999999</v>
      </c>
      <c r="C1713" s="179" t="n">
        <v>34868344534</v>
      </c>
      <c r="D1713" s="179" t="n">
        <v>34872194254</v>
      </c>
      <c r="E1713" s="146" t="n">
        <v>1.000017</v>
      </c>
      <c r="F1713" s="179" t="n">
        <v>118197461602</v>
      </c>
      <c r="G1713" s="179" t="n">
        <v>118195482709</v>
      </c>
      <c r="H1713" s="179">
        <f>IFERROR(D1713+G1713,D1713)</f>
        <v/>
      </c>
      <c r="I1713" s="184">
        <f>IFERROR(D1713/H1713,"")</f>
        <v/>
      </c>
      <c r="J1713" s="179" t="n">
        <v>6974438851</v>
      </c>
      <c r="K1713" s="179" t="n">
        <v>13948877702</v>
      </c>
      <c r="L1713" s="179" t="n">
        <v>20923316552</v>
      </c>
    </row>
    <row r="1714" ht="15" customHeight="1" s="95">
      <c r="A1714" s="143" t="n">
        <v>45543</v>
      </c>
      <c r="B1714" s="146" t="n">
        <v>1.000052</v>
      </c>
      <c r="C1714" s="179" t="n">
        <v>34958889878</v>
      </c>
      <c r="D1714" s="179" t="n">
        <v>34957059432</v>
      </c>
      <c r="E1714" s="146" t="n">
        <v>1.000204</v>
      </c>
      <c r="F1714" s="179" t="n">
        <v>118192306888</v>
      </c>
      <c r="G1714" s="179" t="n">
        <v>118168158737</v>
      </c>
      <c r="H1714" s="179">
        <f>IFERROR(D1714+G1714,D1714)</f>
        <v/>
      </c>
      <c r="I1714" s="184">
        <f>IFERROR(D1714/H1714,"")</f>
        <v/>
      </c>
      <c r="J1714" s="179" t="n">
        <v>6991411886</v>
      </c>
      <c r="K1714" s="179" t="n">
        <v>13982823773</v>
      </c>
      <c r="L1714" s="179" t="n">
        <v>20974235659</v>
      </c>
    </row>
    <row r="1715" ht="15" customHeight="1" s="95">
      <c r="A1715" s="143" t="n">
        <v>45544</v>
      </c>
      <c r="B1715" s="146" t="n">
        <v>0.99943</v>
      </c>
      <c r="C1715" s="179" t="n">
        <v>34971059795</v>
      </c>
      <c r="D1715" s="179" t="n">
        <v>34990991292</v>
      </c>
      <c r="E1715" s="146" t="n">
        <v>0.999248</v>
      </c>
      <c r="F1715" s="179" t="n">
        <v>118097524596</v>
      </c>
      <c r="G1715" s="179" t="n">
        <v>118186453775</v>
      </c>
      <c r="H1715" s="179">
        <f>IFERROR(D1715+G1715,D1715)</f>
        <v/>
      </c>
      <c r="I1715" s="184">
        <f>IFERROR(D1715/H1715,"")</f>
        <v/>
      </c>
      <c r="J1715" s="179" t="n">
        <v>6998198258</v>
      </c>
      <c r="K1715" s="179" t="n">
        <v>13996396517</v>
      </c>
      <c r="L1715" s="179" t="n">
        <v>20994594775</v>
      </c>
    </row>
    <row r="1716" ht="15" customHeight="1" s="95">
      <c r="A1716" s="143" t="n">
        <v>45545</v>
      </c>
      <c r="B1716" s="146" t="n">
        <v>0.999387</v>
      </c>
      <c r="C1716" s="179" t="n">
        <v>35143085582</v>
      </c>
      <c r="D1716" s="179" t="n">
        <v>35164626236</v>
      </c>
      <c r="E1716" s="146" t="n">
        <v>0.999537</v>
      </c>
      <c r="F1716" s="179" t="n">
        <v>118169308693</v>
      </c>
      <c r="G1716" s="179" t="n">
        <v>118224084536</v>
      </c>
      <c r="H1716" s="179">
        <f>IFERROR(D1716+G1716,D1716)</f>
        <v/>
      </c>
      <c r="I1716" s="184">
        <f>IFERROR(D1716/H1716,"")</f>
        <v/>
      </c>
      <c r="J1716" s="179" t="n">
        <v>7032925247</v>
      </c>
      <c r="K1716" s="179" t="n">
        <v>14065850494</v>
      </c>
      <c r="L1716" s="179" t="n">
        <v>21098775742</v>
      </c>
    </row>
    <row r="1717" ht="15" customHeight="1" s="95">
      <c r="A1717" s="143" t="n">
        <v>45546</v>
      </c>
      <c r="B1717" s="146" t="n">
        <v>0.999841</v>
      </c>
      <c r="C1717" s="179" t="n">
        <v>35331161068</v>
      </c>
      <c r="D1717" s="179" t="n">
        <v>35336784095</v>
      </c>
      <c r="E1717" s="146" t="n">
        <v>1.0002</v>
      </c>
      <c r="F1717" s="179" t="n">
        <v>118369979986</v>
      </c>
      <c r="G1717" s="179" t="n">
        <v>118346362510</v>
      </c>
      <c r="H1717" s="179">
        <f>IFERROR(D1717+G1717,D1717)</f>
        <v/>
      </c>
      <c r="I1717" s="184">
        <f>IFERROR(D1717/H1717,"")</f>
        <v/>
      </c>
      <c r="J1717" s="179" t="n">
        <v>7067356819</v>
      </c>
      <c r="K1717" s="179" t="n">
        <v>14134713638</v>
      </c>
      <c r="L1717" s="179" t="n">
        <v>21202070457</v>
      </c>
    </row>
    <row r="1718" ht="15" customHeight="1" s="95">
      <c r="A1718" s="143" t="n">
        <v>45547</v>
      </c>
      <c r="B1718" s="146" t="n">
        <v>0.999543</v>
      </c>
      <c r="C1718" s="179" t="n">
        <v>35384039419</v>
      </c>
      <c r="D1718" s="179" t="n">
        <v>35400215701</v>
      </c>
      <c r="E1718" s="146" t="n">
        <v>0.999856</v>
      </c>
      <c r="F1718" s="179" t="n">
        <v>118453823970</v>
      </c>
      <c r="G1718" s="179" t="n">
        <v>118470890594</v>
      </c>
      <c r="H1718" s="179">
        <f>IFERROR(D1718+G1718,D1718)</f>
        <v/>
      </c>
      <c r="I1718" s="184">
        <f>IFERROR(D1718/H1718,"")</f>
        <v/>
      </c>
      <c r="J1718" s="179" t="n">
        <v>7080043140</v>
      </c>
      <c r="K1718" s="179" t="n">
        <v>14160086280</v>
      </c>
      <c r="L1718" s="179" t="n">
        <v>21240129421</v>
      </c>
    </row>
    <row r="1719" ht="15" customHeight="1" s="95">
      <c r="A1719" s="143" t="n">
        <v>45548</v>
      </c>
      <c r="B1719" s="146" t="n">
        <v>0.999521</v>
      </c>
      <c r="C1719" s="179" t="n">
        <v>35402218346</v>
      </c>
      <c r="D1719" s="179" t="n">
        <v>35419187632</v>
      </c>
      <c r="E1719" s="146" t="n">
        <v>0.999753</v>
      </c>
      <c r="F1719" s="179" t="n">
        <v>118400065870</v>
      </c>
      <c r="G1719" s="179" t="n">
        <v>118429285031</v>
      </c>
      <c r="H1719" s="179">
        <f>IFERROR(D1719+G1719,D1719)</f>
        <v/>
      </c>
      <c r="I1719" s="184">
        <f>IFERROR(D1719/H1719,"")</f>
        <v/>
      </c>
      <c r="J1719" s="179" t="n">
        <v>7083837526</v>
      </c>
      <c r="K1719" s="179" t="n">
        <v>14167675053</v>
      </c>
      <c r="L1719" s="179" t="n">
        <v>21251512579</v>
      </c>
    </row>
    <row r="1720" ht="15" customHeight="1" s="95">
      <c r="A1720" s="143" t="n">
        <v>45549</v>
      </c>
      <c r="B1720" s="146" t="n">
        <v>0.999974</v>
      </c>
      <c r="C1720" s="179" t="n">
        <v>35781691916</v>
      </c>
      <c r="D1720" s="179" t="n">
        <v>35782636205</v>
      </c>
      <c r="E1720" s="146" t="n">
        <v>1.00075</v>
      </c>
      <c r="F1720" s="179" t="n">
        <v>118715373464</v>
      </c>
      <c r="G1720" s="179" t="n">
        <v>118626410615</v>
      </c>
      <c r="H1720" s="179">
        <f>IFERROR(D1720+G1720,D1720)</f>
        <v/>
      </c>
      <c r="I1720" s="184">
        <f>IFERROR(D1720/H1720,"")</f>
        <v/>
      </c>
      <c r="J1720" s="179" t="n">
        <v>7156527241</v>
      </c>
      <c r="K1720" s="179" t="n">
        <v>14313054482</v>
      </c>
      <c r="L1720" s="179" t="n">
        <v>21469581723</v>
      </c>
    </row>
    <row r="1721" ht="15" customHeight="1" s="95">
      <c r="A1721" s="143" t="n">
        <v>45550</v>
      </c>
      <c r="B1721" s="146" t="n">
        <v>0.999987</v>
      </c>
      <c r="C1721" s="179" t="n">
        <v>35751155721</v>
      </c>
      <c r="D1721" s="179" t="n">
        <v>35751603323</v>
      </c>
      <c r="E1721" s="146" t="n">
        <v>1.000343</v>
      </c>
      <c r="F1721" s="179" t="n">
        <v>118621353590</v>
      </c>
      <c r="G1721" s="179" t="n">
        <v>118580682467</v>
      </c>
      <c r="H1721" s="179">
        <f>IFERROR(D1721+G1721,D1721)</f>
        <v/>
      </c>
      <c r="I1721" s="184">
        <f>IFERROR(D1721/H1721,"")</f>
        <v/>
      </c>
      <c r="J1721" s="179" t="n">
        <v>7150320665</v>
      </c>
      <c r="K1721" s="179" t="n">
        <v>14300641329</v>
      </c>
      <c r="L1721" s="179" t="n">
        <v>21450961994</v>
      </c>
    </row>
    <row r="1722" ht="15" customHeight="1" s="95">
      <c r="A1722" s="143" t="n">
        <v>45551</v>
      </c>
      <c r="B1722" s="146" t="n">
        <v>1.000348</v>
      </c>
      <c r="C1722" s="179" t="n">
        <v>35734339821</v>
      </c>
      <c r="D1722" s="179" t="n">
        <v>35721911211</v>
      </c>
      <c r="E1722" s="146" t="n">
        <v>1.000536</v>
      </c>
      <c r="F1722" s="179" t="n">
        <v>118802612881</v>
      </c>
      <c r="G1722" s="179" t="n">
        <v>118738970760</v>
      </c>
      <c r="H1722" s="179">
        <f>IFERROR(D1722+G1722,D1722)</f>
        <v/>
      </c>
      <c r="I1722" s="184">
        <f>IFERROR(D1722/H1722,"")</f>
        <v/>
      </c>
      <c r="J1722" s="179" t="n">
        <v>7144382242</v>
      </c>
      <c r="K1722" s="179" t="n">
        <v>14288764484</v>
      </c>
      <c r="L1722" s="179" t="n">
        <v>21433146727</v>
      </c>
    </row>
    <row r="1723" ht="15" customHeight="1" s="95">
      <c r="A1723" s="143" t="n">
        <v>45552</v>
      </c>
      <c r="B1723" s="146" t="n">
        <v>0.9993919999999999</v>
      </c>
      <c r="C1723" s="179" t="n">
        <v>35445097820</v>
      </c>
      <c r="D1723" s="179" t="n">
        <v>35466675787</v>
      </c>
      <c r="E1723" s="146" t="n">
        <v>0.999318</v>
      </c>
      <c r="F1723" s="179" t="n">
        <v>118588812120</v>
      </c>
      <c r="G1723" s="179" t="n">
        <v>118669751694</v>
      </c>
      <c r="H1723" s="179">
        <f>IFERROR(D1723+G1723,D1723)</f>
        <v/>
      </c>
      <c r="I1723" s="184">
        <f>IFERROR(D1723/H1723,"")</f>
        <v/>
      </c>
      <c r="J1723" s="179" t="n">
        <v>7093335157</v>
      </c>
      <c r="K1723" s="179" t="n">
        <v>14186670315</v>
      </c>
      <c r="L1723" s="179" t="n">
        <v>21280005472</v>
      </c>
    </row>
    <row r="1724" ht="15" customHeight="1" s="95">
      <c r="A1724" s="143" t="n">
        <v>45553</v>
      </c>
      <c r="B1724" s="146" t="n">
        <v>0.999953</v>
      </c>
      <c r="C1724" s="179" t="n">
        <v>35629551762</v>
      </c>
      <c r="D1724" s="179" t="n">
        <v>35631218207</v>
      </c>
      <c r="E1724" s="146" t="n">
        <v>1.000143</v>
      </c>
      <c r="F1724" s="179" t="n">
        <v>118718182140</v>
      </c>
      <c r="G1724" s="179" t="n">
        <v>118701184397</v>
      </c>
      <c r="H1724" s="179">
        <f>IFERROR(D1724+G1724,D1724)</f>
        <v/>
      </c>
      <c r="I1724" s="184">
        <f>IFERROR(D1724/H1724,"")</f>
        <v/>
      </c>
      <c r="J1724" s="179" t="n">
        <v>7126243641</v>
      </c>
      <c r="K1724" s="179" t="n">
        <v>14252487283</v>
      </c>
      <c r="L1724" s="179" t="n">
        <v>21378730924</v>
      </c>
    </row>
    <row r="1725" ht="15" customHeight="1" s="95">
      <c r="A1725" s="143" t="n">
        <v>45554</v>
      </c>
      <c r="B1725" s="146" t="n">
        <v>1.001359</v>
      </c>
      <c r="C1725" s="179" t="n">
        <v>35540249254</v>
      </c>
      <c r="D1725" s="179" t="n">
        <v>35492003176</v>
      </c>
      <c r="E1725" s="146" t="n">
        <v>1.00153</v>
      </c>
      <c r="F1725" s="179" t="n">
        <v>118956816677</v>
      </c>
      <c r="G1725" s="179" t="n">
        <v>118775060153</v>
      </c>
      <c r="H1725" s="179">
        <f>IFERROR(D1725+G1725,D1725)</f>
        <v/>
      </c>
      <c r="I1725" s="184">
        <f>IFERROR(D1725/H1725,"")</f>
        <v/>
      </c>
      <c r="J1725" s="179" t="n">
        <v>7098400635</v>
      </c>
      <c r="K1725" s="179" t="n">
        <v>14196801270</v>
      </c>
      <c r="L1725" s="179" t="n">
        <v>21295201906</v>
      </c>
    </row>
    <row r="1726" ht="15" customHeight="1" s="95">
      <c r="A1726" s="143" t="n">
        <v>45555</v>
      </c>
      <c r="B1726" s="146" t="n">
        <v>0.9998320000000001</v>
      </c>
      <c r="C1726" s="179" t="n">
        <v>35606165703</v>
      </c>
      <c r="D1726" s="179" t="n">
        <v>35612147332</v>
      </c>
      <c r="E1726" s="146" t="n">
        <v>1.000083</v>
      </c>
      <c r="F1726" s="179" t="n">
        <v>118889277623</v>
      </c>
      <c r="G1726" s="179" t="n">
        <v>118879425089</v>
      </c>
      <c r="H1726" s="179">
        <f>IFERROR(D1726+G1726,D1726)</f>
        <v/>
      </c>
      <c r="I1726" s="184">
        <f>IFERROR(D1726/H1726,"")</f>
        <v/>
      </c>
      <c r="J1726" s="179" t="n">
        <v>7122429466</v>
      </c>
      <c r="K1726" s="179" t="n">
        <v>14244858933</v>
      </c>
      <c r="L1726" s="179" t="n">
        <v>21367288399</v>
      </c>
    </row>
    <row r="1727" ht="15" customHeight="1" s="95">
      <c r="A1727" s="143" t="n">
        <v>45556</v>
      </c>
      <c r="B1727" s="146" t="n">
        <v>0.999989</v>
      </c>
      <c r="C1727" s="179" t="n">
        <v>35807440399</v>
      </c>
      <c r="D1727" s="179" t="n">
        <v>35807819460</v>
      </c>
      <c r="E1727" s="146" t="n">
        <v>1.000273</v>
      </c>
      <c r="F1727" s="179" t="n">
        <v>119089506174</v>
      </c>
      <c r="G1727" s="179" t="n">
        <v>119057052600</v>
      </c>
      <c r="H1727" s="179">
        <f>IFERROR(D1727+G1727,D1727)</f>
        <v/>
      </c>
      <c r="I1727" s="184">
        <f>IFERROR(D1727/H1727,"")</f>
        <v/>
      </c>
      <c r="J1727" s="179" t="n">
        <v>7161563892</v>
      </c>
      <c r="K1727" s="179" t="n">
        <v>14323127784</v>
      </c>
      <c r="L1727" s="179" t="n">
        <v>21484691676</v>
      </c>
    </row>
    <row r="1728" ht="15" customHeight="1" s="95">
      <c r="A1728" s="143" t="n">
        <v>45557</v>
      </c>
      <c r="B1728" s="146" t="n">
        <v>0.999929</v>
      </c>
      <c r="C1728" s="179" t="n">
        <v>35842497426</v>
      </c>
      <c r="D1728" s="179" t="n">
        <v>35845028017</v>
      </c>
      <c r="E1728" s="146" t="n">
        <v>0.999847</v>
      </c>
      <c r="F1728" s="179" t="n">
        <v>119131553251</v>
      </c>
      <c r="G1728" s="179" t="n">
        <v>119149790509</v>
      </c>
      <c r="H1728" s="179">
        <f>IFERROR(D1728+G1728,D1728)</f>
        <v/>
      </c>
      <c r="I1728" s="184">
        <f>IFERROR(D1728/H1728,"")</f>
        <v/>
      </c>
      <c r="J1728" s="179" t="n">
        <v>7169005603</v>
      </c>
      <c r="K1728" s="179" t="n">
        <v>14338011207</v>
      </c>
      <c r="L1728" s="179" t="n">
        <v>21507016810</v>
      </c>
    </row>
    <row r="1729" ht="15" customHeight="1" s="95">
      <c r="A1729" s="143" t="n">
        <v>45558</v>
      </c>
      <c r="B1729" s="146" t="n">
        <v>1.000101</v>
      </c>
      <c r="C1729" s="179" t="n">
        <v>35933160701</v>
      </c>
      <c r="D1729" s="179" t="n">
        <v>35929533035</v>
      </c>
      <c r="E1729" s="146" t="n">
        <v>1.00026</v>
      </c>
      <c r="F1729" s="179" t="n">
        <v>119142486489</v>
      </c>
      <c r="G1729" s="179" t="n">
        <v>119111543201</v>
      </c>
      <c r="H1729" s="179">
        <f>IFERROR(D1729+G1729,D1729)</f>
        <v/>
      </c>
      <c r="I1729" s="184">
        <f>IFERROR(D1729/H1729,"")</f>
        <v/>
      </c>
      <c r="J1729" s="179" t="n">
        <v>7185906607</v>
      </c>
      <c r="K1729" s="179" t="n">
        <v>14371813214</v>
      </c>
      <c r="L1729" s="179" t="n">
        <v>21557719821</v>
      </c>
    </row>
    <row r="1730" ht="15" customHeight="1" s="95">
      <c r="A1730" s="143" t="n">
        <v>45559</v>
      </c>
      <c r="B1730" s="146" t="n">
        <v>1.000136</v>
      </c>
      <c r="C1730" s="179" t="n">
        <v>35869086019</v>
      </c>
      <c r="D1730" s="179" t="n">
        <v>35864223181</v>
      </c>
      <c r="E1730" s="146" t="n">
        <v>0.99992</v>
      </c>
      <c r="F1730" s="179" t="n">
        <v>119225487097</v>
      </c>
      <c r="G1730" s="179" t="n">
        <v>119235042606</v>
      </c>
      <c r="H1730" s="179">
        <f>IFERROR(D1730+G1730,D1730)</f>
        <v/>
      </c>
      <c r="I1730" s="184">
        <f>IFERROR(D1730/H1730,"")</f>
        <v/>
      </c>
      <c r="J1730" s="179" t="n">
        <v>7172844636</v>
      </c>
      <c r="K1730" s="179" t="n">
        <v>14345689272</v>
      </c>
      <c r="L1730" s="179" t="n">
        <v>21518533909</v>
      </c>
    </row>
    <row r="1731" ht="15" customHeight="1" s="95">
      <c r="A1731" s="143" t="n">
        <v>45560</v>
      </c>
      <c r="B1731" s="146" t="n">
        <v>0.999925</v>
      </c>
      <c r="C1731" s="179" t="n">
        <v>35999493461</v>
      </c>
      <c r="D1731" s="179" t="n">
        <v>36002190257</v>
      </c>
      <c r="E1731" s="146" t="n">
        <v>1.00005</v>
      </c>
      <c r="F1731" s="179" t="n">
        <v>119245380622</v>
      </c>
      <c r="G1731" s="179" t="n">
        <v>119239411590</v>
      </c>
      <c r="H1731" s="179">
        <f>IFERROR(D1731+G1731,D1731)</f>
        <v/>
      </c>
      <c r="I1731" s="184">
        <f>IFERROR(D1731/H1731,"")</f>
        <v/>
      </c>
      <c r="J1731" s="179" t="n">
        <v>7200438051</v>
      </c>
      <c r="K1731" s="179" t="n">
        <v>14400876103</v>
      </c>
      <c r="L1731" s="179" t="n">
        <v>21601314154</v>
      </c>
    </row>
    <row r="1732" ht="15" customHeight="1" s="95">
      <c r="A1732" s="143" t="n">
        <v>45561</v>
      </c>
      <c r="B1732" s="146" t="n">
        <v>1.000672</v>
      </c>
      <c r="C1732" s="179" t="n">
        <v>36086801768</v>
      </c>
      <c r="D1732" s="179" t="n">
        <v>36062579660</v>
      </c>
      <c r="E1732" s="146" t="n">
        <v>1.000612</v>
      </c>
      <c r="F1732" s="179" t="n">
        <v>119330816979</v>
      </c>
      <c r="G1732" s="179" t="n">
        <v>119257802233</v>
      </c>
      <c r="H1732" s="179">
        <f>IFERROR(D1732+G1732,D1732)</f>
        <v/>
      </c>
      <c r="I1732" s="184">
        <f>IFERROR(D1732/H1732,"")</f>
        <v/>
      </c>
      <c r="J1732" s="179" t="n">
        <v>7212515932</v>
      </c>
      <c r="K1732" s="179" t="n">
        <v>14425031864</v>
      </c>
      <c r="L1732" s="179" t="n">
        <v>21637547796</v>
      </c>
    </row>
    <row r="1733" ht="15" customHeight="1" s="95">
      <c r="A1733" s="143" t="n">
        <v>45562</v>
      </c>
      <c r="B1733" s="146" t="n">
        <v>0.999956</v>
      </c>
      <c r="C1733" s="179" t="n">
        <v>36288681074</v>
      </c>
      <c r="D1733" s="179" t="n">
        <v>36290291688</v>
      </c>
      <c r="E1733" s="146" t="n">
        <v>1.000071</v>
      </c>
      <c r="F1733" s="179" t="n">
        <v>119333889219</v>
      </c>
      <c r="G1733" s="179" t="n">
        <v>119325424634</v>
      </c>
      <c r="H1733" s="179">
        <f>IFERROR(D1733+G1733,D1733)</f>
        <v/>
      </c>
      <c r="I1733" s="184">
        <f>IFERROR(D1733/H1733,"")</f>
        <v/>
      </c>
      <c r="J1733" s="179" t="n">
        <v>7258058338</v>
      </c>
      <c r="K1733" s="179" t="n">
        <v>14516116675</v>
      </c>
      <c r="L1733" s="179" t="n">
        <v>21774175013</v>
      </c>
    </row>
    <row r="1734" ht="15" customHeight="1" s="95">
      <c r="A1734" s="143" t="n">
        <v>45563</v>
      </c>
      <c r="B1734" s="146" t="n">
        <v>1.000495</v>
      </c>
      <c r="C1734" s="179" t="n">
        <v>36251017890</v>
      </c>
      <c r="D1734" s="179" t="n">
        <v>36233086100</v>
      </c>
      <c r="E1734" s="146" t="n">
        <v>1.00044</v>
      </c>
      <c r="F1734" s="179" t="n">
        <v>119481674680</v>
      </c>
      <c r="G1734" s="179" t="n">
        <v>119429099573</v>
      </c>
      <c r="H1734" s="179">
        <f>IFERROR(D1734+G1734,D1734)</f>
        <v/>
      </c>
      <c r="I1734" s="184">
        <f>IFERROR(D1734/H1734,"")</f>
        <v/>
      </c>
      <c r="J1734" s="179" t="n">
        <v>7246617220</v>
      </c>
      <c r="K1734" s="179" t="n">
        <v>14493234440</v>
      </c>
      <c r="L1734" s="179" t="n">
        <v>21739851660</v>
      </c>
    </row>
    <row r="1735" ht="15" customHeight="1" s="95">
      <c r="A1735" s="143" t="n">
        <v>45564</v>
      </c>
      <c r="B1735" s="146" t="n">
        <v>1.00031</v>
      </c>
      <c r="C1735" s="179" t="n">
        <v>36333264088</v>
      </c>
      <c r="D1735" s="179" t="n">
        <v>36322021015</v>
      </c>
      <c r="E1735" s="146" t="n">
        <v>1.00064</v>
      </c>
      <c r="F1735" s="179" t="n">
        <v>119646728684</v>
      </c>
      <c r="G1735" s="179" t="n">
        <v>119570187012</v>
      </c>
      <c r="H1735" s="179">
        <f>IFERROR(D1735+G1735,D1735)</f>
        <v/>
      </c>
      <c r="I1735" s="184">
        <f>IFERROR(D1735/H1735,"")</f>
        <v/>
      </c>
      <c r="J1735" s="179" t="n">
        <v>7264404203</v>
      </c>
      <c r="K1735" s="179" t="n">
        <v>14528808406</v>
      </c>
      <c r="L1735" s="179" t="n">
        <v>21793212609</v>
      </c>
    </row>
    <row r="1736" ht="15" customHeight="1" s="95">
      <c r="A1736" s="143" t="n">
        <v>45565</v>
      </c>
      <c r="B1736" s="146" t="n">
        <v>0.9997779999999999</v>
      </c>
      <c r="C1736" s="179" t="n">
        <v>36242038149</v>
      </c>
      <c r="D1736" s="179" t="n">
        <v>36250084392</v>
      </c>
      <c r="E1736" s="146" t="n">
        <v>0.999926</v>
      </c>
      <c r="F1736" s="179" t="n">
        <v>119508803828</v>
      </c>
      <c r="G1736" s="179" t="n">
        <v>119517595051</v>
      </c>
      <c r="H1736" s="179">
        <f>IFERROR(D1736+G1736,D1736)</f>
        <v/>
      </c>
      <c r="I1736" s="184">
        <f>IFERROR(D1736/H1736,"")</f>
        <v/>
      </c>
      <c r="J1736" s="179" t="n">
        <v>7250016878</v>
      </c>
      <c r="K1736" s="179" t="n">
        <v>14500033757</v>
      </c>
      <c r="L1736" s="179" t="n">
        <v>21750050635</v>
      </c>
    </row>
    <row r="1737" ht="15" customHeight="1" s="95">
      <c r="A1737" s="143" t="n">
        <v>45566</v>
      </c>
      <c r="B1737" s="146" t="n">
        <v>1.00051</v>
      </c>
      <c r="C1737" s="179" t="n">
        <v>35597713928</v>
      </c>
      <c r="D1737" s="179" t="n">
        <v>35579557807</v>
      </c>
      <c r="E1737" s="146" t="n">
        <v>1.000155</v>
      </c>
      <c r="F1737" s="179" t="n">
        <v>119716177650</v>
      </c>
      <c r="G1737" s="179" t="n">
        <v>119697635228</v>
      </c>
      <c r="H1737" s="179">
        <f>IFERROR(D1737+G1737,D1737)</f>
        <v/>
      </c>
      <c r="I1737" s="184">
        <f>IFERROR(D1737/H1737,"")</f>
        <v/>
      </c>
      <c r="J1737" s="179" t="n">
        <v>7115911561</v>
      </c>
      <c r="K1737" s="179" t="n">
        <v>14231823123</v>
      </c>
      <c r="L1737" s="179" t="n">
        <v>21347734684</v>
      </c>
    </row>
    <row r="1738" ht="15" customHeight="1" s="95">
      <c r="A1738" s="143" t="n">
        <v>45567</v>
      </c>
      <c r="B1738" s="146" t="n">
        <v>0.999533</v>
      </c>
      <c r="C1738" s="179" t="n">
        <v>35465232316</v>
      </c>
      <c r="D1738" s="179" t="n">
        <v>35481798278</v>
      </c>
      <c r="E1738" s="146" t="n">
        <v>0.999216</v>
      </c>
      <c r="F1738" s="179" t="n">
        <v>119609196026</v>
      </c>
      <c r="G1738" s="179" t="n">
        <v>119703018473</v>
      </c>
      <c r="H1738" s="179">
        <f>IFERROR(D1738+G1738,D1738)</f>
        <v/>
      </c>
      <c r="I1738" s="184">
        <f>IFERROR(D1738/H1738,"")</f>
        <v/>
      </c>
      <c r="J1738" s="179" t="n">
        <v>7096359656</v>
      </c>
      <c r="K1738" s="179" t="n">
        <v>14192719311</v>
      </c>
      <c r="L1738" s="179" t="n">
        <v>21289078967</v>
      </c>
    </row>
    <row r="1739" ht="15" customHeight="1" s="95">
      <c r="A1739" s="143" t="n">
        <v>45568</v>
      </c>
      <c r="B1739" s="146" t="n">
        <v>0.999989</v>
      </c>
      <c r="C1739" s="179" t="n">
        <v>35539041733</v>
      </c>
      <c r="D1739" s="179" t="n">
        <v>35539428326</v>
      </c>
      <c r="E1739" s="146" t="n">
        <v>0.999953</v>
      </c>
      <c r="F1739" s="179" t="n">
        <v>119655789008</v>
      </c>
      <c r="G1739" s="179" t="n">
        <v>119661381292</v>
      </c>
      <c r="H1739" s="179">
        <f>IFERROR(D1739+G1739,D1739)</f>
        <v/>
      </c>
      <c r="I1739" s="184">
        <f>IFERROR(D1739/H1739,"")</f>
        <v/>
      </c>
      <c r="J1739" s="179" t="n">
        <v>7107885665</v>
      </c>
      <c r="K1739" s="179" t="n">
        <v>14215771330</v>
      </c>
      <c r="L1739" s="179" t="n">
        <v>21323656996</v>
      </c>
    </row>
    <row r="1740" ht="15" customHeight="1" s="95">
      <c r="A1740" s="143" t="n">
        <v>45569</v>
      </c>
      <c r="B1740" s="146" t="n">
        <v>0.999659</v>
      </c>
      <c r="C1740" s="179" t="n">
        <v>35535204096</v>
      </c>
      <c r="D1740" s="179" t="n">
        <v>35547337645</v>
      </c>
      <c r="E1740" s="146" t="n">
        <v>0.999632</v>
      </c>
      <c r="F1740" s="179" t="n">
        <v>119618717248</v>
      </c>
      <c r="G1740" s="179" t="n">
        <v>119662697245</v>
      </c>
      <c r="H1740" s="179">
        <f>IFERROR(D1740+G1740,D1740)</f>
        <v/>
      </c>
      <c r="I1740" s="184">
        <f>IFERROR(D1740/H1740,"")</f>
        <v/>
      </c>
      <c r="J1740" s="179" t="n">
        <v>7109467529</v>
      </c>
      <c r="K1740" s="179" t="n">
        <v>14218935058</v>
      </c>
      <c r="L1740" s="179" t="n">
        <v>21328402587</v>
      </c>
    </row>
    <row r="1741" ht="15" customHeight="1" s="95">
      <c r="A1741" s="143" t="n">
        <v>45570</v>
      </c>
      <c r="B1741" s="146" t="n">
        <v>1.000154</v>
      </c>
      <c r="C1741" s="179" t="n">
        <v>35524409952</v>
      </c>
      <c r="D1741" s="179" t="n">
        <v>35518929707</v>
      </c>
      <c r="E1741" s="146" t="n">
        <v>1.000319</v>
      </c>
      <c r="F1741" s="179" t="n">
        <v>119681714324</v>
      </c>
      <c r="G1741" s="179" t="n">
        <v>119643495985</v>
      </c>
      <c r="H1741" s="179">
        <f>IFERROR(D1741+G1741,D1741)</f>
        <v/>
      </c>
      <c r="I1741" s="184">
        <f>IFERROR(D1741/H1741,"")</f>
        <v/>
      </c>
      <c r="J1741" s="179" t="n">
        <v>7103785941</v>
      </c>
      <c r="K1741" s="179" t="n">
        <v>14207571883</v>
      </c>
      <c r="L1741" s="179" t="n">
        <v>21311357824</v>
      </c>
    </row>
    <row r="1742" ht="15" customHeight="1" s="95">
      <c r="A1742" s="143" t="n">
        <v>45571</v>
      </c>
      <c r="B1742" s="146" t="n">
        <v>1.000145</v>
      </c>
      <c r="C1742" s="179" t="n">
        <v>35573099708</v>
      </c>
      <c r="D1742" s="179" t="n">
        <v>35567926767</v>
      </c>
      <c r="E1742" s="146" t="n">
        <v>1.000319</v>
      </c>
      <c r="F1742" s="179" t="n">
        <v>119652656652</v>
      </c>
      <c r="G1742" s="179" t="n">
        <v>119614482945</v>
      </c>
      <c r="H1742" s="179">
        <f>IFERROR(D1742+G1742,D1742)</f>
        <v/>
      </c>
      <c r="I1742" s="184">
        <f>IFERROR(D1742/H1742,"")</f>
        <v/>
      </c>
      <c r="J1742" s="179" t="n">
        <v>7113585353</v>
      </c>
      <c r="K1742" s="179" t="n">
        <v>14227170707</v>
      </c>
      <c r="L1742" s="179" t="n">
        <v>21340756060</v>
      </c>
    </row>
    <row r="1743" ht="15" customHeight="1" s="95">
      <c r="A1743" s="143" t="n">
        <v>45572</v>
      </c>
      <c r="B1743" s="146" t="n">
        <v>0.999729</v>
      </c>
      <c r="C1743" s="179" t="n">
        <v>35580052942</v>
      </c>
      <c r="D1743" s="179" t="n">
        <v>35589712936</v>
      </c>
      <c r="E1743" s="146" t="n">
        <v>0.999619</v>
      </c>
      <c r="F1743" s="179" t="n">
        <v>119669524233</v>
      </c>
      <c r="G1743" s="179" t="n">
        <v>119715156924</v>
      </c>
      <c r="H1743" s="179">
        <f>IFERROR(D1743+G1743,D1743)</f>
        <v/>
      </c>
      <c r="I1743" s="184">
        <f>IFERROR(D1743/H1743,"")</f>
        <v/>
      </c>
      <c r="J1743" s="179" t="n">
        <v>7117942587</v>
      </c>
      <c r="K1743" s="179" t="n">
        <v>14235885174</v>
      </c>
      <c r="L1743" s="179" t="n">
        <v>21353827762</v>
      </c>
    </row>
    <row r="1744" ht="15" customHeight="1" s="95">
      <c r="A1744" s="143" t="n">
        <v>45573</v>
      </c>
      <c r="B1744" s="146" t="n">
        <v>0.999269</v>
      </c>
      <c r="C1744" s="179" t="n">
        <v>35242085528</v>
      </c>
      <c r="D1744" s="179" t="n">
        <v>35267871945</v>
      </c>
      <c r="E1744" s="146" t="n">
        <v>0.9987819999999999</v>
      </c>
      <c r="F1744" s="179" t="n">
        <v>119569474088</v>
      </c>
      <c r="G1744" s="179" t="n">
        <v>119715305952</v>
      </c>
      <c r="H1744" s="179">
        <f>IFERROR(D1744+G1744,D1744)</f>
        <v/>
      </c>
      <c r="I1744" s="184">
        <f>IFERROR(D1744/H1744,"")</f>
        <v/>
      </c>
      <c r="J1744" s="179" t="n">
        <v>7053574389</v>
      </c>
      <c r="K1744" s="179" t="n">
        <v>14107148778</v>
      </c>
      <c r="L1744" s="179" t="n">
        <v>21160723167</v>
      </c>
    </row>
    <row r="1745" ht="15" customHeight="1" s="95">
      <c r="A1745" s="143" t="n">
        <v>45574</v>
      </c>
      <c r="B1745" s="146" t="n">
        <v>0.9998359999999999</v>
      </c>
      <c r="C1745" s="179" t="n">
        <v>35071342091</v>
      </c>
      <c r="D1745" s="179" t="n">
        <v>35077096747</v>
      </c>
      <c r="E1745" s="146" t="n">
        <v>0.999246</v>
      </c>
      <c r="F1745" s="179" t="n">
        <v>119776998408</v>
      </c>
      <c r="G1745" s="179" t="n">
        <v>119867409935</v>
      </c>
      <c r="H1745" s="179">
        <f>IFERROR(D1745+G1745,D1745)</f>
        <v/>
      </c>
      <c r="I1745" s="184">
        <f>IFERROR(D1745/H1745,"")</f>
        <v/>
      </c>
      <c r="J1745" s="179" t="n">
        <v>7015419349</v>
      </c>
      <c r="K1745" s="179" t="n">
        <v>14030838699</v>
      </c>
      <c r="L1745" s="179" t="n">
        <v>21046258048</v>
      </c>
    </row>
    <row r="1746" ht="15" customHeight="1" s="95">
      <c r="A1746" s="143" t="n">
        <v>45575</v>
      </c>
      <c r="B1746" s="146" t="n">
        <v>0.999377</v>
      </c>
      <c r="C1746" s="179" t="n">
        <v>34757768490</v>
      </c>
      <c r="D1746" s="179" t="n">
        <v>34779430368</v>
      </c>
      <c r="E1746" s="146" t="n">
        <v>0.998715</v>
      </c>
      <c r="F1746" s="179" t="n">
        <v>119679537184</v>
      </c>
      <c r="G1746" s="179" t="n">
        <v>119833485215</v>
      </c>
      <c r="H1746" s="179">
        <f>IFERROR(D1746+G1746,D1746)</f>
        <v/>
      </c>
      <c r="I1746" s="184">
        <f>IFERROR(D1746/H1746,"")</f>
        <v/>
      </c>
      <c r="J1746" s="179" t="n">
        <v>6955886074</v>
      </c>
      <c r="K1746" s="179" t="n">
        <v>13911772147</v>
      </c>
      <c r="L1746" s="179" t="n">
        <v>20867658221</v>
      </c>
    </row>
    <row r="1747" ht="15" customHeight="1" s="95">
      <c r="A1747" s="143" t="n">
        <v>45576</v>
      </c>
      <c r="B1747" s="146" t="n">
        <v>1.000021</v>
      </c>
      <c r="C1747" s="179" t="n">
        <v>34730888280</v>
      </c>
      <c r="D1747" s="179" t="n">
        <v>34730156130</v>
      </c>
      <c r="E1747" s="146" t="n">
        <v>0.9993610000000001</v>
      </c>
      <c r="F1747" s="179" t="n">
        <v>119777751851</v>
      </c>
      <c r="G1747" s="179" t="n">
        <v>119854309325</v>
      </c>
      <c r="H1747" s="179">
        <f>IFERROR(D1747+G1747,D1747)</f>
        <v/>
      </c>
      <c r="I1747" s="184">
        <f>IFERROR(D1747/H1747,"")</f>
        <v/>
      </c>
      <c r="J1747" s="179" t="n">
        <v>6946031226</v>
      </c>
      <c r="K1747" s="179" t="n">
        <v>13892062452</v>
      </c>
      <c r="L1747" s="179" t="n">
        <v>20838093678</v>
      </c>
    </row>
    <row r="1748" ht="15" customHeight="1" s="95">
      <c r="A1748" s="143" t="n">
        <v>45577</v>
      </c>
      <c r="B1748" s="146" t="n">
        <v>0.9999</v>
      </c>
      <c r="C1748" s="179" t="n">
        <v>34979004704</v>
      </c>
      <c r="D1748" s="179" t="n">
        <v>34982486910</v>
      </c>
      <c r="E1748" s="146" t="n">
        <v>0.999987</v>
      </c>
      <c r="F1748" s="179" t="n">
        <v>119747722936</v>
      </c>
      <c r="G1748" s="179" t="n">
        <v>119749304634</v>
      </c>
      <c r="H1748" s="179">
        <f>IFERROR(D1748+G1748,D1748)</f>
        <v/>
      </c>
      <c r="I1748" s="184">
        <f>IFERROR(D1748/H1748,"")</f>
        <v/>
      </c>
      <c r="J1748" s="179" t="n">
        <v>6996497382</v>
      </c>
      <c r="K1748" s="179" t="n">
        <v>13992994764</v>
      </c>
      <c r="L1748" s="179" t="n">
        <v>20989492146</v>
      </c>
    </row>
    <row r="1749" ht="15" customHeight="1" s="95">
      <c r="A1749" s="143" t="n">
        <v>45578</v>
      </c>
      <c r="B1749" s="146" t="n">
        <v>1.00014</v>
      </c>
      <c r="C1749" s="179" t="n">
        <v>35013385396</v>
      </c>
      <c r="D1749" s="179" t="n">
        <v>35008489347</v>
      </c>
      <c r="E1749" s="146" t="n">
        <v>0.999994</v>
      </c>
      <c r="F1749" s="179" t="n">
        <v>119707496291</v>
      </c>
      <c r="G1749" s="179" t="n">
        <v>119708198302</v>
      </c>
      <c r="H1749" s="179">
        <f>IFERROR(D1749+G1749,D1749)</f>
        <v/>
      </c>
      <c r="I1749" s="184">
        <f>IFERROR(D1749/H1749,"")</f>
        <v/>
      </c>
      <c r="J1749" s="179" t="n">
        <v>7001697869</v>
      </c>
      <c r="K1749" s="179" t="n">
        <v>14003395739</v>
      </c>
      <c r="L1749" s="179" t="n">
        <v>21005093608</v>
      </c>
    </row>
    <row r="1750" ht="15" customHeight="1" s="95">
      <c r="A1750" s="143" t="n">
        <v>45579</v>
      </c>
      <c r="B1750" s="146" t="n">
        <v>1.000464</v>
      </c>
      <c r="C1750" s="179" t="n">
        <v>35033578112</v>
      </c>
      <c r="D1750" s="179" t="n">
        <v>35017324362</v>
      </c>
      <c r="E1750" s="146" t="n">
        <v>1.000119</v>
      </c>
      <c r="F1750" s="179" t="n">
        <v>119657519421</v>
      </c>
      <c r="G1750" s="179" t="n">
        <v>119643278576</v>
      </c>
      <c r="H1750" s="179">
        <f>IFERROR(D1750+G1750,D1750)</f>
        <v/>
      </c>
      <c r="I1750" s="184">
        <f>IFERROR(D1750/H1750,"")</f>
        <v/>
      </c>
      <c r="J1750" s="179" t="n">
        <v>7003464872</v>
      </c>
      <c r="K1750" s="179" t="n">
        <v>14006929745</v>
      </c>
      <c r="L1750" s="179" t="n">
        <v>21010394617</v>
      </c>
    </row>
    <row r="1751" ht="15" customHeight="1" s="95">
      <c r="A1751" s="143" t="n">
        <v>45580</v>
      </c>
      <c r="B1751" s="146" t="n">
        <v>0.9997549999999999</v>
      </c>
      <c r="C1751" s="179" t="n">
        <v>34873004621</v>
      </c>
      <c r="D1751" s="179" t="n">
        <v>34881543351</v>
      </c>
      <c r="E1751" s="146" t="n">
        <v>0.999427</v>
      </c>
      <c r="F1751" s="179" t="n">
        <v>119667247527</v>
      </c>
      <c r="G1751" s="179" t="n">
        <v>119735859428</v>
      </c>
      <c r="H1751" s="179">
        <f>IFERROR(D1751+G1751,D1751)</f>
        <v/>
      </c>
      <c r="I1751" s="184">
        <f>IFERROR(D1751/H1751,"")</f>
        <v/>
      </c>
      <c r="J1751" s="179" t="n">
        <v>6976308670</v>
      </c>
      <c r="K1751" s="179" t="n">
        <v>13952617340</v>
      </c>
      <c r="L1751" s="179" t="n">
        <v>20928926011</v>
      </c>
    </row>
    <row r="1752" ht="15" customHeight="1" s="95">
      <c r="A1752" s="143" t="n">
        <v>45581</v>
      </c>
      <c r="B1752" s="146" t="n">
        <v>0.999379</v>
      </c>
      <c r="C1752" s="179" t="n">
        <v>34871169010</v>
      </c>
      <c r="D1752" s="179" t="n">
        <v>34892842386</v>
      </c>
      <c r="E1752" s="146" t="n">
        <v>0.999312</v>
      </c>
      <c r="F1752" s="179" t="n">
        <v>119650361572</v>
      </c>
      <c r="G1752" s="179" t="n">
        <v>119732747777</v>
      </c>
      <c r="H1752" s="179">
        <f>IFERROR(D1752+G1752,D1752)</f>
        <v/>
      </c>
      <c r="I1752" s="184">
        <f>IFERROR(D1752/H1752,"")</f>
        <v/>
      </c>
      <c r="J1752" s="179" t="n">
        <v>6978568477</v>
      </c>
      <c r="K1752" s="179" t="n">
        <v>13957136954</v>
      </c>
      <c r="L1752" s="179" t="n">
        <v>20935705432</v>
      </c>
    </row>
    <row r="1753" ht="15" customHeight="1" s="95">
      <c r="A1753" s="143" t="n">
        <v>45582</v>
      </c>
      <c r="B1753" s="146" t="n">
        <v>1.000019</v>
      </c>
      <c r="C1753" s="179" t="n">
        <v>34830625347</v>
      </c>
      <c r="D1753" s="179" t="n">
        <v>34829978362</v>
      </c>
      <c r="E1753" s="146" t="n">
        <v>0.999902</v>
      </c>
      <c r="F1753" s="179" t="n">
        <v>120006109540</v>
      </c>
      <c r="G1753" s="179" t="n">
        <v>120017930299</v>
      </c>
      <c r="H1753" s="179">
        <f>IFERROR(D1753+G1753,D1753)</f>
        <v/>
      </c>
      <c r="I1753" s="184">
        <f>IFERROR(D1753/H1753,"")</f>
        <v/>
      </c>
      <c r="J1753" s="179" t="n">
        <v>6965995672</v>
      </c>
      <c r="K1753" s="179" t="n">
        <v>13931991345</v>
      </c>
      <c r="L1753" s="179" t="n">
        <v>20897987017</v>
      </c>
    </row>
    <row r="1754" ht="15" customHeight="1" s="95">
      <c r="A1754" s="143" t="n">
        <v>45583</v>
      </c>
      <c r="B1754" s="146" t="n">
        <v>1.000052</v>
      </c>
      <c r="C1754" s="179" t="n">
        <v>34763827936</v>
      </c>
      <c r="D1754" s="179" t="n">
        <v>34762023642</v>
      </c>
      <c r="E1754" s="146" t="n">
        <v>0.99988</v>
      </c>
      <c r="F1754" s="179" t="n">
        <v>119910642015</v>
      </c>
      <c r="G1754" s="179" t="n">
        <v>119925005608</v>
      </c>
      <c r="H1754" s="179">
        <f>IFERROR(D1754+G1754,D1754)</f>
        <v/>
      </c>
      <c r="I1754" s="184">
        <f>IFERROR(D1754/H1754,"")</f>
        <v/>
      </c>
      <c r="J1754" s="179" t="n">
        <v>6952404728</v>
      </c>
      <c r="K1754" s="179" t="n">
        <v>13904809457</v>
      </c>
      <c r="L1754" s="179" t="n">
        <v>20857214185</v>
      </c>
    </row>
    <row r="1755" ht="15" customHeight="1" s="95">
      <c r="A1755" s="143" t="n">
        <v>45584</v>
      </c>
      <c r="B1755" s="146" t="n">
        <v>1.000307</v>
      </c>
      <c r="C1755" s="179" t="n">
        <v>34978473375</v>
      </c>
      <c r="D1755" s="179" t="n">
        <v>34967751890</v>
      </c>
      <c r="E1755" s="146" t="n">
        <v>1.00026</v>
      </c>
      <c r="F1755" s="179" t="n">
        <v>120052034495</v>
      </c>
      <c r="G1755" s="179" t="n">
        <v>120020780951</v>
      </c>
      <c r="H1755" s="179">
        <f>IFERROR(D1755+G1755,D1755)</f>
        <v/>
      </c>
      <c r="I1755" s="184">
        <f>IFERROR(D1755/H1755,"")</f>
        <v/>
      </c>
      <c r="J1755" s="179" t="n">
        <v>6993550378</v>
      </c>
      <c r="K1755" s="179" t="n">
        <v>13987100756</v>
      </c>
      <c r="L1755" s="179" t="n">
        <v>20980651134</v>
      </c>
    </row>
    <row r="1756" ht="15" customHeight="1" s="95">
      <c r="A1756" s="143" t="n">
        <v>45585</v>
      </c>
      <c r="B1756" s="146" t="n">
        <v>0.999995</v>
      </c>
      <c r="C1756" s="179" t="n">
        <v>34984975390</v>
      </c>
      <c r="D1756" s="179" t="n">
        <v>34985167699</v>
      </c>
      <c r="E1756" s="146" t="n">
        <v>1.000067</v>
      </c>
      <c r="F1756" s="179" t="n">
        <v>120177060289</v>
      </c>
      <c r="G1756" s="179" t="n">
        <v>120168979664</v>
      </c>
      <c r="H1756" s="179">
        <f>IFERROR(D1756+G1756,D1756)</f>
        <v/>
      </c>
      <c r="I1756" s="184">
        <f>IFERROR(D1756/H1756,"")</f>
        <v/>
      </c>
      <c r="J1756" s="179" t="n">
        <v>6997033540</v>
      </c>
      <c r="K1756" s="179" t="n">
        <v>13994067080</v>
      </c>
      <c r="L1756" s="179" t="n">
        <v>20991100619</v>
      </c>
    </row>
    <row r="1757" ht="15" customHeight="1" s="95">
      <c r="A1757" s="143" t="n">
        <v>45586</v>
      </c>
      <c r="B1757" s="146" t="n">
        <v>1.000057</v>
      </c>
      <c r="C1757" s="179" t="n">
        <v>35003128012</v>
      </c>
      <c r="D1757" s="179" t="n">
        <v>35001146515</v>
      </c>
      <c r="E1757" s="146" t="n">
        <v>0.999907</v>
      </c>
      <c r="F1757" s="179" t="n">
        <v>120123290869</v>
      </c>
      <c r="G1757" s="179" t="n">
        <v>120134510659</v>
      </c>
      <c r="H1757" s="179">
        <f>IFERROR(D1757+G1757,D1757)</f>
        <v/>
      </c>
      <c r="I1757" s="184">
        <f>IFERROR(D1757/H1757,"")</f>
        <v/>
      </c>
      <c r="J1757" s="179" t="n">
        <v>7000229303</v>
      </c>
      <c r="K1757" s="179" t="n">
        <v>14000458606</v>
      </c>
      <c r="L1757" s="179" t="n">
        <v>21000687909</v>
      </c>
    </row>
    <row r="1758" ht="15" customHeight="1" s="95">
      <c r="A1758" s="143" t="n">
        <v>45587</v>
      </c>
      <c r="B1758" s="146" t="n">
        <v>0.999574</v>
      </c>
      <c r="C1758" s="179" t="n">
        <v>34685114568</v>
      </c>
      <c r="D1758" s="179" t="n">
        <v>34699890116</v>
      </c>
      <c r="E1758" s="146" t="n">
        <v>0.9994189999999999</v>
      </c>
      <c r="F1758" s="179" t="n">
        <v>120095701605</v>
      </c>
      <c r="G1758" s="179" t="n">
        <v>120165543167</v>
      </c>
      <c r="H1758" s="179">
        <f>IFERROR(D1758+G1758,D1758)</f>
        <v/>
      </c>
      <c r="I1758" s="184">
        <f>IFERROR(D1758/H1758,"")</f>
        <v/>
      </c>
      <c r="J1758" s="179" t="n">
        <v>6939978023</v>
      </c>
      <c r="K1758" s="179" t="n">
        <v>13879956046</v>
      </c>
      <c r="L1758" s="179" t="n">
        <v>20819934070</v>
      </c>
    </row>
    <row r="1759" ht="15" customHeight="1" s="95">
      <c r="A1759" s="143" t="n">
        <v>45588</v>
      </c>
      <c r="B1759" s="146" t="n">
        <v>0.999884</v>
      </c>
      <c r="C1759" s="179" t="n">
        <v>34589235622</v>
      </c>
      <c r="D1759" s="179" t="n">
        <v>34593231820</v>
      </c>
      <c r="E1759" s="146" t="n">
        <v>0.999491</v>
      </c>
      <c r="F1759" s="179" t="n">
        <v>120135980593</v>
      </c>
      <c r="G1759" s="179" t="n">
        <v>120197168625</v>
      </c>
      <c r="H1759" s="179">
        <f>IFERROR(D1759+G1759,D1759)</f>
        <v/>
      </c>
      <c r="I1759" s="184">
        <f>IFERROR(D1759/H1759,"")</f>
        <v/>
      </c>
      <c r="J1759" s="179" t="n">
        <v>6918646364</v>
      </c>
      <c r="K1759" s="179" t="n">
        <v>13837292728</v>
      </c>
      <c r="L1759" s="179" t="n">
        <v>20755939092</v>
      </c>
    </row>
    <row r="1760" ht="15" customHeight="1" s="95">
      <c r="A1760" s="143" t="n">
        <v>45589</v>
      </c>
      <c r="B1760" s="146" t="n">
        <v>1.00002</v>
      </c>
      <c r="C1760" s="179" t="n">
        <v>34367403085</v>
      </c>
      <c r="D1760" s="179" t="n">
        <v>34366714434</v>
      </c>
      <c r="E1760" s="146" t="n">
        <v>0.999119</v>
      </c>
      <c r="F1760" s="179" t="n">
        <v>120077639690</v>
      </c>
      <c r="G1760" s="179" t="n">
        <v>120183547608</v>
      </c>
      <c r="H1760" s="179">
        <f>IFERROR(D1760+G1760,D1760)</f>
        <v/>
      </c>
      <c r="I1760" s="184">
        <f>IFERROR(D1760/H1760,"")</f>
        <v/>
      </c>
      <c r="J1760" s="179" t="n">
        <v>6873342887</v>
      </c>
      <c r="K1760" s="179" t="n">
        <v>13746685774</v>
      </c>
      <c r="L1760" s="179" t="n">
        <v>20620028660</v>
      </c>
    </row>
    <row r="1761" ht="15" customHeight="1" s="95">
      <c r="A1761" s="143" t="n">
        <v>45590</v>
      </c>
      <c r="B1761" s="146" t="n">
        <v>1.000575</v>
      </c>
      <c r="C1761" s="179" t="n">
        <v>34465531330</v>
      </c>
      <c r="D1761" s="179" t="n">
        <v>34445713268</v>
      </c>
      <c r="E1761" s="146" t="n">
        <v>1.000139</v>
      </c>
      <c r="F1761" s="179" t="n">
        <v>120184820843</v>
      </c>
      <c r="G1761" s="179" t="n">
        <v>120168073637</v>
      </c>
      <c r="H1761" s="179">
        <f>IFERROR(D1761+G1761,D1761)</f>
        <v/>
      </c>
      <c r="I1761" s="184">
        <f>IFERROR(D1761/H1761,"")</f>
        <v/>
      </c>
      <c r="J1761" s="179" t="n">
        <v>6889142654</v>
      </c>
      <c r="K1761" s="179" t="n">
        <v>13778285307</v>
      </c>
      <c r="L1761" s="179" t="n">
        <v>20667427961</v>
      </c>
    </row>
    <row r="1762" ht="15" customHeight="1" s="95">
      <c r="A1762" s="143" t="n">
        <v>45591</v>
      </c>
      <c r="B1762" s="146" t="n">
        <v>1.001685</v>
      </c>
      <c r="C1762" s="179" t="n">
        <v>34682613500</v>
      </c>
      <c r="D1762" s="179" t="n">
        <v>34624281539</v>
      </c>
      <c r="E1762" s="146" t="n">
        <v>1.000014</v>
      </c>
      <c r="F1762" s="179" t="n">
        <v>120198309352</v>
      </c>
      <c r="G1762" s="179" t="n">
        <v>120196637914</v>
      </c>
      <c r="H1762" s="179">
        <f>IFERROR(D1762+G1762,D1762)</f>
        <v/>
      </c>
      <c r="I1762" s="184">
        <f>IFERROR(D1762/H1762,"")</f>
        <v/>
      </c>
      <c r="J1762" s="179" t="n">
        <v>6924856308</v>
      </c>
      <c r="K1762" s="179" t="n">
        <v>13849712616</v>
      </c>
      <c r="L1762" s="179" t="n">
        <v>20774568923</v>
      </c>
    </row>
    <row r="1763" ht="15" customHeight="1" s="95">
      <c r="A1763" s="143" t="n">
        <v>45592</v>
      </c>
      <c r="B1763" s="146" t="n">
        <v>0.999831</v>
      </c>
      <c r="C1763" s="179" t="n">
        <v>34673531948</v>
      </c>
      <c r="D1763" s="179" t="n">
        <v>34679403905</v>
      </c>
      <c r="E1763" s="146" t="n">
        <v>0.998712</v>
      </c>
      <c r="F1763" s="179" t="n">
        <v>120156501578</v>
      </c>
      <c r="G1763" s="179" t="n">
        <v>120311474532</v>
      </c>
      <c r="H1763" s="179">
        <f>IFERROR(D1763+G1763,D1763)</f>
        <v/>
      </c>
      <c r="I1763" s="184">
        <f>IFERROR(D1763/H1763,"")</f>
        <v/>
      </c>
      <c r="J1763" s="179" t="n">
        <v>6935880781</v>
      </c>
      <c r="K1763" s="179" t="n">
        <v>13871761562</v>
      </c>
      <c r="L1763" s="179" t="n">
        <v>20807642343</v>
      </c>
    </row>
    <row r="1764" ht="15" customHeight="1" s="95">
      <c r="A1764" s="143" t="n">
        <v>45593</v>
      </c>
      <c r="B1764" s="146" t="n">
        <v>0.999667</v>
      </c>
      <c r="C1764" s="179" t="n">
        <v>34662688084</v>
      </c>
      <c r="D1764" s="179" t="n">
        <v>34674249534</v>
      </c>
      <c r="E1764" s="146" t="n">
        <v>0.998396</v>
      </c>
      <c r="F1764" s="179" t="n">
        <v>120167153594</v>
      </c>
      <c r="G1764" s="179" t="n">
        <v>120360152686</v>
      </c>
      <c r="H1764" s="179">
        <f>IFERROR(D1764+G1764,D1764)</f>
        <v/>
      </c>
      <c r="I1764" s="184">
        <f>IFERROR(D1764/H1764,"")</f>
        <v/>
      </c>
      <c r="J1764" s="179" t="n">
        <v>6934849907</v>
      </c>
      <c r="K1764" s="179" t="n">
        <v>13869699814</v>
      </c>
      <c r="L1764" s="179" t="n">
        <v>20804549720</v>
      </c>
    </row>
    <row r="1765" ht="15" customHeight="1" s="95">
      <c r="A1765" s="143" t="n">
        <v>45594</v>
      </c>
      <c r="B1765" s="146" t="n">
        <v>0.999919</v>
      </c>
      <c r="C1765" s="179" t="n">
        <v>34722611658</v>
      </c>
      <c r="D1765" s="179" t="n">
        <v>34725417109</v>
      </c>
      <c r="E1765" s="146" t="n">
        <v>0.999331</v>
      </c>
      <c r="F1765" s="179" t="n">
        <v>120257080604</v>
      </c>
      <c r="G1765" s="179" t="n">
        <v>120337630199</v>
      </c>
      <c r="H1765" s="179">
        <f>IFERROR(D1765+G1765,D1765)</f>
        <v/>
      </c>
      <c r="I1765" s="184">
        <f>IFERROR(D1765/H1765,"")</f>
        <v/>
      </c>
      <c r="J1765" s="179" t="n">
        <v>6945083422</v>
      </c>
      <c r="K1765" s="179" t="n">
        <v>13890166844</v>
      </c>
      <c r="L1765" s="179" t="n">
        <v>20835250265</v>
      </c>
    </row>
    <row r="1766" ht="15" customHeight="1" s="95">
      <c r="A1766" s="143" t="n">
        <v>45595</v>
      </c>
      <c r="B1766" s="146" t="n">
        <v>1.000828</v>
      </c>
      <c r="C1766" s="179" t="n">
        <v>34869086064</v>
      </c>
      <c r="D1766" s="179" t="n">
        <v>34840226129</v>
      </c>
      <c r="E1766" s="146" t="n">
        <v>1.000547</v>
      </c>
      <c r="F1766" s="179" t="n">
        <v>120283099302</v>
      </c>
      <c r="G1766" s="179" t="n">
        <v>120217382248</v>
      </c>
      <c r="H1766" s="179">
        <f>IFERROR(D1766+G1766,D1766)</f>
        <v/>
      </c>
      <c r="I1766" s="184">
        <f>IFERROR(D1766/H1766,"")</f>
        <v/>
      </c>
      <c r="J1766" s="179" t="n">
        <v>6968045226</v>
      </c>
      <c r="K1766" s="179" t="n">
        <v>13936090452</v>
      </c>
      <c r="L1766" s="179" t="n">
        <v>20904135677</v>
      </c>
    </row>
    <row r="1767" ht="15" customHeight="1" s="95">
      <c r="A1767" s="143" t="n">
        <v>45596</v>
      </c>
      <c r="B1767" s="146" t="n">
        <v>0.999758</v>
      </c>
      <c r="C1767" s="179" t="n">
        <v>35044234801</v>
      </c>
      <c r="D1767" s="179" t="n">
        <v>35052720924</v>
      </c>
      <c r="E1767" s="146" t="n">
        <v>0.9990560000000001</v>
      </c>
      <c r="F1767" s="179" t="n">
        <v>120380626619</v>
      </c>
      <c r="G1767" s="179" t="n">
        <v>120494358482</v>
      </c>
      <c r="H1767" s="179">
        <f>IFERROR(D1767+G1767,D1767)</f>
        <v/>
      </c>
      <c r="I1767" s="184">
        <f>IFERROR(D1767/H1767,"")</f>
        <v/>
      </c>
      <c r="J1767" s="179" t="n">
        <v>7010544185</v>
      </c>
      <c r="K1767" s="179" t="n">
        <v>14021088370</v>
      </c>
      <c r="L1767" s="179" t="n">
        <v>21031632554</v>
      </c>
    </row>
    <row r="1768" ht="15" customHeight="1" s="95">
      <c r="A1768" s="143" t="n">
        <v>45597</v>
      </c>
      <c r="B1768" s="146" t="n">
        <v>0.999351</v>
      </c>
      <c r="C1768" s="179" t="n">
        <v>34768502652</v>
      </c>
      <c r="D1768" s="179" t="n">
        <v>34791092513</v>
      </c>
      <c r="E1768" s="146" t="n">
        <v>0.998207</v>
      </c>
      <c r="F1768" s="179" t="n">
        <v>120310238338</v>
      </c>
      <c r="G1768" s="179" t="n">
        <v>120526339942</v>
      </c>
      <c r="H1768" s="179">
        <f>IFERROR(D1768+G1768,D1768)</f>
        <v/>
      </c>
      <c r="I1768" s="184">
        <f>IFERROR(D1768/H1768,"")</f>
        <v/>
      </c>
      <c r="J1768" s="179" t="n">
        <v>6958218503</v>
      </c>
      <c r="K1768" s="179" t="n">
        <v>13916437005</v>
      </c>
      <c r="L1768" s="179" t="n">
        <v>20874655508</v>
      </c>
    </row>
    <row r="1769" ht="15" customHeight="1" s="95">
      <c r="A1769" s="143" t="n">
        <v>45598</v>
      </c>
      <c r="B1769" s="146" t="n">
        <v>1.000329</v>
      </c>
      <c r="C1769" s="179" t="n">
        <v>34850376533</v>
      </c>
      <c r="D1769" s="179" t="n">
        <v>34838929337</v>
      </c>
      <c r="E1769" s="146" t="n">
        <v>0.999732</v>
      </c>
      <c r="F1769" s="179" t="n">
        <v>120499892247</v>
      </c>
      <c r="G1769" s="179" t="n">
        <v>120532174743</v>
      </c>
      <c r="H1769" s="179">
        <f>IFERROR(D1769+G1769,D1769)</f>
        <v/>
      </c>
      <c r="I1769" s="184">
        <f>IFERROR(D1769/H1769,"")</f>
        <v/>
      </c>
      <c r="J1769" s="179" t="n">
        <v>6967785867</v>
      </c>
      <c r="K1769" s="179" t="n">
        <v>13935571735</v>
      </c>
      <c r="L1769" s="179" t="n">
        <v>20903357602</v>
      </c>
    </row>
    <row r="1770" ht="15" customHeight="1" s="95">
      <c r="A1770" s="143" t="n">
        <v>45599</v>
      </c>
      <c r="B1770" s="146" t="n">
        <v>1.000089</v>
      </c>
      <c r="C1770" s="179" t="n">
        <v>34876377336</v>
      </c>
      <c r="D1770" s="179" t="n">
        <v>34873272316</v>
      </c>
      <c r="E1770" s="146" t="n">
        <v>0.999947</v>
      </c>
      <c r="F1770" s="179" t="n">
        <v>120582062352</v>
      </c>
      <c r="G1770" s="179" t="n">
        <v>120588469668</v>
      </c>
      <c r="H1770" s="179">
        <f>IFERROR(D1770+G1770,D1770)</f>
        <v/>
      </c>
      <c r="I1770" s="184">
        <f>IFERROR(D1770/H1770,"")</f>
        <v/>
      </c>
      <c r="J1770" s="179" t="n">
        <v>6974654463</v>
      </c>
      <c r="K1770" s="179" t="n">
        <v>13949308926</v>
      </c>
      <c r="L1770" s="179" t="n">
        <v>20923963390</v>
      </c>
    </row>
    <row r="1771" ht="15" customHeight="1" s="95">
      <c r="A1771" s="143" t="n">
        <v>45600</v>
      </c>
      <c r="B1771" s="146" t="n">
        <v>0.999949</v>
      </c>
      <c r="C1771" s="179" t="n">
        <v>34913921510</v>
      </c>
      <c r="D1771" s="179" t="n">
        <v>34915705581</v>
      </c>
      <c r="E1771" s="146" t="n">
        <v>0.999665</v>
      </c>
      <c r="F1771" s="179" t="n">
        <v>120558702453</v>
      </c>
      <c r="G1771" s="179" t="n">
        <v>120599083819</v>
      </c>
      <c r="H1771" s="179">
        <f>IFERROR(D1771+G1771,D1771)</f>
        <v/>
      </c>
      <c r="I1771" s="184">
        <f>IFERROR(D1771/H1771,"")</f>
        <v/>
      </c>
      <c r="J1771" s="179" t="n">
        <v>6983141116</v>
      </c>
      <c r="K1771" s="179" t="n">
        <v>13966282232</v>
      </c>
      <c r="L1771" s="179" t="n">
        <v>20949423349</v>
      </c>
    </row>
    <row r="1772" ht="15" customHeight="1" s="95">
      <c r="A1772" s="143" t="n">
        <v>45601</v>
      </c>
      <c r="B1772" s="146" t="n">
        <v>1.000293</v>
      </c>
      <c r="C1772" s="179" t="n">
        <v>35087615971</v>
      </c>
      <c r="D1772" s="179" t="n">
        <v>35077351489</v>
      </c>
      <c r="E1772" s="146" t="n">
        <v>0.999637</v>
      </c>
      <c r="F1772" s="179" t="n">
        <v>120559253143</v>
      </c>
      <c r="G1772" s="179" t="n">
        <v>120603010242</v>
      </c>
      <c r="H1772" s="179">
        <f>IFERROR(D1772+G1772,D1772)</f>
        <v/>
      </c>
      <c r="I1772" s="184">
        <f>IFERROR(D1772/H1772,"")</f>
        <v/>
      </c>
      <c r="J1772" s="179" t="n">
        <v>7015470298</v>
      </c>
      <c r="K1772" s="179" t="n">
        <v>14030940596</v>
      </c>
      <c r="L1772" s="179" t="n">
        <v>21046410893</v>
      </c>
    </row>
    <row r="1773" ht="15" customHeight="1" s="95">
      <c r="A1773" s="143" t="n">
        <v>45602</v>
      </c>
      <c r="B1773" s="146" t="n">
        <v>0.999194</v>
      </c>
      <c r="C1773" s="179" t="n">
        <v>35503318797</v>
      </c>
      <c r="D1773" s="179" t="n">
        <v>35531974339</v>
      </c>
      <c r="E1773" s="146" t="n">
        <v>0.99962</v>
      </c>
      <c r="F1773" s="179" t="n">
        <v>120495287631</v>
      </c>
      <c r="G1773" s="179" t="n">
        <v>120541141562</v>
      </c>
      <c r="H1773" s="179">
        <f>IFERROR(D1773+G1773,D1773)</f>
        <v/>
      </c>
      <c r="I1773" s="184">
        <f>IFERROR(D1773/H1773,"")</f>
        <v/>
      </c>
      <c r="J1773" s="179" t="n">
        <v>7106394868</v>
      </c>
      <c r="K1773" s="179" t="n">
        <v>14212789736</v>
      </c>
      <c r="L1773" s="179" t="n">
        <v>21319184603</v>
      </c>
    </row>
    <row r="1774" ht="15" customHeight="1" s="95">
      <c r="A1774" s="143" t="n">
        <v>45603</v>
      </c>
      <c r="B1774" s="146" t="n">
        <v>0.999481</v>
      </c>
      <c r="C1774" s="179" t="n">
        <v>36371497475</v>
      </c>
      <c r="D1774" s="179" t="n">
        <v>36390370506</v>
      </c>
      <c r="E1774" s="146" t="n">
        <v>1.000586</v>
      </c>
      <c r="F1774" s="179" t="n">
        <v>120569183708</v>
      </c>
      <c r="G1774" s="179" t="n">
        <v>120498554716</v>
      </c>
      <c r="H1774" s="179">
        <f>IFERROR(D1774+G1774,D1774)</f>
        <v/>
      </c>
      <c r="I1774" s="184">
        <f>IFERROR(D1774/H1774,"")</f>
        <v/>
      </c>
      <c r="J1774" s="179" t="n">
        <v>7278074101</v>
      </c>
      <c r="K1774" s="179" t="n">
        <v>14556148202</v>
      </c>
      <c r="L1774" s="179" t="n">
        <v>21834222304</v>
      </c>
    </row>
    <row r="1775" ht="15" customHeight="1" s="95">
      <c r="A1775" s="143" t="n">
        <v>45604</v>
      </c>
      <c r="B1775" s="146" t="n">
        <v>0.999593</v>
      </c>
      <c r="C1775" s="179" t="n">
        <v>36818643248</v>
      </c>
      <c r="D1775" s="179" t="n">
        <v>36833619737</v>
      </c>
      <c r="E1775" s="146" t="n">
        <v>1.000882</v>
      </c>
      <c r="F1775" s="179" t="n">
        <v>121416253099</v>
      </c>
      <c r="G1775" s="179" t="n">
        <v>121309219705</v>
      </c>
      <c r="H1775" s="179">
        <f>IFERROR(D1775+G1775,D1775)</f>
        <v/>
      </c>
      <c r="I1775" s="184">
        <f>IFERROR(D1775/H1775,"")</f>
        <v/>
      </c>
      <c r="J1775" s="179" t="n">
        <v>7366723947</v>
      </c>
      <c r="K1775" s="179" t="n">
        <v>14733447895</v>
      </c>
      <c r="L1775" s="179" t="n">
        <v>22100171842</v>
      </c>
    </row>
    <row r="1776" ht="15" customHeight="1" s="95">
      <c r="A1776" s="143" t="n">
        <v>45605</v>
      </c>
      <c r="B1776" s="146" t="n">
        <v>0.999974</v>
      </c>
      <c r="C1776" s="179" t="n">
        <v>37189043776</v>
      </c>
      <c r="D1776" s="179" t="n">
        <v>37189993276</v>
      </c>
      <c r="E1776" s="146" t="n">
        <v>1.00108</v>
      </c>
      <c r="F1776" s="179" t="n">
        <v>122101847599</v>
      </c>
      <c r="G1776" s="179" t="n">
        <v>121970157521</v>
      </c>
      <c r="H1776" s="179">
        <f>IFERROR(D1776+G1776,D1776)</f>
        <v/>
      </c>
      <c r="I1776" s="184">
        <f>IFERROR(D1776/H1776,"")</f>
        <v/>
      </c>
      <c r="J1776" s="179" t="n">
        <v>7437998655</v>
      </c>
      <c r="K1776" s="179" t="n">
        <v>14875997310</v>
      </c>
      <c r="L1776" s="179" t="n">
        <v>22313995966</v>
      </c>
    </row>
    <row r="1777" ht="15" customHeight="1" s="95">
      <c r="A1777" s="143" t="n">
        <v>45606</v>
      </c>
      <c r="B1777" s="146" t="n">
        <v>0.999054</v>
      </c>
      <c r="C1777" s="179" t="n">
        <v>37023288968</v>
      </c>
      <c r="D1777" s="179" t="n">
        <v>37058335170</v>
      </c>
      <c r="E1777" s="146" t="n">
        <v>0.999153</v>
      </c>
      <c r="F1777" s="179" t="n">
        <v>123117662749</v>
      </c>
      <c r="G1777" s="179" t="n">
        <v>123222015418</v>
      </c>
      <c r="H1777" s="179">
        <f>IFERROR(D1777+G1777,D1777)</f>
        <v/>
      </c>
      <c r="I1777" s="184">
        <f>IFERROR(D1777/H1777,"")</f>
        <v/>
      </c>
      <c r="J1777" s="179" t="n">
        <v>7411667034</v>
      </c>
      <c r="K1777" s="179" t="n">
        <v>14823334068</v>
      </c>
      <c r="L1777" s="179" t="n">
        <v>22235001102</v>
      </c>
    </row>
    <row r="1778" ht="15" customHeight="1" s="95">
      <c r="A1778" s="143" t="n">
        <v>45607</v>
      </c>
      <c r="B1778" s="146" t="n">
        <v>1.00035</v>
      </c>
      <c r="C1778" s="179" t="n">
        <v>36991236537</v>
      </c>
      <c r="D1778" s="179" t="n">
        <v>36978304517</v>
      </c>
      <c r="E1778" s="146" t="n">
        <v>1.001142</v>
      </c>
      <c r="F1778" s="179" t="n">
        <v>123305965711</v>
      </c>
      <c r="G1778" s="179" t="n">
        <v>123165270569</v>
      </c>
      <c r="H1778" s="179">
        <f>IFERROR(D1778+G1778,D1778)</f>
        <v/>
      </c>
      <c r="I1778" s="184">
        <f>IFERROR(D1778/H1778,"")</f>
        <v/>
      </c>
      <c r="J1778" s="179" t="n">
        <v>7395660903</v>
      </c>
      <c r="K1778" s="179" t="n">
        <v>14791321807</v>
      </c>
      <c r="L1778" s="179" t="n">
        <v>22186982710</v>
      </c>
    </row>
    <row r="1779" ht="15" customHeight="1" s="95">
      <c r="A1779" s="143" t="n">
        <v>45608</v>
      </c>
      <c r="B1779" s="146" t="n">
        <v>0.998588</v>
      </c>
      <c r="C1779" s="179" t="n">
        <v>36987329013</v>
      </c>
      <c r="D1779" s="179" t="n">
        <v>37039625180</v>
      </c>
      <c r="E1779" s="146" t="n">
        <v>1.000171</v>
      </c>
      <c r="F1779" s="179" t="n">
        <v>123439410311</v>
      </c>
      <c r="G1779" s="179" t="n">
        <v>123418345675</v>
      </c>
      <c r="H1779" s="179">
        <f>IFERROR(D1779+G1779,D1779)</f>
        <v/>
      </c>
      <c r="I1779" s="184">
        <f>IFERROR(D1779/H1779,"")</f>
        <v/>
      </c>
      <c r="J1779" s="179" t="n">
        <v>7407925036</v>
      </c>
      <c r="K1779" s="179" t="n">
        <v>14815850072</v>
      </c>
      <c r="L1779" s="179" t="n">
        <v>22223775108</v>
      </c>
    </row>
    <row r="1780" ht="15" customHeight="1" s="95">
      <c r="A1780" s="143" t="n">
        <v>45609</v>
      </c>
      <c r="B1780" s="146" t="n">
        <v>1.000969</v>
      </c>
      <c r="C1780" s="179" t="n">
        <v>36511923286</v>
      </c>
      <c r="D1780" s="179" t="n">
        <v>36476569244</v>
      </c>
      <c r="E1780" s="146" t="n">
        <v>1.002466</v>
      </c>
      <c r="F1780" s="179" t="n">
        <v>124190644181</v>
      </c>
      <c r="G1780" s="179" t="n">
        <v>123885165553</v>
      </c>
      <c r="H1780" s="179">
        <f>IFERROR(D1780+G1780,D1780)</f>
        <v/>
      </c>
      <c r="I1780" s="184">
        <f>IFERROR(D1780/H1780,"")</f>
        <v/>
      </c>
      <c r="J1780" s="179" t="n">
        <v>7295313849</v>
      </c>
      <c r="K1780" s="179" t="n">
        <v>14590627698</v>
      </c>
      <c r="L1780" s="179" t="n">
        <v>21885941546</v>
      </c>
    </row>
    <row r="1781" ht="15" customHeight="1" s="95">
      <c r="A1781" s="143" t="n">
        <v>45610</v>
      </c>
      <c r="B1781" s="146" t="n">
        <v>0.999953</v>
      </c>
      <c r="C1781" s="179" t="n">
        <v>36697997168</v>
      </c>
      <c r="D1781" s="179" t="n">
        <v>36699716335</v>
      </c>
      <c r="E1781" s="146" t="n">
        <v>1.000586</v>
      </c>
      <c r="F1781" s="179" t="n">
        <v>125430181336</v>
      </c>
      <c r="G1781" s="179" t="n">
        <v>125356751635</v>
      </c>
      <c r="H1781" s="179">
        <f>IFERROR(D1781+G1781,D1781)</f>
        <v/>
      </c>
      <c r="I1781" s="184">
        <f>IFERROR(D1781/H1781,"")</f>
        <v/>
      </c>
      <c r="J1781" s="179" t="n">
        <v>7339943267</v>
      </c>
      <c r="K1781" s="179" t="n">
        <v>14679886534</v>
      </c>
      <c r="L1781" s="179" t="n">
        <v>22019829801</v>
      </c>
    </row>
    <row r="1782" ht="15" customHeight="1" s="95">
      <c r="A1782" s="143" t="n">
        <v>45611</v>
      </c>
      <c r="B1782" s="146" t="n">
        <v>1.001455</v>
      </c>
      <c r="C1782" s="179" t="n">
        <v>36733576296</v>
      </c>
      <c r="D1782" s="179" t="n">
        <v>36680201946</v>
      </c>
      <c r="E1782" s="146" t="n">
        <v>1.002127</v>
      </c>
      <c r="F1782" s="179" t="n">
        <v>126533887132</v>
      </c>
      <c r="G1782" s="179" t="n">
        <v>126265269787</v>
      </c>
      <c r="H1782" s="179">
        <f>IFERROR(D1782+G1782,D1782)</f>
        <v/>
      </c>
      <c r="I1782" s="184">
        <f>IFERROR(D1782/H1782,"")</f>
        <v/>
      </c>
      <c r="J1782" s="179" t="n">
        <v>7336040389</v>
      </c>
      <c r="K1782" s="179" t="n">
        <v>14672080778</v>
      </c>
      <c r="L1782" s="179" t="n">
        <v>22008121168</v>
      </c>
    </row>
    <row r="1783" ht="15" customHeight="1" s="95">
      <c r="A1783" s="143" t="n">
        <v>45612</v>
      </c>
      <c r="B1783" s="146" t="n">
        <v>0.999633</v>
      </c>
      <c r="C1783" s="179" t="n">
        <v>36888878219</v>
      </c>
      <c r="D1783" s="179" t="n">
        <v>36902436195</v>
      </c>
      <c r="E1783" s="146" t="n">
        <v>0.9999130000000001</v>
      </c>
      <c r="F1783" s="179" t="n">
        <v>127151623616</v>
      </c>
      <c r="G1783" s="179" t="n">
        <v>127162630692</v>
      </c>
      <c r="H1783" s="179">
        <f>IFERROR(D1783+G1783,D1783)</f>
        <v/>
      </c>
      <c r="I1783" s="184">
        <f>IFERROR(D1783/H1783,"")</f>
        <v/>
      </c>
      <c r="J1783" s="179" t="n">
        <v>7380487239</v>
      </c>
      <c r="K1783" s="179" t="n">
        <v>14760974478</v>
      </c>
      <c r="L1783" s="179" t="n">
        <v>22141461717</v>
      </c>
    </row>
    <row r="1784" ht="15" customHeight="1" s="95">
      <c r="A1784" s="143" t="n">
        <v>45613</v>
      </c>
      <c r="B1784" s="146" t="n">
        <v>0.999839</v>
      </c>
      <c r="C1784" s="179" t="n">
        <v>37114966813</v>
      </c>
      <c r="D1784" s="179" t="n">
        <v>37120958783</v>
      </c>
      <c r="E1784" s="146" t="n">
        <v>1.001007</v>
      </c>
      <c r="F1784" s="179" t="n">
        <v>127465547033</v>
      </c>
      <c r="G1784" s="179" t="n">
        <v>127337354108</v>
      </c>
      <c r="H1784" s="179">
        <f>IFERROR(D1784+G1784,D1784)</f>
        <v/>
      </c>
      <c r="I1784" s="184">
        <f>IFERROR(D1784/H1784,"")</f>
        <v/>
      </c>
      <c r="J1784" s="179" t="n">
        <v>7424191757</v>
      </c>
      <c r="K1784" s="179" t="n">
        <v>14848383513</v>
      </c>
      <c r="L1784" s="179" t="n">
        <v>22272575270</v>
      </c>
    </row>
    <row r="1785" ht="15" customHeight="1" s="95">
      <c r="A1785" s="143" t="n">
        <v>45614</v>
      </c>
      <c r="B1785" s="146" t="n">
        <v>1.000327</v>
      </c>
      <c r="C1785" s="179" t="n">
        <v>37154959455</v>
      </c>
      <c r="D1785" s="179" t="n">
        <v>37142807230</v>
      </c>
      <c r="E1785" s="146" t="n">
        <v>1.000563</v>
      </c>
      <c r="F1785" s="179" t="n">
        <v>127602287394</v>
      </c>
      <c r="G1785" s="179" t="n">
        <v>127530517248</v>
      </c>
      <c r="H1785" s="179">
        <f>IFERROR(D1785+G1785,D1785)</f>
        <v/>
      </c>
      <c r="I1785" s="184">
        <f>IFERROR(D1785/H1785,"")</f>
        <v/>
      </c>
      <c r="J1785" s="179" t="n">
        <v>7428561446</v>
      </c>
      <c r="K1785" s="179" t="n">
        <v>14857122892</v>
      </c>
      <c r="L1785" s="179" t="n">
        <v>22285684338</v>
      </c>
    </row>
    <row r="1786" ht="15" customHeight="1" s="95">
      <c r="A1786" s="143" t="n">
        <v>45615</v>
      </c>
      <c r="B1786" s="146" t="n">
        <v>0.999861</v>
      </c>
      <c r="C1786" s="179" t="n">
        <v>37424584133</v>
      </c>
      <c r="D1786" s="179" t="n">
        <v>37429789663</v>
      </c>
      <c r="E1786" s="146" t="n">
        <v>1.000658</v>
      </c>
      <c r="F1786" s="179" t="n">
        <v>127577408162</v>
      </c>
      <c r="G1786" s="179" t="n">
        <v>127493546669</v>
      </c>
      <c r="H1786" s="179">
        <f>IFERROR(D1786+G1786,D1786)</f>
        <v/>
      </c>
      <c r="I1786" s="184">
        <f>IFERROR(D1786/H1786,"")</f>
        <v/>
      </c>
      <c r="J1786" s="179" t="n">
        <v>7485957933</v>
      </c>
      <c r="K1786" s="179" t="n">
        <v>14971915865</v>
      </c>
      <c r="L1786" s="179" t="n">
        <v>22457873798</v>
      </c>
    </row>
    <row r="1787" ht="15" customHeight="1" s="95">
      <c r="A1787" s="143" t="n">
        <v>45616</v>
      </c>
      <c r="B1787" s="146" t="n">
        <v>0.999861</v>
      </c>
      <c r="C1787" s="179" t="n">
        <v>37297902572</v>
      </c>
      <c r="D1787" s="179" t="n">
        <v>37303100859</v>
      </c>
      <c r="E1787" s="146" t="n">
        <v>1.001129</v>
      </c>
      <c r="F1787" s="179" t="n">
        <v>128303147970</v>
      </c>
      <c r="G1787" s="179" t="n">
        <v>128158521028</v>
      </c>
      <c r="H1787" s="179">
        <f>IFERROR(D1787+G1787,D1787)</f>
        <v/>
      </c>
      <c r="I1787" s="184">
        <f>IFERROR(D1787/H1787,"")</f>
        <v/>
      </c>
      <c r="J1787" s="179" t="n">
        <v>7460620172</v>
      </c>
      <c r="K1787" s="179" t="n">
        <v>14921240344</v>
      </c>
      <c r="L1787" s="179" t="n">
        <v>22381860515</v>
      </c>
    </row>
    <row r="1788" ht="15" customHeight="1" s="95">
      <c r="A1788" s="143" t="n">
        <v>45617</v>
      </c>
      <c r="B1788" s="146" t="n">
        <v>1.000763</v>
      </c>
      <c r="C1788" s="179" t="n">
        <v>37710603331</v>
      </c>
      <c r="D1788" s="179" t="n">
        <v>37681850719</v>
      </c>
      <c r="E1788" s="146" t="n">
        <v>1.001547</v>
      </c>
      <c r="F1788" s="179" t="n">
        <v>128885876888</v>
      </c>
      <c r="G1788" s="179" t="n">
        <v>128686758837</v>
      </c>
      <c r="H1788" s="179">
        <f>IFERROR(D1788+G1788,D1788)</f>
        <v/>
      </c>
      <c r="I1788" s="184">
        <f>IFERROR(D1788/H1788,"")</f>
        <v/>
      </c>
      <c r="J1788" s="179" t="n">
        <v>7536370144</v>
      </c>
      <c r="K1788" s="179" t="n">
        <v>15072740288</v>
      </c>
      <c r="L1788" s="179" t="n">
        <v>22609110431</v>
      </c>
    </row>
    <row r="1789" ht="15" customHeight="1" s="95">
      <c r="A1789" s="143" t="n">
        <v>45618</v>
      </c>
      <c r="B1789" s="146" t="n">
        <v>1.000025</v>
      </c>
      <c r="C1789" s="179" t="n">
        <v>38180862910</v>
      </c>
      <c r="D1789" s="179" t="n">
        <v>38179924118</v>
      </c>
      <c r="E1789" s="146" t="n">
        <v>1.001041</v>
      </c>
      <c r="F1789" s="179" t="n">
        <v>130280329430</v>
      </c>
      <c r="G1789" s="179" t="n">
        <v>130144852304</v>
      </c>
      <c r="H1789" s="179">
        <f>IFERROR(D1789+G1789,D1789)</f>
        <v/>
      </c>
      <c r="I1789" s="184">
        <f>IFERROR(D1789/H1789,"")</f>
        <v/>
      </c>
      <c r="J1789" s="179" t="n">
        <v>7635984824</v>
      </c>
      <c r="K1789" s="179" t="n">
        <v>15271969647</v>
      </c>
      <c r="L1789" s="179" t="n">
        <v>22907954471</v>
      </c>
    </row>
    <row r="1790" ht="15" customHeight="1" s="95">
      <c r="A1790" s="143" t="n">
        <v>45619</v>
      </c>
      <c r="B1790" s="146" t="n">
        <v>0.999906</v>
      </c>
      <c r="C1790" s="179" t="n">
        <v>38842917922</v>
      </c>
      <c r="D1790" s="179" t="n">
        <v>38846566341</v>
      </c>
      <c r="E1790" s="146" t="n">
        <v>1.000954</v>
      </c>
      <c r="F1790" s="179" t="n">
        <v>130897757312</v>
      </c>
      <c r="G1790" s="179" t="n">
        <v>130773029084</v>
      </c>
      <c r="H1790" s="179">
        <f>IFERROR(D1790+G1790,D1790)</f>
        <v/>
      </c>
      <c r="I1790" s="184">
        <f>IFERROR(D1790/H1790,"")</f>
        <v/>
      </c>
      <c r="J1790" s="179" t="n">
        <v>7769313268</v>
      </c>
      <c r="K1790" s="179" t="n">
        <v>15538626536</v>
      </c>
      <c r="L1790" s="179" t="n">
        <v>23307939805</v>
      </c>
    </row>
    <row r="1791" ht="15" customHeight="1" s="95">
      <c r="A1791" s="143" t="n">
        <v>45620</v>
      </c>
      <c r="B1791" s="146" t="n">
        <v>1.000235</v>
      </c>
      <c r="C1791" s="179" t="n">
        <v>39021138674</v>
      </c>
      <c r="D1791" s="179" t="n">
        <v>39011984992</v>
      </c>
      <c r="E1791" s="146" t="n">
        <v>1.001465</v>
      </c>
      <c r="F1791" s="179" t="n">
        <v>132159353228</v>
      </c>
      <c r="G1791" s="179" t="n">
        <v>131966006892</v>
      </c>
      <c r="H1791" s="179">
        <f>IFERROR(D1791+G1791,D1791)</f>
        <v/>
      </c>
      <c r="I1791" s="184">
        <f>IFERROR(D1791/H1791,"")</f>
        <v/>
      </c>
      <c r="J1791" s="179" t="n">
        <v>7802396998</v>
      </c>
      <c r="K1791" s="179" t="n">
        <v>15604793997</v>
      </c>
      <c r="L1791" s="179" t="n">
        <v>23407190995</v>
      </c>
    </row>
    <row r="1792" ht="15" customHeight="1" s="95">
      <c r="A1792" s="143" t="n">
        <v>45621</v>
      </c>
      <c r="B1792" s="146" t="n">
        <v>1.000447</v>
      </c>
      <c r="C1792" s="179" t="n">
        <v>38981050694</v>
      </c>
      <c r="D1792" s="179" t="n">
        <v>38963640799</v>
      </c>
      <c r="E1792" s="146" t="n">
        <v>1.001414</v>
      </c>
      <c r="F1792" s="179" t="n">
        <v>132644503423</v>
      </c>
      <c r="G1792" s="179" t="n">
        <v>132457244247</v>
      </c>
      <c r="H1792" s="179">
        <f>IFERROR(D1792+G1792,D1792)</f>
        <v/>
      </c>
      <c r="I1792" s="184">
        <f>IFERROR(D1792/H1792,"")</f>
        <v/>
      </c>
      <c r="J1792" s="179" t="n">
        <v>7792728160</v>
      </c>
      <c r="K1792" s="179" t="n">
        <v>15585456320</v>
      </c>
      <c r="L1792" s="179" t="n">
        <v>23378184479</v>
      </c>
    </row>
    <row r="1793" ht="15" customHeight="1" s="95">
      <c r="A1793" s="143" t="n">
        <v>45622</v>
      </c>
      <c r="B1793" s="146" t="n">
        <v>0.998618</v>
      </c>
      <c r="C1793" s="179" t="n">
        <v>38659175709</v>
      </c>
      <c r="D1793" s="179" t="n">
        <v>38712689888</v>
      </c>
      <c r="E1793" s="146" t="n">
        <v>1.000352</v>
      </c>
      <c r="F1793" s="179" t="n">
        <v>132518468961</v>
      </c>
      <c r="G1793" s="179" t="n">
        <v>132471819252</v>
      </c>
      <c r="H1793" s="179">
        <f>IFERROR(D1793+G1793,D1793)</f>
        <v/>
      </c>
      <c r="I1793" s="184">
        <f>IFERROR(D1793/H1793,"")</f>
        <v/>
      </c>
      <c r="J1793" s="179" t="n">
        <v>7742537978</v>
      </c>
      <c r="K1793" s="179" t="n">
        <v>15485075955</v>
      </c>
      <c r="L1793" s="179" t="n">
        <v>23227613933</v>
      </c>
    </row>
    <row r="1794" ht="15" customHeight="1" s="95">
      <c r="A1794" s="143" t="n">
        <v>45623</v>
      </c>
      <c r="B1794" s="146" t="n">
        <v>1.000593</v>
      </c>
      <c r="C1794" s="179" t="n">
        <v>38651132095</v>
      </c>
      <c r="D1794" s="179" t="n">
        <v>38628221116</v>
      </c>
      <c r="E1794" s="146" t="n">
        <v>0.999121</v>
      </c>
      <c r="F1794" s="179" t="n">
        <v>132798534022</v>
      </c>
      <c r="G1794" s="179" t="n">
        <v>132915355958</v>
      </c>
      <c r="H1794" s="179">
        <f>IFERROR(D1794+G1794,D1794)</f>
        <v/>
      </c>
      <c r="I1794" s="184">
        <f>IFERROR(D1794/H1794,"")</f>
        <v/>
      </c>
      <c r="J1794" s="179" t="n">
        <v>7725644223</v>
      </c>
      <c r="K1794" s="179" t="n">
        <v>15451288446</v>
      </c>
      <c r="L1794" s="179" t="n">
        <v>23176932670</v>
      </c>
    </row>
    <row r="1795" ht="15" customHeight="1" s="95">
      <c r="A1795" s="143" t="n">
        <v>45624</v>
      </c>
      <c r="B1795" s="146" t="n">
        <v>0.99978</v>
      </c>
      <c r="C1795" s="179" t="n">
        <v>39492926655</v>
      </c>
      <c r="D1795" s="179" t="n">
        <v>39501618637</v>
      </c>
      <c r="E1795" s="146" t="n">
        <v>1.001215</v>
      </c>
      <c r="F1795" s="179" t="n">
        <v>132817280337</v>
      </c>
      <c r="G1795" s="179" t="n">
        <v>132656120309</v>
      </c>
      <c r="H1795" s="179">
        <f>IFERROR(D1795+G1795,D1795)</f>
        <v/>
      </c>
      <c r="I1795" s="184">
        <f>IFERROR(D1795/H1795,"")</f>
        <v/>
      </c>
      <c r="J1795" s="179" t="n">
        <v>7900323727</v>
      </c>
      <c r="K1795" s="179" t="n">
        <v>15800647455</v>
      </c>
      <c r="L1795" s="179" t="n">
        <v>23700971182</v>
      </c>
    </row>
    <row r="1796" ht="15" customHeight="1" s="95">
      <c r="A1796" s="143" t="n">
        <v>45625</v>
      </c>
      <c r="B1796" s="146" t="n">
        <v>0.9999</v>
      </c>
      <c r="C1796" s="179" t="n">
        <v>39387557115</v>
      </c>
      <c r="D1796" s="179" t="n">
        <v>39391494993</v>
      </c>
      <c r="E1796" s="146" t="n">
        <v>1.000398</v>
      </c>
      <c r="F1796" s="179" t="n">
        <v>133087959435</v>
      </c>
      <c r="G1796" s="179" t="n">
        <v>133034998003</v>
      </c>
      <c r="H1796" s="179">
        <f>IFERROR(D1796+G1796,D1796)</f>
        <v/>
      </c>
      <c r="I1796" s="184">
        <f>IFERROR(D1796/H1796,"")</f>
        <v/>
      </c>
      <c r="J1796" s="179" t="n">
        <v>7878298999</v>
      </c>
      <c r="K1796" s="179" t="n">
        <v>15756597997</v>
      </c>
      <c r="L1796" s="179" t="n">
        <v>23634896996</v>
      </c>
    </row>
    <row r="1797" ht="15" customHeight="1" s="95">
      <c r="A1797" s="143" t="n">
        <v>45626</v>
      </c>
      <c r="B1797" s="146" t="n">
        <v>1.000389</v>
      </c>
      <c r="C1797" s="179" t="n">
        <v>39807121251</v>
      </c>
      <c r="D1797" s="179" t="n">
        <v>39791639203</v>
      </c>
      <c r="E1797" s="146" t="n">
        <v>1.000948</v>
      </c>
      <c r="F1797" s="179" t="n">
        <v>133558624671</v>
      </c>
      <c r="G1797" s="179" t="n">
        <v>133432174476</v>
      </c>
      <c r="H1797" s="179">
        <f>IFERROR(D1797+G1797,D1797)</f>
        <v/>
      </c>
      <c r="I1797" s="184">
        <f>IFERROR(D1797/H1797,"")</f>
        <v/>
      </c>
      <c r="J1797" s="179" t="n">
        <v>7958327841</v>
      </c>
      <c r="K1797" s="179" t="n">
        <v>15916655681</v>
      </c>
      <c r="L1797" s="179" t="n">
        <v>23874983522</v>
      </c>
    </row>
    <row r="1798" ht="15" customHeight="1" s="95">
      <c r="A1798" s="143" t="n">
        <v>45627</v>
      </c>
      <c r="B1798" s="146" t="n">
        <v>1.000152</v>
      </c>
      <c r="C1798" s="179" t="n">
        <v>39898927279</v>
      </c>
      <c r="D1798" s="179" t="n">
        <v>39892867586</v>
      </c>
      <c r="E1798" s="146" t="n">
        <v>1.00063</v>
      </c>
      <c r="F1798" s="179" t="n">
        <v>134096975603</v>
      </c>
      <c r="G1798" s="179" t="n">
        <v>134012490108</v>
      </c>
      <c r="H1798" s="179">
        <f>IFERROR(D1798+G1798,D1798)</f>
        <v/>
      </c>
      <c r="I1798" s="184">
        <f>IFERROR(D1798/H1798,"")</f>
        <v/>
      </c>
      <c r="J1798" s="179" t="n">
        <v>7978573517</v>
      </c>
      <c r="K1798" s="179" t="n">
        <v>15957147034</v>
      </c>
      <c r="L1798" s="179" t="n">
        <v>23935720552</v>
      </c>
    </row>
    <row r="1799" ht="15" customHeight="1" s="95">
      <c r="A1799" s="143" t="n">
        <v>45628</v>
      </c>
      <c r="B1799" s="146" t="n">
        <v>0.999655</v>
      </c>
      <c r="C1799" s="179" t="n">
        <v>39976806451</v>
      </c>
      <c r="D1799" s="179" t="n">
        <v>39990607871</v>
      </c>
      <c r="E1799" s="146" t="n">
        <v>1.000787</v>
      </c>
      <c r="F1799" s="179" t="n">
        <v>134142995569</v>
      </c>
      <c r="G1799" s="179" t="n">
        <v>134037554223</v>
      </c>
      <c r="H1799" s="179">
        <f>IFERROR(D1799+G1799,D1799)</f>
        <v/>
      </c>
      <c r="I1799" s="184">
        <f>IFERROR(D1799/H1799,"")</f>
        <v/>
      </c>
      <c r="J1799" s="179" t="n">
        <v>7998121574</v>
      </c>
      <c r="K1799" s="179" t="n">
        <v>15996243148</v>
      </c>
      <c r="L1799" s="179" t="n">
        <v>23994364723</v>
      </c>
    </row>
    <row r="1800" ht="15" customHeight="1" s="95">
      <c r="A1800" s="143" t="n">
        <v>45629</v>
      </c>
      <c r="B1800" s="146" t="n">
        <v>1.000599</v>
      </c>
      <c r="C1800" s="179" t="n">
        <v>39904493861</v>
      </c>
      <c r="D1800" s="179" t="n">
        <v>39880623304</v>
      </c>
      <c r="E1800" s="146" t="n">
        <v>1.000713</v>
      </c>
      <c r="F1800" s="179" t="n">
        <v>134233284629</v>
      </c>
      <c r="G1800" s="179" t="n">
        <v>134137648404</v>
      </c>
      <c r="H1800" s="179">
        <f>IFERROR(D1800+G1800,D1800)</f>
        <v/>
      </c>
      <c r="I1800" s="184">
        <f>IFERROR(D1800/H1800,"")</f>
        <v/>
      </c>
      <c r="J1800" s="179" t="n">
        <v>7976124661</v>
      </c>
      <c r="K1800" s="179" t="n">
        <v>15952249322</v>
      </c>
      <c r="L1800" s="179" t="n">
        <v>23928373982</v>
      </c>
    </row>
    <row r="1801" ht="15" customHeight="1" s="95">
      <c r="A1801" s="143" t="n">
        <v>45630</v>
      </c>
      <c r="B1801" s="146" t="n">
        <v>0.99992</v>
      </c>
      <c r="C1801" s="179" t="n">
        <v>39955279124</v>
      </c>
      <c r="D1801" s="179" t="n">
        <v>39958480435</v>
      </c>
      <c r="E1801" s="146" t="n">
        <v>1.000928</v>
      </c>
      <c r="F1801" s="179" t="n">
        <v>134792339935</v>
      </c>
      <c r="G1801" s="179" t="n">
        <v>134667403219</v>
      </c>
      <c r="H1801" s="179">
        <f>IFERROR(D1801+G1801,D1801)</f>
        <v/>
      </c>
      <c r="I1801" s="184">
        <f>IFERROR(D1801/H1801,"")</f>
        <v/>
      </c>
      <c r="J1801" s="179" t="n">
        <v>7991696087</v>
      </c>
      <c r="K1801" s="179" t="n">
        <v>15983392174</v>
      </c>
      <c r="L1801" s="179" t="n">
        <v>23975088261</v>
      </c>
    </row>
    <row r="1802" ht="15" customHeight="1" s="95">
      <c r="A1802" s="143" t="n">
        <v>45631</v>
      </c>
      <c r="B1802" s="146" t="n">
        <v>0.999773</v>
      </c>
      <c r="C1802" s="179" t="n">
        <v>40347104988</v>
      </c>
      <c r="D1802" s="179" t="n">
        <v>40356249363</v>
      </c>
      <c r="E1802" s="146" t="n">
        <v>1.001026</v>
      </c>
      <c r="F1802" s="179" t="n">
        <v>135115109896</v>
      </c>
      <c r="G1802" s="179" t="n">
        <v>134976605752</v>
      </c>
      <c r="H1802" s="179">
        <f>IFERROR(D1802+G1802,D1802)</f>
        <v/>
      </c>
      <c r="I1802" s="184">
        <f>IFERROR(D1802/H1802,"")</f>
        <v/>
      </c>
      <c r="J1802" s="179" t="n">
        <v>8071249873</v>
      </c>
      <c r="K1802" s="179" t="n">
        <v>16142499745</v>
      </c>
      <c r="L1802" s="179" t="n">
        <v>24213749618</v>
      </c>
    </row>
    <row r="1803" ht="15" customHeight="1" s="95">
      <c r="A1803" s="143" t="n">
        <v>45632</v>
      </c>
      <c r="B1803" s="146" t="n">
        <v>1.001034</v>
      </c>
      <c r="C1803" s="179" t="n">
        <v>40366885489</v>
      </c>
      <c r="D1803" s="179" t="n">
        <v>40325184407</v>
      </c>
      <c r="E1803" s="146" t="n">
        <v>1.001847</v>
      </c>
      <c r="F1803" s="179" t="n">
        <v>136102059296</v>
      </c>
      <c r="G1803" s="179" t="n">
        <v>135851081266</v>
      </c>
      <c r="H1803" s="179">
        <f>IFERROR(D1803+G1803,D1803)</f>
        <v/>
      </c>
      <c r="I1803" s="184">
        <f>IFERROR(D1803/H1803,"")</f>
        <v/>
      </c>
      <c r="J1803" s="179" t="n">
        <v>8065036881</v>
      </c>
      <c r="K1803" s="179" t="n">
        <v>16130073763</v>
      </c>
      <c r="L1803" s="179" t="n">
        <v>24195110644</v>
      </c>
    </row>
    <row r="1804" ht="15" customHeight="1" s="95">
      <c r="A1804" s="143" t="n">
        <v>45633</v>
      </c>
      <c r="B1804" s="146" t="n">
        <v>0.999972</v>
      </c>
      <c r="C1804" s="179" t="n">
        <v>40571783401</v>
      </c>
      <c r="D1804" s="179" t="n">
        <v>40572899157</v>
      </c>
      <c r="E1804" s="146" t="n">
        <v>1.001763</v>
      </c>
      <c r="F1804" s="179" t="n">
        <v>136854657753</v>
      </c>
      <c r="G1804" s="179" t="n">
        <v>136613790690</v>
      </c>
      <c r="H1804" s="179">
        <f>IFERROR(D1804+G1804,D1804)</f>
        <v/>
      </c>
      <c r="I1804" s="184">
        <f>IFERROR(D1804/H1804,"")</f>
        <v/>
      </c>
      <c r="J1804" s="179" t="n">
        <v>8114579831</v>
      </c>
      <c r="K1804" s="179" t="n">
        <v>16229159663</v>
      </c>
      <c r="L1804" s="179" t="n">
        <v>24343739494</v>
      </c>
    </row>
    <row r="1805" ht="15" customHeight="1" s="95">
      <c r="A1805" s="143" t="n">
        <v>45634</v>
      </c>
      <c r="B1805" s="146" t="n">
        <v>0.998628</v>
      </c>
      <c r="C1805" s="179" t="n">
        <v>41217555347</v>
      </c>
      <c r="D1805" s="179" t="n">
        <v>41274167249</v>
      </c>
      <c r="E1805" s="146" t="n">
        <v>0.999329</v>
      </c>
      <c r="F1805" s="179" t="n">
        <v>137612057919</v>
      </c>
      <c r="G1805" s="179" t="n">
        <v>137704486652</v>
      </c>
      <c r="H1805" s="179">
        <f>IFERROR(D1805+G1805,D1805)</f>
        <v/>
      </c>
      <c r="I1805" s="184">
        <f>IFERROR(D1805/H1805,"")</f>
        <v/>
      </c>
      <c r="J1805" s="179" t="n">
        <v>8254833450</v>
      </c>
      <c r="K1805" s="179" t="n">
        <v>16509666900</v>
      </c>
      <c r="L1805" s="179" t="n">
        <v>24764500349</v>
      </c>
    </row>
    <row r="1806" ht="15" customHeight="1" s="95">
      <c r="A1806" s="143" t="n">
        <v>45635</v>
      </c>
      <c r="B1806" s="146" t="n">
        <v>1.003413</v>
      </c>
      <c r="C1806" s="179" t="n">
        <v>41170483430</v>
      </c>
      <c r="D1806" s="179" t="n">
        <v>41030457495</v>
      </c>
      <c r="E1806" s="146" t="n">
        <v>1.002101</v>
      </c>
      <c r="F1806" s="179" t="n">
        <v>138155979444</v>
      </c>
      <c r="G1806" s="179" t="n">
        <v>137866285948</v>
      </c>
      <c r="H1806" s="179">
        <f>IFERROR(D1806+G1806,D1806)</f>
        <v/>
      </c>
      <c r="I1806" s="184">
        <f>IFERROR(D1806/H1806,"")</f>
        <v/>
      </c>
      <c r="J1806" s="179" t="n">
        <v>8206091499</v>
      </c>
      <c r="K1806" s="179" t="n">
        <v>16412182998</v>
      </c>
      <c r="L1806" s="179" t="n">
        <v>24618274497</v>
      </c>
    </row>
    <row r="1807" ht="15" customHeight="1" s="95">
      <c r="A1807" s="143" t="n">
        <v>45636</v>
      </c>
      <c r="B1807" s="146" t="n">
        <v>1.000341</v>
      </c>
      <c r="C1807" s="179" t="n">
        <v>40698046919</v>
      </c>
      <c r="D1807" s="179" t="n">
        <v>40684169356</v>
      </c>
      <c r="E1807" s="146" t="n">
        <v>1.000907</v>
      </c>
      <c r="F1807" s="179" t="n">
        <v>138058530450</v>
      </c>
      <c r="G1807" s="179" t="n">
        <v>137933465308</v>
      </c>
      <c r="H1807" s="179">
        <f>IFERROR(D1807+G1807,D1807)</f>
        <v/>
      </c>
      <c r="I1807" s="184">
        <f>IFERROR(D1807/H1807,"")</f>
        <v/>
      </c>
      <c r="J1807" s="179" t="n">
        <v>8136833871</v>
      </c>
      <c r="K1807" s="179" t="n">
        <v>16273667742</v>
      </c>
      <c r="L1807" s="179" t="n">
        <v>24410501614</v>
      </c>
    </row>
    <row r="1808" ht="15" customHeight="1" s="95">
      <c r="A1808" s="143" t="n">
        <v>45637</v>
      </c>
      <c r="B1808" s="146" t="n">
        <v>0.999005</v>
      </c>
      <c r="C1808" s="179" t="n">
        <v>40823137395</v>
      </c>
      <c r="D1808" s="179" t="n">
        <v>40863792354</v>
      </c>
      <c r="E1808" s="146" t="n">
        <v>1.000617</v>
      </c>
      <c r="F1808" s="179" t="n">
        <v>138406600567</v>
      </c>
      <c r="G1808" s="179" t="n">
        <v>138321319348</v>
      </c>
      <c r="H1808" s="179">
        <f>IFERROR(D1808+G1808,D1808)</f>
        <v/>
      </c>
      <c r="I1808" s="184">
        <f>IFERROR(D1808/H1808,"")</f>
        <v/>
      </c>
      <c r="J1808" s="179" t="n">
        <v>8172758471</v>
      </c>
      <c r="K1808" s="179" t="n">
        <v>16345516942</v>
      </c>
      <c r="L1808" s="179" t="n">
        <v>24518275412</v>
      </c>
    </row>
    <row r="1809" ht="15" customHeight="1" s="95">
      <c r="A1809" s="143" t="n">
        <v>45638</v>
      </c>
      <c r="B1809" s="146" t="n">
        <v>0.998905</v>
      </c>
      <c r="C1809" s="179" t="n">
        <v>41501545454</v>
      </c>
      <c r="D1809" s="179" t="n">
        <v>41547019821</v>
      </c>
      <c r="E1809" s="146" t="n">
        <v>0.999977</v>
      </c>
      <c r="F1809" s="179" t="n">
        <v>138607890909</v>
      </c>
      <c r="G1809" s="179" t="n">
        <v>138611050801</v>
      </c>
      <c r="H1809" s="179">
        <f>IFERROR(D1809+G1809,D1809)</f>
        <v/>
      </c>
      <c r="I1809" s="184">
        <f>IFERROR(D1809/H1809,"")</f>
        <v/>
      </c>
      <c r="J1809" s="179" t="n">
        <v>8309403964</v>
      </c>
      <c r="K1809" s="179" t="n">
        <v>16618807928</v>
      </c>
      <c r="L1809" s="179" t="n">
        <v>24928211893</v>
      </c>
    </row>
    <row r="1810" ht="15" customHeight="1" s="95">
      <c r="A1810" s="143" t="n">
        <v>45639</v>
      </c>
      <c r="B1810" s="146" t="n">
        <v>0.999985</v>
      </c>
      <c r="C1810" s="179" t="n">
        <v>41502192919</v>
      </c>
      <c r="D1810" s="179" t="n">
        <v>41502809373</v>
      </c>
      <c r="E1810" s="146" t="n">
        <v>1.00007</v>
      </c>
      <c r="F1810" s="179" t="n">
        <v>139723319629</v>
      </c>
      <c r="G1810" s="179" t="n">
        <v>139713583871</v>
      </c>
      <c r="H1810" s="179">
        <f>IFERROR(D1810+G1810,D1810)</f>
        <v/>
      </c>
      <c r="I1810" s="184">
        <f>IFERROR(D1810/H1810,"")</f>
        <v/>
      </c>
      <c r="J1810" s="179" t="n">
        <v>8300561875</v>
      </c>
      <c r="K1810" s="179" t="n">
        <v>16601123749</v>
      </c>
      <c r="L1810" s="179" t="n">
        <v>24901685624</v>
      </c>
    </row>
    <row r="1811" ht="15" customHeight="1" s="95">
      <c r="A1811" s="143" t="n">
        <v>45640</v>
      </c>
      <c r="B1811" s="146" t="n">
        <v>1.00031</v>
      </c>
      <c r="C1811" s="179" t="n">
        <v>41992638645</v>
      </c>
      <c r="D1811" s="179" t="n">
        <v>41979604972</v>
      </c>
      <c r="E1811" s="146" t="n">
        <v>1.000172</v>
      </c>
      <c r="F1811" s="179" t="n">
        <v>140114634837</v>
      </c>
      <c r="G1811" s="179" t="n">
        <v>140090579705</v>
      </c>
      <c r="H1811" s="179">
        <f>IFERROR(D1811+G1811,D1811)</f>
        <v/>
      </c>
      <c r="I1811" s="184">
        <f>IFERROR(D1811/H1811,"")</f>
        <v/>
      </c>
      <c r="J1811" s="179" t="n">
        <v>8395920994</v>
      </c>
      <c r="K1811" s="179" t="n">
        <v>16791841989</v>
      </c>
      <c r="L1811" s="179" t="n">
        <v>25187762983</v>
      </c>
    </row>
    <row r="1812" ht="15" customHeight="1" s="95">
      <c r="A1812" s="143" t="n">
        <v>45641</v>
      </c>
      <c r="B1812" s="146" t="n">
        <v>0.999741</v>
      </c>
      <c r="C1812" s="179" t="n">
        <v>41984734433</v>
      </c>
      <c r="D1812" s="179" t="n">
        <v>41995619338</v>
      </c>
      <c r="E1812" s="146" t="n">
        <v>0.999704</v>
      </c>
      <c r="F1812" s="179" t="n">
        <v>140087294966</v>
      </c>
      <c r="G1812" s="179" t="n">
        <v>140128704584</v>
      </c>
      <c r="H1812" s="179">
        <f>IFERROR(D1812+G1812,D1812)</f>
        <v/>
      </c>
      <c r="I1812" s="184">
        <f>IFERROR(D1812/H1812,"")</f>
        <v/>
      </c>
      <c r="J1812" s="179" t="n">
        <v>8399123868</v>
      </c>
      <c r="K1812" s="179" t="n">
        <v>16798247735</v>
      </c>
      <c r="L1812" s="179" t="n">
        <v>25197371603</v>
      </c>
    </row>
    <row r="1813" ht="15" customHeight="1" s="95">
      <c r="A1813" s="143" t="n">
        <v>45642</v>
      </c>
      <c r="B1813" s="146" t="n">
        <v>0.999783</v>
      </c>
      <c r="C1813" s="179" t="n">
        <v>42123501126</v>
      </c>
      <c r="D1813" s="179" t="n">
        <v>42132653020</v>
      </c>
      <c r="E1813" s="146" t="n">
        <v>0.9994690000000001</v>
      </c>
      <c r="F1813" s="179" t="n">
        <v>140272958832</v>
      </c>
      <c r="G1813" s="179" t="n">
        <v>140347432584</v>
      </c>
      <c r="H1813" s="179">
        <f>IFERROR(D1813+G1813,D1813)</f>
        <v/>
      </c>
      <c r="I1813" s="184">
        <f>IFERROR(D1813/H1813,"")</f>
        <v/>
      </c>
      <c r="J1813" s="179" t="n">
        <v>8426530604</v>
      </c>
      <c r="K1813" s="179" t="n">
        <v>16853061208</v>
      </c>
      <c r="L1813" s="179" t="n">
        <v>25279591812</v>
      </c>
    </row>
    <row r="1814" ht="15" customHeight="1" s="95">
      <c r="A1814" s="143" t="n">
        <v>45643</v>
      </c>
      <c r="B1814" s="146" t="n">
        <v>1.000902</v>
      </c>
      <c r="C1814" s="179" t="n">
        <v>42390179646</v>
      </c>
      <c r="D1814" s="179" t="n">
        <v>42351978757</v>
      </c>
      <c r="E1814" s="146" t="n">
        <v>0.9999980000000001</v>
      </c>
      <c r="F1814" s="179" t="n">
        <v>140528755312</v>
      </c>
      <c r="G1814" s="179" t="n">
        <v>140529060360</v>
      </c>
      <c r="H1814" s="179">
        <f>IFERROR(D1814+G1814,D1814)</f>
        <v/>
      </c>
      <c r="I1814" s="184">
        <f>IFERROR(D1814/H1814,"")</f>
        <v/>
      </c>
      <c r="J1814" s="179" t="n">
        <v>8470395751</v>
      </c>
      <c r="K1814" s="179" t="n">
        <v>16940791503</v>
      </c>
      <c r="L1814" s="179" t="n">
        <v>25411187254</v>
      </c>
    </row>
    <row r="1815" ht="15" customHeight="1" s="95">
      <c r="A1815" s="143" t="n">
        <v>45644</v>
      </c>
      <c r="B1815" s="146" t="n">
        <v>0.999203</v>
      </c>
      <c r="C1815" s="179" t="n">
        <v>42538482548</v>
      </c>
      <c r="D1815" s="179" t="n">
        <v>42572398706</v>
      </c>
      <c r="E1815" s="146" t="n">
        <v>0.999497</v>
      </c>
      <c r="F1815" s="179" t="n">
        <v>140386804952</v>
      </c>
      <c r="G1815" s="179" t="n">
        <v>140457391994</v>
      </c>
      <c r="H1815" s="179">
        <f>IFERROR(D1815+G1815,D1815)</f>
        <v/>
      </c>
      <c r="I1815" s="184">
        <f>IFERROR(D1815/H1815,"")</f>
        <v/>
      </c>
      <c r="J1815" s="179" t="n">
        <v>8514479741</v>
      </c>
      <c r="K1815" s="179" t="n">
        <v>17028959482</v>
      </c>
      <c r="L1815" s="179" t="n">
        <v>25543439224</v>
      </c>
    </row>
    <row r="1816" ht="15" customHeight="1" s="95">
      <c r="A1816" s="143" t="n">
        <v>45645</v>
      </c>
      <c r="B1816" s="146" t="n">
        <v>0.999528</v>
      </c>
      <c r="C1816" s="179" t="n">
        <v>42315907910</v>
      </c>
      <c r="D1816" s="179" t="n">
        <v>42335900291</v>
      </c>
      <c r="E1816" s="146" t="n">
        <v>0.998148</v>
      </c>
      <c r="F1816" s="179" t="n">
        <v>140430126428</v>
      </c>
      <c r="G1816" s="179" t="n">
        <v>140690673045</v>
      </c>
      <c r="H1816" s="179">
        <f>IFERROR(D1816+G1816,D1816)</f>
        <v/>
      </c>
      <c r="I1816" s="184">
        <f>IFERROR(D1816/H1816,"")</f>
        <v/>
      </c>
      <c r="J1816" s="179" t="n">
        <v>8467180058</v>
      </c>
      <c r="K1816" s="179" t="n">
        <v>16934360116</v>
      </c>
      <c r="L1816" s="179" t="n">
        <v>25401540175</v>
      </c>
    </row>
    <row r="1817" ht="15" customHeight="1" s="95">
      <c r="A1817" s="143" t="n">
        <v>45646</v>
      </c>
      <c r="B1817" s="146" t="n">
        <v>0.999503</v>
      </c>
      <c r="C1817" s="179" t="n">
        <v>42362560809</v>
      </c>
      <c r="D1817" s="179" t="n">
        <v>42383618146</v>
      </c>
      <c r="E1817" s="146" t="n">
        <v>0.999005</v>
      </c>
      <c r="F1817" s="179" t="n">
        <v>140458454546</v>
      </c>
      <c r="G1817" s="179" t="n">
        <v>140598319856</v>
      </c>
      <c r="H1817" s="179">
        <f>IFERROR(D1817+G1817,D1817)</f>
        <v/>
      </c>
      <c r="I1817" s="184">
        <f>IFERROR(D1817/H1817,"")</f>
        <v/>
      </c>
      <c r="J1817" s="179" t="n">
        <v>8476723629</v>
      </c>
      <c r="K1817" s="179" t="n">
        <v>16953447258</v>
      </c>
      <c r="L1817" s="179" t="n">
        <v>25430170888</v>
      </c>
    </row>
    <row r="1818" ht="15" customHeight="1" s="95">
      <c r="A1818" s="143" t="n">
        <v>45647</v>
      </c>
      <c r="B1818" s="146" t="n">
        <v>1.00093</v>
      </c>
      <c r="C1818" s="179" t="n">
        <v>42553436606</v>
      </c>
      <c r="D1818" s="179" t="n">
        <v>42513909033</v>
      </c>
      <c r="E1818" s="146" t="n">
        <v>1.000461</v>
      </c>
      <c r="F1818" s="179" t="n">
        <v>140552909215</v>
      </c>
      <c r="G1818" s="179" t="n">
        <v>140488113545</v>
      </c>
      <c r="H1818" s="179">
        <f>IFERROR(D1818+G1818,D1818)</f>
        <v/>
      </c>
      <c r="I1818" s="184">
        <f>IFERROR(D1818/H1818,"")</f>
        <v/>
      </c>
      <c r="J1818" s="179" t="n">
        <v>8502781807</v>
      </c>
      <c r="K1818" s="179" t="n">
        <v>17005563613</v>
      </c>
      <c r="L1818" s="179" t="n">
        <v>25508345420</v>
      </c>
    </row>
    <row r="1819" ht="15" customHeight="1" s="95">
      <c r="A1819" s="143" t="n">
        <v>45648</v>
      </c>
      <c r="B1819" s="146" t="n">
        <v>1.000643</v>
      </c>
      <c r="C1819" s="179" t="n">
        <v>42930532545</v>
      </c>
      <c r="D1819" s="179" t="n">
        <v>42902926054</v>
      </c>
      <c r="E1819" s="146" t="n">
        <v>1.000152</v>
      </c>
      <c r="F1819" s="179" t="n">
        <v>139878963807</v>
      </c>
      <c r="G1819" s="179" t="n">
        <v>139857728468</v>
      </c>
      <c r="H1819" s="179">
        <f>IFERROR(D1819+G1819,D1819)</f>
        <v/>
      </c>
      <c r="I1819" s="184">
        <f>IFERROR(D1819/H1819,"")</f>
        <v/>
      </c>
      <c r="J1819" s="179" t="n">
        <v>8580585211</v>
      </c>
      <c r="K1819" s="179" t="n">
        <v>17161170422</v>
      </c>
      <c r="L1819" s="179" t="n">
        <v>25741755632</v>
      </c>
    </row>
    <row r="1820" ht="15" customHeight="1" s="95">
      <c r="A1820" s="143" t="n">
        <v>45649</v>
      </c>
      <c r="B1820" s="146" t="n">
        <v>0.999596</v>
      </c>
      <c r="C1820" s="179" t="n">
        <v>43001900408</v>
      </c>
      <c r="D1820" s="179" t="n">
        <v>43019269838</v>
      </c>
      <c r="E1820" s="146" t="n">
        <v>0.99859</v>
      </c>
      <c r="F1820" s="179" t="n">
        <v>139768365159</v>
      </c>
      <c r="G1820" s="179" t="n">
        <v>139965766663</v>
      </c>
      <c r="H1820" s="179">
        <f>IFERROR(D1820+G1820,D1820)</f>
        <v/>
      </c>
      <c r="I1820" s="184">
        <f>IFERROR(D1820/H1820,"")</f>
        <v/>
      </c>
      <c r="J1820" s="179" t="n">
        <v>8603853968</v>
      </c>
      <c r="K1820" s="179" t="n">
        <v>17207707935</v>
      </c>
      <c r="L1820" s="179" t="n">
        <v>25811561903</v>
      </c>
    </row>
    <row r="1821" ht="15" customHeight="1" s="95">
      <c r="A1821" s="143" t="n">
        <v>45650</v>
      </c>
      <c r="B1821" s="146" t="n">
        <v>0.9998320000000001</v>
      </c>
      <c r="C1821" s="179" t="n">
        <v>43100541615</v>
      </c>
      <c r="D1821" s="179" t="n">
        <v>43107772464</v>
      </c>
      <c r="E1821" s="146" t="n">
        <v>0.9985000000000001</v>
      </c>
      <c r="F1821" s="179" t="n">
        <v>139687775563</v>
      </c>
      <c r="G1821" s="179" t="n">
        <v>139897604682</v>
      </c>
      <c r="H1821" s="179">
        <f>IFERROR(D1821+G1821,D1821)</f>
        <v/>
      </c>
      <c r="I1821" s="184">
        <f>IFERROR(D1821/H1821,"")</f>
        <v/>
      </c>
      <c r="J1821" s="179" t="n">
        <v>8621554493</v>
      </c>
      <c r="K1821" s="179" t="n">
        <v>17243108986</v>
      </c>
      <c r="L1821" s="179" t="n">
        <v>25864663478</v>
      </c>
    </row>
    <row r="1822" ht="15" customHeight="1" s="95">
      <c r="A1822" s="143" t="n">
        <v>45651</v>
      </c>
      <c r="B1822" s="146" t="n">
        <v>1.001036</v>
      </c>
      <c r="C1822" s="179" t="n">
        <v>43174870938</v>
      </c>
      <c r="D1822" s="179" t="n">
        <v>43130184049</v>
      </c>
      <c r="E1822" s="146" t="n">
        <v>1.000729</v>
      </c>
      <c r="F1822" s="179" t="n">
        <v>139770106592</v>
      </c>
      <c r="G1822" s="179" t="n">
        <v>139668310838</v>
      </c>
      <c r="H1822" s="179">
        <f>IFERROR(D1822+G1822,D1822)</f>
        <v/>
      </c>
      <c r="I1822" s="184">
        <f>IFERROR(D1822/H1822,"")</f>
        <v/>
      </c>
      <c r="J1822" s="179" t="n">
        <v>8626036810</v>
      </c>
      <c r="K1822" s="179" t="n">
        <v>17252073620</v>
      </c>
      <c r="L1822" s="179" t="n">
        <v>25878110429</v>
      </c>
    </row>
    <row r="1823" ht="15" customHeight="1" s="95">
      <c r="A1823" s="143" t="n">
        <v>45652</v>
      </c>
      <c r="B1823" s="146" t="n">
        <v>1.00048</v>
      </c>
      <c r="C1823" s="179" t="n">
        <v>43280465178</v>
      </c>
      <c r="D1823" s="179" t="n">
        <v>43259683604</v>
      </c>
      <c r="E1823" s="146" t="n">
        <v>0.999314</v>
      </c>
      <c r="F1823" s="179" t="n">
        <v>139410953421</v>
      </c>
      <c r="G1823" s="179" t="n">
        <v>139506715204</v>
      </c>
      <c r="H1823" s="179">
        <f>IFERROR(D1823+G1823,D1823)</f>
        <v/>
      </c>
      <c r="I1823" s="184">
        <f>IFERROR(D1823/H1823,"")</f>
        <v/>
      </c>
      <c r="J1823" s="179" t="n">
        <v>8651936721</v>
      </c>
      <c r="K1823" s="179" t="n">
        <v>17303873442</v>
      </c>
      <c r="L1823" s="179" t="n">
        <v>25955810162</v>
      </c>
    </row>
    <row r="1824" ht="15" customHeight="1" s="95">
      <c r="A1824" s="143" t="n">
        <v>45653</v>
      </c>
      <c r="B1824" s="146" t="n">
        <v>1.000056</v>
      </c>
      <c r="C1824" s="179" t="n">
        <v>43504839902</v>
      </c>
      <c r="D1824" s="179" t="n">
        <v>43502417681</v>
      </c>
      <c r="E1824" s="146" t="n">
        <v>0.998823</v>
      </c>
      <c r="F1824" s="179" t="n">
        <v>139269166726</v>
      </c>
      <c r="G1824" s="179" t="n">
        <v>139433254613</v>
      </c>
      <c r="H1824" s="179">
        <f>IFERROR(D1824+G1824,D1824)</f>
        <v/>
      </c>
      <c r="I1824" s="184">
        <f>IFERROR(D1824/H1824,"")</f>
        <v/>
      </c>
      <c r="J1824" s="179" t="n">
        <v>8700483536</v>
      </c>
      <c r="K1824" s="179" t="n">
        <v>17400967072</v>
      </c>
      <c r="L1824" s="179" t="n">
        <v>26101450609</v>
      </c>
    </row>
    <row r="1825" ht="15" customHeight="1" s="95">
      <c r="A1825" s="143" t="n">
        <v>45654</v>
      </c>
      <c r="B1825" s="146" t="n">
        <v>1.000327</v>
      </c>
      <c r="C1825" s="179" t="n">
        <v>43572236980</v>
      </c>
      <c r="D1825" s="179" t="n">
        <v>43557973954</v>
      </c>
      <c r="E1825" s="146" t="n">
        <v>0.998542</v>
      </c>
      <c r="F1825" s="179" t="n">
        <v>139333855881</v>
      </c>
      <c r="G1825" s="179" t="n">
        <v>139537289730</v>
      </c>
      <c r="H1825" s="179">
        <f>IFERROR(D1825+G1825,D1825)</f>
        <v/>
      </c>
      <c r="I1825" s="184">
        <f>IFERROR(D1825/H1825,"")</f>
        <v/>
      </c>
      <c r="J1825" s="179" t="n">
        <v>8711594791</v>
      </c>
      <c r="K1825" s="179" t="n">
        <v>17423189582</v>
      </c>
      <c r="L1825" s="179" t="n">
        <v>26134784372</v>
      </c>
    </row>
    <row r="1826" ht="15" customHeight="1" s="95">
      <c r="A1826" s="143" t="n">
        <v>45655</v>
      </c>
      <c r="B1826" s="146" t="n">
        <v>0.999933</v>
      </c>
      <c r="C1826" s="179" t="n">
        <v>43613839675</v>
      </c>
      <c r="D1826" s="179" t="n">
        <v>43616754377</v>
      </c>
      <c r="E1826" s="146" t="n">
        <v>0.998385</v>
      </c>
      <c r="F1826" s="179" t="n">
        <v>138807977384</v>
      </c>
      <c r="G1826" s="179" t="n">
        <v>139032556951</v>
      </c>
      <c r="H1826" s="179">
        <f>IFERROR(D1826+G1826,D1826)</f>
        <v/>
      </c>
      <c r="I1826" s="184">
        <f>IFERROR(D1826/H1826,"")</f>
        <v/>
      </c>
      <c r="J1826" s="179" t="n">
        <v>8723350875</v>
      </c>
      <c r="K1826" s="179" t="n">
        <v>17446701751</v>
      </c>
      <c r="L1826" s="179" t="n">
        <v>26170052626</v>
      </c>
    </row>
    <row r="1827" ht="15" customHeight="1" s="95">
      <c r="A1827" s="143" t="n">
        <v>45656</v>
      </c>
      <c r="B1827" s="146" t="n">
        <v>1.000178</v>
      </c>
      <c r="C1827" s="179" t="n">
        <v>43625327050</v>
      </c>
      <c r="D1827" s="179" t="n">
        <v>43617563033</v>
      </c>
      <c r="E1827" s="146" t="n">
        <v>0.9983340000000001</v>
      </c>
      <c r="F1827" s="179" t="n">
        <v>138773516095</v>
      </c>
      <c r="G1827" s="179" t="n">
        <v>139005076767</v>
      </c>
      <c r="H1827" s="179">
        <f>IFERROR(D1827+G1827,D1827)</f>
        <v/>
      </c>
      <c r="I1827" s="184">
        <f>IFERROR(D1827/H1827,"")</f>
        <v/>
      </c>
      <c r="J1827" s="179" t="n">
        <v>8723512607</v>
      </c>
      <c r="K1827" s="179" t="n">
        <v>17447025213</v>
      </c>
      <c r="L1827" s="179" t="n">
        <v>26170537820</v>
      </c>
    </row>
    <row r="1828" ht="15" customHeight="1" s="95">
      <c r="A1828" s="143" t="n">
        <v>45657</v>
      </c>
      <c r="B1828" s="146" t="n">
        <v>1.000468</v>
      </c>
      <c r="C1828" s="179" t="n">
        <v>43803322701</v>
      </c>
      <c r="D1828" s="179" t="n">
        <v>43782819037</v>
      </c>
      <c r="E1828" s="146" t="n">
        <v>0.998492</v>
      </c>
      <c r="F1828" s="179" t="n">
        <v>138763094692</v>
      </c>
      <c r="G1828" s="179" t="n">
        <v>138972638596</v>
      </c>
      <c r="H1828" s="179">
        <f>IFERROR(D1828+G1828,D1828)</f>
        <v/>
      </c>
      <c r="I1828" s="184">
        <f>IFERROR(D1828/H1828,"")</f>
        <v/>
      </c>
      <c r="J1828" s="179" t="n">
        <v>8756563807</v>
      </c>
      <c r="K1828" s="179" t="n">
        <v>17513127615</v>
      </c>
      <c r="L1828" s="179" t="n">
        <v>26269691422</v>
      </c>
    </row>
    <row r="1829" ht="15" customHeight="1" s="95">
      <c r="A1829" s="143" t="n">
        <v>45658</v>
      </c>
      <c r="B1829" s="146" t="n">
        <v>1.000541</v>
      </c>
      <c r="C1829" s="179" t="n">
        <v>43945617394</v>
      </c>
      <c r="D1829" s="179" t="n">
        <v>43921867145</v>
      </c>
      <c r="E1829" s="146" t="n">
        <v>0.998127</v>
      </c>
      <c r="F1829" s="179" t="n">
        <v>137550314628</v>
      </c>
      <c r="G1829" s="179" t="n">
        <v>137808429133</v>
      </c>
      <c r="H1829" s="179">
        <f>IFERROR(D1829+G1829,D1829)</f>
        <v/>
      </c>
      <c r="I1829" s="184">
        <f>IFERROR(D1829/H1829,"")</f>
        <v/>
      </c>
      <c r="J1829" s="179" t="n">
        <v>8784373429</v>
      </c>
      <c r="K1829" s="179" t="n">
        <v>17568746858</v>
      </c>
      <c r="L1829" s="179" t="n">
        <v>26353120287</v>
      </c>
    </row>
    <row r="1830" ht="15" customHeight="1" s="95">
      <c r="A1830" s="143" t="n">
        <v>45659</v>
      </c>
      <c r="B1830" s="146" t="n">
        <v>0.9996</v>
      </c>
      <c r="C1830" s="179" t="n">
        <v>43740787028</v>
      </c>
      <c r="D1830" s="179" t="n">
        <v>43758309765</v>
      </c>
      <c r="E1830" s="146" t="n">
        <v>0.997519</v>
      </c>
      <c r="F1830" s="179" t="n">
        <v>137101703969</v>
      </c>
      <c r="G1830" s="179" t="n">
        <v>137442664166</v>
      </c>
      <c r="H1830" s="179">
        <f>IFERROR(D1830+G1830,D1830)</f>
        <v/>
      </c>
      <c r="I1830" s="184">
        <f>IFERROR(D1830/H1830,"")</f>
        <v/>
      </c>
      <c r="J1830" s="179" t="n">
        <v>8751661953</v>
      </c>
      <c r="K1830" s="179" t="n">
        <v>17503323906</v>
      </c>
      <c r="L1830" s="179" t="n">
        <v>26254985859</v>
      </c>
    </row>
    <row r="1831" ht="15" customHeight="1" s="95">
      <c r="A1831" s="143" t="n">
        <v>45660</v>
      </c>
      <c r="B1831" s="146" t="n">
        <v>0.9998899999999999</v>
      </c>
      <c r="C1831" s="179" t="n">
        <v>43964009276</v>
      </c>
      <c r="D1831" s="179" t="n">
        <v>43968855006</v>
      </c>
      <c r="E1831" s="146" t="n">
        <v>0.998849</v>
      </c>
      <c r="F1831" s="179" t="n">
        <v>137331887471</v>
      </c>
      <c r="G1831" s="179" t="n">
        <v>137490141199</v>
      </c>
      <c r="H1831" s="179">
        <f>IFERROR(D1831+G1831,D1831)</f>
        <v/>
      </c>
      <c r="I1831" s="184">
        <f>IFERROR(D1831/H1831,"")</f>
        <v/>
      </c>
      <c r="J1831" s="179" t="n">
        <v>8793771001</v>
      </c>
      <c r="K1831" s="179" t="n">
        <v>17587542002</v>
      </c>
      <c r="L1831" s="179" t="n">
        <v>26381313004</v>
      </c>
    </row>
    <row r="1832" ht="15" customHeight="1" s="95">
      <c r="A1832" s="143" t="n">
        <v>45661</v>
      </c>
      <c r="B1832" s="146" t="n">
        <v>0.999436</v>
      </c>
      <c r="C1832" s="179" t="n">
        <v>45218905503</v>
      </c>
      <c r="D1832" s="179" t="n">
        <v>45244416504</v>
      </c>
      <c r="E1832" s="146" t="n">
        <v>0.9995000000000001</v>
      </c>
      <c r="F1832" s="179" t="n">
        <v>137192105753</v>
      </c>
      <c r="G1832" s="179" t="n">
        <v>137260765629</v>
      </c>
      <c r="H1832" s="179">
        <f>IFERROR(D1832+G1832,D1832)</f>
        <v/>
      </c>
      <c r="I1832" s="184">
        <f>IFERROR(D1832/H1832,"")</f>
        <v/>
      </c>
      <c r="J1832" s="179" t="n">
        <v>9048883301</v>
      </c>
      <c r="K1832" s="179" t="n">
        <v>18097766602</v>
      </c>
      <c r="L1832" s="179" t="n">
        <v>27146649902</v>
      </c>
    </row>
    <row r="1833" ht="15" customHeight="1" s="95">
      <c r="A1833" s="143" t="n">
        <v>45662</v>
      </c>
      <c r="B1833" s="146" t="n">
        <v>1.000091</v>
      </c>
      <c r="C1833" s="179" t="n">
        <v>45516879606</v>
      </c>
      <c r="D1833" s="179" t="n">
        <v>45512719403</v>
      </c>
      <c r="E1833" s="146" t="n">
        <v>0.99993</v>
      </c>
      <c r="F1833" s="179" t="n">
        <v>137305566064</v>
      </c>
      <c r="G1833" s="179" t="n">
        <v>137315194598</v>
      </c>
      <c r="H1833" s="179">
        <f>IFERROR(D1833+G1833,D1833)</f>
        <v/>
      </c>
      <c r="I1833" s="184">
        <f>IFERROR(D1833/H1833,"")</f>
        <v/>
      </c>
      <c r="J1833" s="179" t="n">
        <v>9102543881</v>
      </c>
      <c r="K1833" s="179" t="n">
        <v>18205087761</v>
      </c>
      <c r="L1833" s="179" t="n">
        <v>27307631642</v>
      </c>
    </row>
    <row r="1834" ht="15" customHeight="1" s="95">
      <c r="A1834" s="143" t="n">
        <v>45663</v>
      </c>
      <c r="B1834" s="146" t="n">
        <v>0.999771</v>
      </c>
      <c r="C1834" s="179" t="n">
        <v>45605291127</v>
      </c>
      <c r="D1834" s="179" t="n">
        <v>45615751120</v>
      </c>
      <c r="E1834" s="146" t="n">
        <v>0.999741</v>
      </c>
      <c r="F1834" s="179" t="n">
        <v>137240062369</v>
      </c>
      <c r="G1834" s="179" t="n">
        <v>137275581664</v>
      </c>
      <c r="H1834" s="179">
        <f>IFERROR(D1834+G1834,D1834)</f>
        <v/>
      </c>
      <c r="I1834" s="184">
        <f>IFERROR(D1834/H1834,"")</f>
        <v/>
      </c>
      <c r="J1834" s="179" t="n">
        <v>9123150224</v>
      </c>
      <c r="K1834" s="179" t="n">
        <v>18246300448</v>
      </c>
      <c r="L1834" s="179" t="n">
        <v>27369450672</v>
      </c>
    </row>
    <row r="1835" ht="15" customHeight="1" s="95">
      <c r="A1835" s="143" t="n">
        <v>45664</v>
      </c>
      <c r="B1835" s="146" t="n">
        <v>1.000129</v>
      </c>
      <c r="C1835" s="179" t="n">
        <v>45909222053</v>
      </c>
      <c r="D1835" s="179" t="n">
        <v>45903322603</v>
      </c>
      <c r="E1835" s="146" t="n">
        <v>1.000674</v>
      </c>
      <c r="F1835" s="179" t="n">
        <v>137371602393</v>
      </c>
      <c r="G1835" s="179" t="n">
        <v>137279015794</v>
      </c>
      <c r="H1835" s="179">
        <f>IFERROR(D1835+G1835,D1835)</f>
        <v/>
      </c>
      <c r="I1835" s="184">
        <f>IFERROR(D1835/H1835,"")</f>
        <v/>
      </c>
      <c r="J1835" s="179" t="n">
        <v>9180664521</v>
      </c>
      <c r="K1835" s="179" t="n">
        <v>18361329041</v>
      </c>
      <c r="L1835" s="179" t="n">
        <v>27541993562</v>
      </c>
    </row>
    <row r="1836" ht="15" customHeight="1" s="95">
      <c r="A1836" s="143" t="n">
        <v>45665</v>
      </c>
      <c r="B1836" s="146" t="n">
        <v>0.99981</v>
      </c>
      <c r="C1836" s="179" t="n">
        <v>45494789508</v>
      </c>
      <c r="D1836" s="179" t="n">
        <v>45503454140</v>
      </c>
      <c r="E1836" s="146" t="n">
        <v>0.999875</v>
      </c>
      <c r="F1836" s="179" t="n">
        <v>137502913758</v>
      </c>
      <c r="G1836" s="179" t="n">
        <v>137520044570</v>
      </c>
      <c r="H1836" s="179">
        <f>IFERROR(D1836+G1836,D1836)</f>
        <v/>
      </c>
      <c r="I1836" s="184">
        <f>IFERROR(D1836/H1836,"")</f>
        <v/>
      </c>
      <c r="J1836" s="179" t="n">
        <v>9100690828</v>
      </c>
      <c r="K1836" s="179" t="n">
        <v>18201381656</v>
      </c>
      <c r="L1836" s="179" t="n">
        <v>27302072484</v>
      </c>
    </row>
    <row r="1837" ht="15" customHeight="1" s="95">
      <c r="A1837" s="143" t="n">
        <v>45666</v>
      </c>
      <c r="B1837" s="146" t="n">
        <v>0.999594</v>
      </c>
      <c r="C1837" s="179" t="n">
        <v>45341185251</v>
      </c>
      <c r="D1837" s="179" t="n">
        <v>45359620926</v>
      </c>
      <c r="E1837" s="146" t="n">
        <v>0.999467</v>
      </c>
      <c r="F1837" s="179" t="n">
        <v>137461689717</v>
      </c>
      <c r="G1837" s="179" t="n">
        <v>137534963835</v>
      </c>
      <c r="H1837" s="179">
        <f>IFERROR(D1837+G1837,D1837)</f>
        <v/>
      </c>
      <c r="I1837" s="184">
        <f>IFERROR(D1837/H1837,"")</f>
        <v/>
      </c>
      <c r="J1837" s="179" t="n">
        <v>9071924185</v>
      </c>
      <c r="K1837" s="179" t="n">
        <v>18143848370</v>
      </c>
      <c r="L1837" s="179" t="n">
        <v>27215772556</v>
      </c>
    </row>
    <row r="1838" ht="15" customHeight="1" s="95">
      <c r="A1838" s="143" t="n">
        <v>45667</v>
      </c>
      <c r="B1838" s="146" t="n">
        <v>0.999988</v>
      </c>
      <c r="C1838" s="179" t="n">
        <v>45410977372</v>
      </c>
      <c r="D1838" s="179" t="n">
        <v>45411513790</v>
      </c>
      <c r="E1838" s="146" t="n">
        <v>0.99996</v>
      </c>
      <c r="F1838" s="179" t="n">
        <v>137595836948</v>
      </c>
      <c r="G1838" s="179" t="n">
        <v>137601361191</v>
      </c>
      <c r="H1838" s="179">
        <f>IFERROR(D1838+G1838,D1838)</f>
        <v/>
      </c>
      <c r="I1838" s="184">
        <f>IFERROR(D1838/H1838,"")</f>
        <v/>
      </c>
      <c r="J1838" s="179" t="n">
        <v>9082302758</v>
      </c>
      <c r="K1838" s="179" t="n">
        <v>18164605516</v>
      </c>
      <c r="L1838" s="179" t="n">
        <v>27246908274</v>
      </c>
    </row>
    <row r="1839" ht="15" customHeight="1" s="95">
      <c r="A1839" s="143" t="n">
        <v>45668</v>
      </c>
      <c r="B1839" s="146" t="n">
        <v>0.9999749999999999</v>
      </c>
      <c r="C1839" s="179" t="n">
        <v>45716400779</v>
      </c>
      <c r="D1839" s="179" t="n">
        <v>45717562376</v>
      </c>
      <c r="E1839" s="146" t="n">
        <v>0.999795</v>
      </c>
      <c r="F1839" s="179" t="n">
        <v>137418015532</v>
      </c>
      <c r="G1839" s="179" t="n">
        <v>137446145677</v>
      </c>
      <c r="H1839" s="179">
        <f>IFERROR(D1839+G1839,D1839)</f>
        <v/>
      </c>
      <c r="I1839" s="184">
        <f>IFERROR(D1839/H1839,"")</f>
        <v/>
      </c>
      <c r="J1839" s="179" t="n">
        <v>9143512475</v>
      </c>
      <c r="K1839" s="179" t="n">
        <v>18287024950</v>
      </c>
      <c r="L1839" s="179" t="n">
        <v>27430537426</v>
      </c>
    </row>
    <row r="1840" ht="15" customHeight="1" s="95">
      <c r="A1840" s="143" t="n">
        <v>45669</v>
      </c>
      <c r="B1840" s="146" t="n">
        <v>0.9999980000000001</v>
      </c>
      <c r="C1840" s="179" t="n">
        <v>45737930028</v>
      </c>
      <c r="D1840" s="179" t="n">
        <v>45737999863</v>
      </c>
      <c r="E1840" s="146" t="n">
        <v>0.999634</v>
      </c>
      <c r="F1840" s="179" t="n">
        <v>137395276170</v>
      </c>
      <c r="G1840" s="179" t="n">
        <v>137445574057</v>
      </c>
      <c r="H1840" s="179">
        <f>IFERROR(D1840+G1840,D1840)</f>
        <v/>
      </c>
      <c r="I1840" s="184">
        <f>IFERROR(D1840/H1840,"")</f>
        <v/>
      </c>
      <c r="J1840" s="179" t="n">
        <v>9147599973</v>
      </c>
      <c r="K1840" s="179" t="n">
        <v>18295199945</v>
      </c>
      <c r="L1840" s="179" t="n">
        <v>27442799918</v>
      </c>
    </row>
    <row r="1841" ht="15" customHeight="1" s="95">
      <c r="A1841" s="143" t="n">
        <v>45670</v>
      </c>
      <c r="B1841" s="146" t="n">
        <v>0.999901</v>
      </c>
      <c r="C1841" s="179" t="n">
        <v>45740523874</v>
      </c>
      <c r="D1841" s="179" t="n">
        <v>45745068723</v>
      </c>
      <c r="E1841" s="146" t="n">
        <v>0.99947</v>
      </c>
      <c r="F1841" s="179" t="n">
        <v>137382338700</v>
      </c>
      <c r="G1841" s="179" t="n">
        <v>137455209455</v>
      </c>
      <c r="H1841" s="179">
        <f>IFERROR(D1841+G1841,D1841)</f>
        <v/>
      </c>
      <c r="I1841" s="184">
        <f>IFERROR(D1841/H1841,"")</f>
        <v/>
      </c>
      <c r="J1841" s="179" t="n">
        <v>9149013745</v>
      </c>
      <c r="K1841" s="179" t="n">
        <v>18298027489</v>
      </c>
      <c r="L1841" s="179" t="n">
        <v>27447041234</v>
      </c>
    </row>
    <row r="1842" ht="15" customHeight="1" s="95">
      <c r="A1842" s="143" t="n">
        <v>45671</v>
      </c>
      <c r="B1842" s="146" t="n">
        <v>0.999942</v>
      </c>
      <c r="C1842" s="179" t="n">
        <v>45650761140</v>
      </c>
      <c r="D1842" s="179" t="n">
        <v>45653387519</v>
      </c>
      <c r="E1842" s="146" t="n">
        <v>0.999598</v>
      </c>
      <c r="F1842" s="179" t="n">
        <v>137394435422</v>
      </c>
      <c r="G1842" s="179" t="n">
        <v>137449714901</v>
      </c>
      <c r="H1842" s="179">
        <f>IFERROR(D1842+G1842,D1842)</f>
        <v/>
      </c>
      <c r="I1842" s="184">
        <f>IFERROR(D1842/H1842,"")</f>
        <v/>
      </c>
      <c r="J1842" s="179" t="n">
        <v>9130677504</v>
      </c>
      <c r="K1842" s="179" t="n">
        <v>18261355008</v>
      </c>
      <c r="L1842" s="179" t="n">
        <v>27392032511</v>
      </c>
    </row>
    <row r="1843" ht="15" customHeight="1" s="95">
      <c r="A1843" s="143" t="n">
        <v>45672</v>
      </c>
      <c r="B1843" s="146" t="n">
        <v>0.99999</v>
      </c>
      <c r="C1843" s="179" t="n">
        <v>45695747506</v>
      </c>
      <c r="D1843" s="179" t="n">
        <v>45696222819</v>
      </c>
      <c r="E1843" s="146" t="n">
        <v>0.999668</v>
      </c>
      <c r="F1843" s="179" t="n">
        <v>137195233890</v>
      </c>
      <c r="G1843" s="179" t="n">
        <v>137240776212</v>
      </c>
      <c r="H1843" s="179">
        <f>IFERROR(D1843+G1843,D1843)</f>
        <v/>
      </c>
      <c r="I1843" s="184">
        <f>IFERROR(D1843/H1843,"")</f>
        <v/>
      </c>
      <c r="J1843" s="179" t="n">
        <v>9139244564</v>
      </c>
      <c r="K1843" s="179" t="n">
        <v>18278489128</v>
      </c>
      <c r="L1843" s="179" t="n">
        <v>27417733691</v>
      </c>
    </row>
    <row r="1844" ht="15" customHeight="1" s="95">
      <c r="A1844" s="143" t="n">
        <v>45673</v>
      </c>
      <c r="B1844" s="146" t="n">
        <v>1</v>
      </c>
      <c r="C1844" s="179" t="n">
        <v>46233725517</v>
      </c>
      <c r="D1844" s="179" t="n">
        <v>46233729158</v>
      </c>
      <c r="E1844" s="146" t="n">
        <v>1.000111</v>
      </c>
      <c r="F1844" s="179" t="n">
        <v>137263267034</v>
      </c>
      <c r="G1844" s="179" t="n">
        <v>137247989486</v>
      </c>
      <c r="H1844" s="179">
        <f>IFERROR(D1844+G1844,D1844)</f>
        <v/>
      </c>
      <c r="I1844" s="184">
        <f>IFERROR(D1844/H1844,"")</f>
        <v/>
      </c>
      <c r="J1844" s="179" t="n">
        <v>9246745832</v>
      </c>
      <c r="K1844" s="179" t="n">
        <v>18493491663</v>
      </c>
      <c r="L1844" s="179" t="n">
        <v>27740237495</v>
      </c>
    </row>
    <row r="1845" ht="15" customHeight="1" s="95">
      <c r="A1845" s="143" t="n">
        <v>45674</v>
      </c>
      <c r="B1845" s="146" t="n">
        <v>0.999961</v>
      </c>
      <c r="C1845" s="179" t="n">
        <v>46308905561</v>
      </c>
      <c r="D1845" s="179" t="n">
        <v>46310719012</v>
      </c>
      <c r="E1845" s="146" t="n">
        <v>0.999876</v>
      </c>
      <c r="F1845" s="179" t="n">
        <v>137434718566</v>
      </c>
      <c r="G1845" s="179" t="n">
        <v>137451760235</v>
      </c>
      <c r="H1845" s="179">
        <f>IFERROR(D1845+G1845,D1845)</f>
        <v/>
      </c>
      <c r="I1845" s="184">
        <f>IFERROR(D1845/H1845,"")</f>
        <v/>
      </c>
      <c r="J1845" s="179" t="n">
        <v>9262143802</v>
      </c>
      <c r="K1845" s="179" t="n">
        <v>18524287605</v>
      </c>
      <c r="L1845" s="179" t="n">
        <v>27786431407</v>
      </c>
    </row>
    <row r="1846" ht="15" customHeight="1" s="95">
      <c r="A1846" s="143" t="n">
        <v>45675</v>
      </c>
      <c r="B1846" s="146" t="n">
        <v>0.999999</v>
      </c>
      <c r="C1846" s="179" t="n">
        <v>47378162864</v>
      </c>
      <c r="D1846" s="179" t="n">
        <v>47378212506</v>
      </c>
      <c r="E1846" s="146" t="n">
        <v>1.000355</v>
      </c>
      <c r="F1846" s="179" t="n">
        <v>137507965857</v>
      </c>
      <c r="G1846" s="179" t="n">
        <v>137459139438</v>
      </c>
      <c r="H1846" s="179">
        <f>IFERROR(D1846+G1846,D1846)</f>
        <v/>
      </c>
      <c r="I1846" s="184">
        <f>IFERROR(D1846/H1846,"")</f>
        <v/>
      </c>
      <c r="J1846" s="179" t="n">
        <v>9475642501</v>
      </c>
      <c r="K1846" s="179" t="n">
        <v>18951285002</v>
      </c>
      <c r="L1846" s="179" t="n">
        <v>28426927504</v>
      </c>
    </row>
    <row r="1847" ht="15" customHeight="1" s="95">
      <c r="A1847" s="143" t="n">
        <v>45676</v>
      </c>
      <c r="B1847" s="146" t="n">
        <v>0.999928</v>
      </c>
      <c r="C1847" s="179" t="n">
        <v>47470815140</v>
      </c>
      <c r="D1847" s="179" t="n">
        <v>47474256897</v>
      </c>
      <c r="E1847" s="146" t="n">
        <v>0.9988939999999999</v>
      </c>
      <c r="F1847" s="179" t="n">
        <v>138145243969</v>
      </c>
      <c r="G1847" s="179" t="n">
        <v>138298167253</v>
      </c>
      <c r="H1847" s="179">
        <f>IFERROR(D1847+G1847,D1847)</f>
        <v/>
      </c>
      <c r="I1847" s="184">
        <f>IFERROR(D1847/H1847,"")</f>
        <v/>
      </c>
      <c r="J1847" s="179" t="n">
        <v>9494851379</v>
      </c>
      <c r="K1847" s="179" t="n">
        <v>18989702759</v>
      </c>
      <c r="L1847" s="179" t="n">
        <v>28484554138</v>
      </c>
    </row>
    <row r="1848" ht="15" customHeight="1" s="95">
      <c r="A1848" s="143" t="n">
        <v>45677</v>
      </c>
      <c r="B1848" s="146" t="n">
        <v>1.000081</v>
      </c>
      <c r="C1848" s="179" t="n">
        <v>47928122629</v>
      </c>
      <c r="D1848" s="179" t="n">
        <v>47924264051</v>
      </c>
      <c r="E1848" s="146" t="n">
        <v>0.998716</v>
      </c>
      <c r="F1848" s="179" t="n">
        <v>138173327027</v>
      </c>
      <c r="G1848" s="179" t="n">
        <v>138350921827</v>
      </c>
      <c r="H1848" s="179">
        <f>IFERROR(D1848+G1848,D1848)</f>
        <v/>
      </c>
      <c r="I1848" s="184">
        <f>IFERROR(D1848/H1848,"")</f>
        <v/>
      </c>
      <c r="J1848" s="179" t="n">
        <v>9584852810</v>
      </c>
      <c r="K1848" s="179" t="n">
        <v>19169705620</v>
      </c>
      <c r="L1848" s="179" t="n">
        <v>28754558431</v>
      </c>
    </row>
    <row r="1849" ht="15" customHeight="1" s="95">
      <c r="A1849" s="143" t="n">
        <v>45678</v>
      </c>
      <c r="B1849" s="146" t="n">
        <v>1.000063</v>
      </c>
      <c r="C1849" s="179" t="n">
        <v>48117181243</v>
      </c>
      <c r="D1849" s="179" t="n">
        <v>48114170763</v>
      </c>
      <c r="E1849" s="146" t="n">
        <v>0.998968</v>
      </c>
      <c r="F1849" s="179" t="n">
        <v>138226656229</v>
      </c>
      <c r="G1849" s="179" t="n">
        <v>138369508632</v>
      </c>
      <c r="H1849" s="179">
        <f>IFERROR(D1849+G1849,D1849)</f>
        <v/>
      </c>
      <c r="I1849" s="184">
        <f>IFERROR(D1849/H1849,"")</f>
        <v/>
      </c>
      <c r="J1849" s="179" t="n">
        <v>9622834153</v>
      </c>
      <c r="K1849" s="179" t="n">
        <v>19245668305</v>
      </c>
      <c r="L1849" s="179" t="n">
        <v>28868502458</v>
      </c>
    </row>
    <row r="1850" ht="15" customHeight="1" s="95">
      <c r="A1850" s="143" t="n">
        <v>45679</v>
      </c>
      <c r="B1850" s="146" t="n">
        <v>1.000086</v>
      </c>
      <c r="C1850" s="179" t="n">
        <v>50928978633</v>
      </c>
      <c r="D1850" s="179" t="n">
        <v>50924581393</v>
      </c>
      <c r="E1850" s="146" t="n">
        <v>1.000039</v>
      </c>
      <c r="F1850" s="179" t="n">
        <v>138435059655</v>
      </c>
      <c r="G1850" s="179" t="n">
        <v>138429643161</v>
      </c>
      <c r="H1850" s="179">
        <f>IFERROR(D1850+G1850,D1850)</f>
        <v/>
      </c>
      <c r="I1850" s="184">
        <f>IFERROR(D1850/H1850,"")</f>
        <v/>
      </c>
      <c r="J1850" s="179" t="n">
        <v>10184916279</v>
      </c>
      <c r="K1850" s="179" t="n">
        <v>20369832557</v>
      </c>
      <c r="L1850" s="179" t="n">
        <v>30554748836</v>
      </c>
    </row>
    <row r="1851" ht="15" customHeight="1" s="95">
      <c r="A1851" s="143" t="n">
        <v>45680</v>
      </c>
      <c r="B1851" s="146" t="n">
        <v>0.999993</v>
      </c>
      <c r="C1851" s="179" t="n">
        <v>51501085765</v>
      </c>
      <c r="D1851" s="179" t="n">
        <v>51501442718</v>
      </c>
      <c r="E1851" s="146" t="n">
        <v>0.99953</v>
      </c>
      <c r="F1851" s="179" t="n">
        <v>138481119469</v>
      </c>
      <c r="G1851" s="179" t="n">
        <v>138546301424</v>
      </c>
      <c r="H1851" s="179">
        <f>IFERROR(D1851+G1851,D1851)</f>
        <v/>
      </c>
      <c r="I1851" s="184">
        <f>IFERROR(D1851/H1851,"")</f>
        <v/>
      </c>
      <c r="J1851" s="179" t="n">
        <v>10300288544</v>
      </c>
      <c r="K1851" s="179" t="n">
        <v>20600577087</v>
      </c>
      <c r="L1851" s="179" t="n">
        <v>30900865631</v>
      </c>
    </row>
    <row r="1852" ht="15" customHeight="1" s="95">
      <c r="A1852" s="143" t="n">
        <v>45681</v>
      </c>
      <c r="B1852" s="146" t="n">
        <v>0.999931</v>
      </c>
      <c r="C1852" s="179" t="n">
        <v>51939547682</v>
      </c>
      <c r="D1852" s="179" t="n">
        <v>51943123048</v>
      </c>
      <c r="E1852" s="146" t="n">
        <v>1.000214</v>
      </c>
      <c r="F1852" s="179" t="n">
        <v>138637964407</v>
      </c>
      <c r="G1852" s="179" t="n">
        <v>138608322846</v>
      </c>
      <c r="H1852" s="179">
        <f>IFERROR(D1852+G1852,D1852)</f>
        <v/>
      </c>
      <c r="I1852" s="184">
        <f>IFERROR(D1852/H1852,"")</f>
        <v/>
      </c>
      <c r="J1852" s="179" t="n">
        <v>10388624610</v>
      </c>
      <c r="K1852" s="179" t="n">
        <v>20777249219</v>
      </c>
      <c r="L1852" s="179" t="n">
        <v>31165873829</v>
      </c>
    </row>
    <row r="1853" ht="15" customHeight="1" s="95">
      <c r="A1853" s="143" t="n">
        <v>45682</v>
      </c>
      <c r="B1853" s="146" t="n">
        <v>0.999905</v>
      </c>
      <c r="C1853" s="179" t="n">
        <v>52192918881</v>
      </c>
      <c r="D1853" s="179" t="n">
        <v>52197880927</v>
      </c>
      <c r="E1853" s="146" t="n">
        <v>0.999927</v>
      </c>
      <c r="F1853" s="179" t="n">
        <v>138927558447</v>
      </c>
      <c r="G1853" s="179" t="n">
        <v>138937767911</v>
      </c>
      <c r="H1853" s="179">
        <f>IFERROR(D1853+G1853,D1853)</f>
        <v/>
      </c>
      <c r="I1853" s="184">
        <f>IFERROR(D1853/H1853,"")</f>
        <v/>
      </c>
      <c r="J1853" s="179" t="n">
        <v>10439576185</v>
      </c>
      <c r="K1853" s="179" t="n">
        <v>20879152371</v>
      </c>
      <c r="L1853" s="179" t="n">
        <v>31318728556</v>
      </c>
    </row>
    <row r="1854" ht="15" customHeight="1" s="95">
      <c r="A1854" s="143" t="n">
        <v>45683</v>
      </c>
      <c r="B1854" s="146" t="n">
        <v>0.99997</v>
      </c>
      <c r="C1854" s="179" t="n">
        <v>52179538308</v>
      </c>
      <c r="D1854" s="179" t="n">
        <v>52181107213</v>
      </c>
      <c r="E1854" s="146" t="n">
        <v>0.999831</v>
      </c>
      <c r="F1854" s="179" t="n">
        <v>139306836020</v>
      </c>
      <c r="G1854" s="179" t="n">
        <v>139330408007</v>
      </c>
      <c r="H1854" s="179">
        <f>IFERROR(D1854+G1854,D1854)</f>
        <v/>
      </c>
      <c r="I1854" s="184">
        <f>IFERROR(D1854/H1854,"")</f>
        <v/>
      </c>
      <c r="J1854" s="179" t="n">
        <v>10436221443</v>
      </c>
      <c r="K1854" s="179" t="n">
        <v>20872442885</v>
      </c>
      <c r="L1854" s="179" t="n">
        <v>31308664328</v>
      </c>
    </row>
    <row r="1855" ht="15" customHeight="1" s="95">
      <c r="A1855" s="143" t="n">
        <v>45684</v>
      </c>
      <c r="B1855" s="146" t="n">
        <v>1.000008</v>
      </c>
      <c r="C1855" s="179" t="n">
        <v>52206516625</v>
      </c>
      <c r="D1855" s="179" t="n">
        <v>52206075296</v>
      </c>
      <c r="E1855" s="146" t="n">
        <v>0.999618</v>
      </c>
      <c r="F1855" s="179" t="n">
        <v>139277496559</v>
      </c>
      <c r="G1855" s="179" t="n">
        <v>139330690926</v>
      </c>
      <c r="H1855" s="179">
        <f>IFERROR(D1855+G1855,D1855)</f>
        <v/>
      </c>
      <c r="I1855" s="184">
        <f>IFERROR(D1855/H1855,"")</f>
        <v/>
      </c>
      <c r="J1855" s="179" t="n">
        <v>10441215059</v>
      </c>
      <c r="K1855" s="179" t="n">
        <v>20882430118</v>
      </c>
      <c r="L1855" s="179" t="n">
        <v>31323645178</v>
      </c>
    </row>
    <row r="1856" ht="15" customHeight="1" s="95">
      <c r="A1856" s="143" t="n">
        <v>45685</v>
      </c>
      <c r="B1856" s="146" t="n">
        <v>1.000089</v>
      </c>
      <c r="C1856" s="179" t="n">
        <v>52251068886</v>
      </c>
      <c r="D1856" s="179" t="n">
        <v>52246437234</v>
      </c>
      <c r="E1856" s="146" t="n">
        <v>0.999879</v>
      </c>
      <c r="F1856" s="179" t="n">
        <v>139318143035</v>
      </c>
      <c r="G1856" s="179" t="n">
        <v>139334960171</v>
      </c>
      <c r="H1856" s="179">
        <f>IFERROR(D1856+G1856,D1856)</f>
        <v/>
      </c>
      <c r="I1856" s="184">
        <f>IFERROR(D1856/H1856,"")</f>
        <v/>
      </c>
      <c r="J1856" s="179" t="n">
        <v>10449287447</v>
      </c>
      <c r="K1856" s="179" t="n">
        <v>20898574894</v>
      </c>
      <c r="L1856" s="179" t="n">
        <v>31347862340</v>
      </c>
    </row>
    <row r="1857" ht="15" customHeight="1" s="95">
      <c r="A1857" s="143" t="n">
        <v>45686</v>
      </c>
      <c r="B1857" s="146" t="n">
        <v>0.999903</v>
      </c>
      <c r="C1857" s="179" t="n">
        <v>52511058172</v>
      </c>
      <c r="D1857" s="179" t="n">
        <v>52516138399</v>
      </c>
      <c r="E1857" s="146" t="n">
        <v>0.999387</v>
      </c>
      <c r="F1857" s="179" t="n">
        <v>139372570195</v>
      </c>
      <c r="G1857" s="179" t="n">
        <v>139458076798</v>
      </c>
      <c r="H1857" s="179">
        <f>IFERROR(D1857+G1857,D1857)</f>
        <v/>
      </c>
      <c r="I1857" s="184">
        <f>IFERROR(D1857/H1857,"")</f>
        <v/>
      </c>
      <c r="J1857" s="179" t="n">
        <v>10503227680</v>
      </c>
      <c r="K1857" s="179" t="n">
        <v>21006455360</v>
      </c>
      <c r="L1857" s="179" t="n">
        <v>31509683039</v>
      </c>
    </row>
    <row r="1858" ht="15" customHeight="1" s="95">
      <c r="A1858" s="143" t="n">
        <v>45687</v>
      </c>
      <c r="B1858" s="146" t="n">
        <v>0.9999</v>
      </c>
      <c r="C1858" s="179" t="n">
        <v>52543272449</v>
      </c>
      <c r="D1858" s="179" t="n">
        <v>52548549323</v>
      </c>
      <c r="E1858" s="146" t="n">
        <v>0.999985</v>
      </c>
      <c r="F1858" s="179" t="n">
        <v>139467738720</v>
      </c>
      <c r="G1858" s="179" t="n">
        <v>139469815844</v>
      </c>
      <c r="H1858" s="179">
        <f>IFERROR(D1858+G1858,D1858)</f>
        <v/>
      </c>
      <c r="I1858" s="184">
        <f>IFERROR(D1858/H1858,"")</f>
        <v/>
      </c>
      <c r="J1858" s="179" t="n">
        <v>10509709865</v>
      </c>
      <c r="K1858" s="179" t="n">
        <v>21019419729</v>
      </c>
      <c r="L1858" s="179" t="n">
        <v>31529129594</v>
      </c>
    </row>
    <row r="1859" ht="15" customHeight="1" s="95">
      <c r="A1859" s="143" t="n">
        <v>45688</v>
      </c>
      <c r="B1859" s="146" t="n">
        <v>1.000049</v>
      </c>
      <c r="C1859" s="179" t="n">
        <v>53108112928</v>
      </c>
      <c r="D1859" s="179" t="n">
        <v>53105488826</v>
      </c>
      <c r="E1859" s="146" t="n">
        <v>1.000092</v>
      </c>
      <c r="F1859" s="179" t="n">
        <v>139418116247</v>
      </c>
      <c r="G1859" s="179" t="n">
        <v>139405283022</v>
      </c>
      <c r="H1859" s="179">
        <f>IFERROR(D1859+G1859,D1859)</f>
        <v/>
      </c>
      <c r="I1859" s="184">
        <f>IFERROR(D1859/H1859,"")</f>
        <v/>
      </c>
      <c r="J1859" s="179" t="n">
        <v>10621097765</v>
      </c>
      <c r="K1859" s="179" t="n">
        <v>21242195530</v>
      </c>
      <c r="L1859" s="179" t="n">
        <v>31863293296</v>
      </c>
    </row>
    <row r="1860" ht="15" customHeight="1" s="95">
      <c r="A1860" s="143" t="n">
        <v>45689</v>
      </c>
      <c r="B1860" s="146" t="n">
        <v>0.9999980000000001</v>
      </c>
      <c r="C1860" s="179" t="n">
        <v>53310479100</v>
      </c>
      <c r="D1860" s="179" t="n">
        <v>53310561289</v>
      </c>
      <c r="E1860" s="146" t="n">
        <v>0.999711</v>
      </c>
      <c r="F1860" s="179" t="n">
        <v>139356518750</v>
      </c>
      <c r="G1860" s="179" t="n">
        <v>139396859367</v>
      </c>
      <c r="H1860" s="179">
        <f>IFERROR(D1860+G1860,D1860)</f>
        <v/>
      </c>
      <c r="I1860" s="184">
        <f>IFERROR(D1860/H1860,"")</f>
        <v/>
      </c>
      <c r="J1860" s="179" t="n">
        <v>10662112258</v>
      </c>
      <c r="K1860" s="179" t="n">
        <v>21324224516</v>
      </c>
      <c r="L1860" s="179" t="n">
        <v>31986336773</v>
      </c>
    </row>
    <row r="1861" ht="15" customHeight="1" s="95">
      <c r="A1861" s="143" t="n">
        <v>45690</v>
      </c>
      <c r="B1861" s="146" t="n">
        <v>1.000017</v>
      </c>
      <c r="C1861" s="179" t="n">
        <v>53318824080</v>
      </c>
      <c r="D1861" s="179" t="n">
        <v>53317902550</v>
      </c>
      <c r="E1861" s="146" t="n">
        <v>0.999752</v>
      </c>
      <c r="F1861" s="179" t="n">
        <v>139369659734</v>
      </c>
      <c r="G1861" s="179" t="n">
        <v>139404171003</v>
      </c>
      <c r="H1861" s="179">
        <f>IFERROR(D1861+G1861,D1861)</f>
        <v/>
      </c>
      <c r="I1861" s="184">
        <f>IFERROR(D1861/H1861,"")</f>
        <v/>
      </c>
      <c r="J1861" s="179" t="n">
        <v>10663580510</v>
      </c>
      <c r="K1861" s="179" t="n">
        <v>21327161020</v>
      </c>
      <c r="L1861" s="179" t="n">
        <v>31990741530</v>
      </c>
    </row>
    <row r="1862" ht="15" customHeight="1" s="95">
      <c r="A1862" s="143" t="n">
        <v>45691</v>
      </c>
      <c r="B1862" s="146" t="n">
        <v>1.000009</v>
      </c>
      <c r="C1862" s="179" t="n">
        <v>53405057205</v>
      </c>
      <c r="D1862" s="179" t="n">
        <v>53404575613</v>
      </c>
      <c r="E1862" s="146" t="n">
        <v>0.999719</v>
      </c>
      <c r="F1862" s="179" t="n">
        <v>139351770066</v>
      </c>
      <c r="G1862" s="179" t="n">
        <v>139390965189</v>
      </c>
      <c r="H1862" s="179">
        <f>IFERROR(D1862+G1862,D1862)</f>
        <v/>
      </c>
      <c r="I1862" s="184">
        <f>IFERROR(D1862/H1862,"")</f>
        <v/>
      </c>
      <c r="J1862" s="179" t="n">
        <v>10680915123</v>
      </c>
      <c r="K1862" s="179" t="n">
        <v>21361830245</v>
      </c>
      <c r="L1862" s="179" t="n">
        <v>32042745368</v>
      </c>
    </row>
    <row r="1863" ht="15" customHeight="1" s="95">
      <c r="A1863" s="143" t="n">
        <v>45692</v>
      </c>
      <c r="B1863" s="146" t="n">
        <v>0.9999710000000001</v>
      </c>
      <c r="C1863" s="179" t="n">
        <v>54444241631</v>
      </c>
      <c r="D1863" s="179" t="n">
        <v>54445834484</v>
      </c>
      <c r="E1863" s="146" t="n">
        <v>1.001045</v>
      </c>
      <c r="F1863" s="179" t="n">
        <v>139544931369</v>
      </c>
      <c r="G1863" s="179" t="n">
        <v>139399246309</v>
      </c>
      <c r="H1863" s="179">
        <f>IFERROR(D1863+G1863,D1863)</f>
        <v/>
      </c>
      <c r="I1863" s="184">
        <f>IFERROR(D1863/H1863,"")</f>
        <v/>
      </c>
      <c r="J1863" s="179" t="n">
        <v>10889166897</v>
      </c>
      <c r="K1863" s="179" t="n">
        <v>21778333794</v>
      </c>
      <c r="L1863" s="179" t="n">
        <v>32667500690</v>
      </c>
    </row>
    <row r="1864" ht="15" customHeight="1" s="95">
      <c r="A1864" s="143" t="n">
        <v>45693</v>
      </c>
      <c r="B1864" s="146" t="n">
        <v>0.9999749999999999</v>
      </c>
      <c r="C1864" s="179" t="n">
        <v>55031638054</v>
      </c>
      <c r="D1864" s="179" t="n">
        <v>55032986590</v>
      </c>
      <c r="E1864" s="146" t="n">
        <v>1.000261</v>
      </c>
      <c r="F1864" s="179" t="n">
        <v>140514899916</v>
      </c>
      <c r="G1864" s="179" t="n">
        <v>140478167817</v>
      </c>
      <c r="H1864" s="179">
        <f>IFERROR(D1864+G1864,D1864)</f>
        <v/>
      </c>
      <c r="I1864" s="184">
        <f>IFERROR(D1864/H1864,"")</f>
        <v/>
      </c>
      <c r="J1864" s="179" t="n">
        <v>11006597318</v>
      </c>
      <c r="K1864" s="179" t="n">
        <v>22013194636</v>
      </c>
      <c r="L1864" s="179" t="n">
        <v>33019791954</v>
      </c>
    </row>
    <row r="1865" ht="15" customHeight="1" s="95">
      <c r="A1865" s="143" t="n">
        <v>45694</v>
      </c>
      <c r="B1865" s="146" t="n">
        <v>1.000006</v>
      </c>
      <c r="C1865" s="179" t="n">
        <v>55317788890</v>
      </c>
      <c r="D1865" s="179" t="n">
        <v>55317430425</v>
      </c>
      <c r="E1865" s="146" t="n">
        <v>1.000049</v>
      </c>
      <c r="F1865" s="179" t="n">
        <v>141393478723</v>
      </c>
      <c r="G1865" s="179" t="n">
        <v>141386542851</v>
      </c>
      <c r="H1865" s="179">
        <f>IFERROR(D1865+G1865,D1865)</f>
        <v/>
      </c>
      <c r="I1865" s="184">
        <f>IFERROR(D1865/H1865,"")</f>
        <v/>
      </c>
      <c r="J1865" s="179" t="n">
        <v>11063486085</v>
      </c>
      <c r="K1865" s="179" t="n">
        <v>22126972170</v>
      </c>
      <c r="L1865" s="179" t="n">
        <v>33190458255</v>
      </c>
    </row>
    <row r="1866" ht="15" customHeight="1" s="95">
      <c r="A1866" s="143" t="n">
        <v>45695</v>
      </c>
      <c r="B1866" s="146" t="n">
        <v>0.999999</v>
      </c>
      <c r="C1866" s="179" t="n">
        <v>55748033823</v>
      </c>
      <c r="D1866" s="179" t="n">
        <v>55748084935</v>
      </c>
      <c r="E1866" s="146" t="n">
        <v>1.000077</v>
      </c>
      <c r="F1866" s="179" t="n">
        <v>141177790732</v>
      </c>
      <c r="G1866" s="179" t="n">
        <v>141166869195</v>
      </c>
      <c r="H1866" s="179">
        <f>IFERROR(D1866+G1866,D1866)</f>
        <v/>
      </c>
      <c r="I1866" s="184">
        <f>IFERROR(D1866/H1866,"")</f>
        <v/>
      </c>
      <c r="J1866" s="179" t="n">
        <v>11149616987</v>
      </c>
      <c r="K1866" s="179" t="n">
        <v>22299233974</v>
      </c>
      <c r="L1866" s="179" t="n">
        <v>33448850961</v>
      </c>
    </row>
    <row r="1867" ht="15" customHeight="1" s="95">
      <c r="A1867" s="143" t="n">
        <v>45696</v>
      </c>
      <c r="B1867" s="146" t="n">
        <v>0.999995</v>
      </c>
      <c r="C1867" s="179" t="n">
        <v>56226639082</v>
      </c>
      <c r="D1867" s="179" t="n">
        <v>56226894929</v>
      </c>
      <c r="E1867" s="146" t="n">
        <v>1.000201</v>
      </c>
      <c r="F1867" s="179" t="n">
        <v>141383107623</v>
      </c>
      <c r="G1867" s="179" t="n">
        <v>141354640937</v>
      </c>
      <c r="H1867" s="179">
        <f>IFERROR(D1867+G1867,D1867)</f>
        <v/>
      </c>
      <c r="I1867" s="184">
        <f>IFERROR(D1867/H1867,"")</f>
        <v/>
      </c>
      <c r="J1867" s="179" t="n">
        <v>11245378986</v>
      </c>
      <c r="K1867" s="179" t="n">
        <v>22490757972</v>
      </c>
      <c r="L1867" s="179" t="n">
        <v>33736136957</v>
      </c>
    </row>
    <row r="1868" ht="15" customHeight="1" s="95">
      <c r="A1868" s="143" t="n">
        <v>45697</v>
      </c>
      <c r="B1868" s="146" t="n">
        <v>0.999995</v>
      </c>
      <c r="C1868" s="179" t="n">
        <v>56045142850</v>
      </c>
      <c r="D1868" s="179" t="n">
        <v>56045416614</v>
      </c>
      <c r="E1868" s="146" t="n">
        <v>1.000053</v>
      </c>
      <c r="F1868" s="179" t="n">
        <v>141672006081</v>
      </c>
      <c r="G1868" s="179" t="n">
        <v>141664555473</v>
      </c>
      <c r="H1868" s="179">
        <f>IFERROR(D1868+G1868,D1868)</f>
        <v/>
      </c>
      <c r="I1868" s="184">
        <f>IFERROR(D1868/H1868,"")</f>
        <v/>
      </c>
      <c r="J1868" s="179" t="n">
        <v>11209083323</v>
      </c>
      <c r="K1868" s="179" t="n">
        <v>22418166646</v>
      </c>
      <c r="L1868" s="179" t="n">
        <v>33627249968</v>
      </c>
    </row>
    <row r="1869" ht="15" customHeight="1" s="95">
      <c r="A1869" s="143" t="n">
        <v>45698</v>
      </c>
      <c r="B1869" s="146" t="n">
        <v>0.9999980000000001</v>
      </c>
      <c r="C1869" s="179" t="n">
        <v>56202492564</v>
      </c>
      <c r="D1869" s="179" t="n">
        <v>56202589956</v>
      </c>
      <c r="E1869" s="146" t="n">
        <v>1.000171</v>
      </c>
      <c r="F1869" s="179" t="n">
        <v>141758176744</v>
      </c>
      <c r="G1869" s="179" t="n">
        <v>141733978099</v>
      </c>
      <c r="H1869" s="179">
        <f>IFERROR(D1869+G1869,D1869)</f>
        <v/>
      </c>
      <c r="I1869" s="184">
        <f>IFERROR(D1869/H1869,"")</f>
        <v/>
      </c>
      <c r="J1869" s="179" t="n">
        <v>11240517991</v>
      </c>
      <c r="K1869" s="179" t="n">
        <v>22481035982</v>
      </c>
      <c r="L1869" s="179" t="n">
        <v>33721553974</v>
      </c>
    </row>
    <row r="1870" ht="15" customHeight="1" s="95">
      <c r="A1870" s="143" t="n">
        <v>45699</v>
      </c>
      <c r="B1870" s="146" t="n">
        <v>0.999902</v>
      </c>
      <c r="C1870" s="179" t="n">
        <v>56243672309</v>
      </c>
      <c r="D1870" s="179" t="n">
        <v>56249193041</v>
      </c>
      <c r="E1870" s="146" t="n">
        <v>1.000177</v>
      </c>
      <c r="F1870" s="179" t="n">
        <v>141642107463</v>
      </c>
      <c r="G1870" s="179" t="n">
        <v>141617085945</v>
      </c>
      <c r="H1870" s="179">
        <f>IFERROR(D1870+G1870,D1870)</f>
        <v/>
      </c>
      <c r="I1870" s="184">
        <f>IFERROR(D1870/H1870,"")</f>
        <v/>
      </c>
      <c r="J1870" s="179" t="n">
        <v>11249838608</v>
      </c>
      <c r="K1870" s="179" t="n">
        <v>22499677216</v>
      </c>
      <c r="L1870" s="179" t="n">
        <v>33749515825</v>
      </c>
    </row>
    <row r="1871" ht="15" customHeight="1" s="95">
      <c r="A1871" s="143" t="n">
        <v>45700</v>
      </c>
      <c r="B1871" s="146" t="n">
        <v>0.9999130000000001</v>
      </c>
      <c r="C1871" s="179" t="n">
        <v>56065914550</v>
      </c>
      <c r="D1871" s="179" t="n">
        <v>56070813691</v>
      </c>
      <c r="E1871" s="146" t="n">
        <v>0.999842</v>
      </c>
      <c r="F1871" s="179" t="n">
        <v>141857240927</v>
      </c>
      <c r="G1871" s="179" t="n">
        <v>141879708579</v>
      </c>
      <c r="H1871" s="179">
        <f>IFERROR(D1871+G1871,D1871)</f>
        <v/>
      </c>
      <c r="I1871" s="184">
        <f>IFERROR(D1871/H1871,"")</f>
        <v/>
      </c>
      <c r="J1871" s="179" t="n">
        <v>11214162738</v>
      </c>
      <c r="K1871" s="179" t="n">
        <v>22428325476</v>
      </c>
      <c r="L1871" s="179" t="n">
        <v>33642488215</v>
      </c>
    </row>
    <row r="1872" ht="15" customHeight="1" s="95">
      <c r="A1872" s="143" t="n">
        <v>45701</v>
      </c>
      <c r="B1872" s="146" t="n">
        <v>0.999902</v>
      </c>
      <c r="C1872" s="179" t="n">
        <v>56066099350</v>
      </c>
      <c r="D1872" s="179" t="n">
        <v>56071582990</v>
      </c>
      <c r="E1872" s="146" t="n">
        <v>1.000027</v>
      </c>
      <c r="F1872" s="179" t="n">
        <v>141956769708</v>
      </c>
      <c r="G1872" s="179" t="n">
        <v>141952968927</v>
      </c>
      <c r="H1872" s="179">
        <f>IFERROR(D1872+G1872,D1872)</f>
        <v/>
      </c>
      <c r="I1872" s="184">
        <f>IFERROR(D1872/H1872,"")</f>
        <v/>
      </c>
      <c r="J1872" s="179" t="n">
        <v>11214316598</v>
      </c>
      <c r="K1872" s="179" t="n">
        <v>22428633196</v>
      </c>
      <c r="L1872" s="179" t="n">
        <v>33642949794</v>
      </c>
    </row>
    <row r="1873" ht="15" customHeight="1" s="95">
      <c r="A1873" s="143" t="n">
        <v>45702</v>
      </c>
      <c r="B1873" s="146" t="n">
        <v>0.999903</v>
      </c>
      <c r="C1873" s="179" t="n">
        <v>56094898069</v>
      </c>
      <c r="D1873" s="179" t="n">
        <v>56100360292</v>
      </c>
      <c r="E1873" s="146" t="n">
        <v>1.000078</v>
      </c>
      <c r="F1873" s="179" t="n">
        <v>141936184424</v>
      </c>
      <c r="G1873" s="179" t="n">
        <v>141925044575</v>
      </c>
      <c r="H1873" s="179">
        <f>IFERROR(D1873+G1873,D1873)</f>
        <v/>
      </c>
      <c r="I1873" s="184">
        <f>IFERROR(D1873/H1873,"")</f>
        <v/>
      </c>
      <c r="J1873" s="179" t="n">
        <v>11220072058</v>
      </c>
      <c r="K1873" s="179" t="n">
        <v>22440144117</v>
      </c>
      <c r="L1873" s="179" t="n">
        <v>33660216175</v>
      </c>
    </row>
    <row r="1874" ht="15" customHeight="1" s="95">
      <c r="A1874" s="143" t="n">
        <v>45703</v>
      </c>
      <c r="B1874" s="146" t="n">
        <v>0.999947</v>
      </c>
      <c r="C1874" s="179" t="n">
        <v>56299817405</v>
      </c>
      <c r="D1874" s="179" t="n">
        <v>56302792659</v>
      </c>
      <c r="E1874" s="146" t="n">
        <v>1.00006</v>
      </c>
      <c r="F1874" s="179" t="n">
        <v>141813941006</v>
      </c>
      <c r="G1874" s="179" t="n">
        <v>141805481137</v>
      </c>
      <c r="H1874" s="179">
        <f>IFERROR(D1874+G1874,D1874)</f>
        <v/>
      </c>
      <c r="I1874" s="184">
        <f>IFERROR(D1874/H1874,"")</f>
        <v/>
      </c>
      <c r="J1874" s="179" t="n">
        <v>11260558532</v>
      </c>
      <c r="K1874" s="179" t="n">
        <v>22521117064</v>
      </c>
      <c r="L1874" s="179" t="n">
        <v>33781675595</v>
      </c>
    </row>
    <row r="1875" ht="15" customHeight="1" s="95">
      <c r="A1875" s="143" t="n">
        <v>45704</v>
      </c>
      <c r="B1875" s="146" t="n">
        <v>0.999984</v>
      </c>
      <c r="C1875" s="179" t="n">
        <v>56368613717</v>
      </c>
      <c r="D1875" s="179" t="n">
        <v>56369523640</v>
      </c>
      <c r="E1875" s="146" t="n">
        <v>1.000154</v>
      </c>
      <c r="F1875" s="179" t="n">
        <v>142018214890</v>
      </c>
      <c r="G1875" s="179" t="n">
        <v>141996402198</v>
      </c>
      <c r="H1875" s="179">
        <f>IFERROR(D1875+G1875,D1875)</f>
        <v/>
      </c>
      <c r="I1875" s="184">
        <f>IFERROR(D1875/H1875,"")</f>
        <v/>
      </c>
      <c r="J1875" s="179" t="n">
        <v>11273904728</v>
      </c>
      <c r="K1875" s="179" t="n">
        <v>22547809456</v>
      </c>
      <c r="L1875" s="179" t="n">
        <v>33821714184</v>
      </c>
    </row>
    <row r="1876" ht="15" customHeight="1" s="95">
      <c r="A1876" s="143" t="n">
        <v>45705</v>
      </c>
      <c r="B1876" s="146" t="n">
        <v>0.999942</v>
      </c>
      <c r="C1876" s="179" t="n">
        <v>56453148857</v>
      </c>
      <c r="D1876" s="179" t="n">
        <v>56456423574</v>
      </c>
      <c r="E1876" s="146" t="n">
        <v>1.000052</v>
      </c>
      <c r="F1876" s="179" t="n">
        <v>142003722086</v>
      </c>
      <c r="G1876" s="179" t="n">
        <v>141996352953</v>
      </c>
      <c r="H1876" s="179">
        <f>IFERROR(D1876+G1876,D1876)</f>
        <v/>
      </c>
      <c r="I1876" s="184">
        <f>IFERROR(D1876/H1876,"")</f>
        <v/>
      </c>
      <c r="J1876" s="179" t="n">
        <v>11291284715</v>
      </c>
      <c r="K1876" s="179" t="n">
        <v>22582569430</v>
      </c>
      <c r="L1876" s="179" t="n">
        <v>33873854144</v>
      </c>
    </row>
    <row r="1877" ht="15" customHeight="1" s="95">
      <c r="A1877" s="143" t="n">
        <v>45706</v>
      </c>
      <c r="B1877" s="146" t="n">
        <v>0.999904</v>
      </c>
      <c r="C1877" s="179" t="n">
        <v>56470447396</v>
      </c>
      <c r="D1877" s="179" t="n">
        <v>56475875130</v>
      </c>
      <c r="E1877" s="146" t="n">
        <v>0.9999440000000001</v>
      </c>
      <c r="F1877" s="179" t="n">
        <v>141988528416</v>
      </c>
      <c r="G1877" s="179" t="n">
        <v>141996505142</v>
      </c>
      <c r="H1877" s="179">
        <f>IFERROR(D1877+G1877,D1877)</f>
        <v/>
      </c>
      <c r="I1877" s="184">
        <f>IFERROR(D1877/H1877,"")</f>
        <v/>
      </c>
      <c r="J1877" s="179" t="n">
        <v>11295175026</v>
      </c>
      <c r="K1877" s="179" t="n">
        <v>22590350052</v>
      </c>
      <c r="L1877" s="179" t="n">
        <v>33885525078</v>
      </c>
    </row>
    <row r="1878" ht="15" customHeight="1" s="95">
      <c r="A1878" s="143" t="n">
        <v>45707</v>
      </c>
      <c r="B1878" s="146" t="n">
        <v>0.999844</v>
      </c>
      <c r="C1878" s="179" t="n">
        <v>56216659021</v>
      </c>
      <c r="D1878" s="179" t="n">
        <v>56225439262</v>
      </c>
      <c r="E1878" s="146" t="n">
        <v>0.999396</v>
      </c>
      <c r="F1878" s="179" t="n">
        <v>141678398891</v>
      </c>
      <c r="G1878" s="179" t="n">
        <v>141763994715</v>
      </c>
      <c r="H1878" s="179">
        <f>IFERROR(D1878+G1878,D1878)</f>
        <v/>
      </c>
      <c r="I1878" s="184">
        <f>IFERROR(D1878/H1878,"")</f>
        <v/>
      </c>
      <c r="J1878" s="179" t="n">
        <v>11245087852</v>
      </c>
      <c r="K1878" s="179" t="n">
        <v>22490175705</v>
      </c>
      <c r="L1878" s="179" t="n">
        <v>33735263557</v>
      </c>
    </row>
    <row r="1879" ht="15" customHeight="1" s="95">
      <c r="A1879" s="143" t="n">
        <v>45708</v>
      </c>
      <c r="B1879" s="146" t="n">
        <v>0.999903</v>
      </c>
      <c r="C1879" s="179" t="n">
        <v>56248466121</v>
      </c>
      <c r="D1879" s="179" t="n">
        <v>56253942178</v>
      </c>
      <c r="E1879" s="146" t="n">
        <v>0.9999</v>
      </c>
      <c r="F1879" s="179" t="n">
        <v>141765245323</v>
      </c>
      <c r="G1879" s="179" t="n">
        <v>141779412632</v>
      </c>
      <c r="H1879" s="179">
        <f>IFERROR(D1879+G1879,D1879)</f>
        <v/>
      </c>
      <c r="I1879" s="184">
        <f>IFERROR(D1879/H1879,"")</f>
        <v/>
      </c>
      <c r="J1879" s="179" t="n">
        <v>11250788436</v>
      </c>
      <c r="K1879" s="179" t="n">
        <v>22501576871</v>
      </c>
      <c r="L1879" s="179" t="n">
        <v>33752365307</v>
      </c>
    </row>
    <row r="1880" ht="15" customHeight="1" s="95">
      <c r="A1880" s="143" t="n">
        <v>45709</v>
      </c>
      <c r="B1880" s="146" t="n">
        <v>0.99981</v>
      </c>
      <c r="C1880" s="179" t="n">
        <v>56204435443</v>
      </c>
      <c r="D1880" s="179" t="n">
        <v>56215114326</v>
      </c>
      <c r="E1880" s="146" t="n">
        <v>1.000159</v>
      </c>
      <c r="F1880" s="179" t="n">
        <v>141802180650</v>
      </c>
      <c r="G1880" s="179" t="n">
        <v>141779693705</v>
      </c>
      <c r="H1880" s="179">
        <f>IFERROR(D1880+G1880,D1880)</f>
        <v/>
      </c>
      <c r="I1880" s="184">
        <f>IFERROR(D1880/H1880,"")</f>
        <v/>
      </c>
      <c r="J1880" s="179" t="n">
        <v>11243022865</v>
      </c>
      <c r="K1880" s="179" t="n">
        <v>22486045730</v>
      </c>
      <c r="L1880" s="179" t="n">
        <v>33729068596</v>
      </c>
    </row>
    <row r="1881" ht="15" customHeight="1" s="95">
      <c r="A1881" s="143" t="n">
        <v>45710</v>
      </c>
      <c r="B1881" s="146" t="n">
        <v>0.999896</v>
      </c>
      <c r="C1881" s="179" t="n">
        <v>57200106375</v>
      </c>
      <c r="D1881" s="179" t="n">
        <v>57206075986</v>
      </c>
      <c r="E1881" s="146" t="n">
        <v>0.999399</v>
      </c>
      <c r="F1881" s="179" t="n">
        <v>142128586355</v>
      </c>
      <c r="G1881" s="179" t="n">
        <v>142214119020</v>
      </c>
      <c r="H1881" s="179">
        <f>IFERROR(D1881+G1881,D1881)</f>
        <v/>
      </c>
      <c r="I1881" s="184">
        <f>IFERROR(D1881/H1881,"")</f>
        <v/>
      </c>
      <c r="J1881" s="179" t="n">
        <v>11441215197</v>
      </c>
      <c r="K1881" s="179" t="n">
        <v>22882430394</v>
      </c>
      <c r="L1881" s="179" t="n">
        <v>34323645592</v>
      </c>
    </row>
    <row r="1882" ht="15" customHeight="1" s="95">
      <c r="A1882" s="143" t="n">
        <v>45711</v>
      </c>
      <c r="B1882" s="146" t="n">
        <v>0.999997</v>
      </c>
      <c r="C1882" s="179" t="n">
        <v>57088551689</v>
      </c>
      <c r="D1882" s="179" t="n">
        <v>57088711431</v>
      </c>
      <c r="E1882" s="146" t="n">
        <v>1.000064</v>
      </c>
      <c r="F1882" s="179" t="n">
        <v>142498638055</v>
      </c>
      <c r="G1882" s="179" t="n">
        <v>142489532626</v>
      </c>
      <c r="H1882" s="179">
        <f>IFERROR(D1882+G1882,D1882)</f>
        <v/>
      </c>
      <c r="I1882" s="184">
        <f>IFERROR(D1882/H1882,"")</f>
        <v/>
      </c>
      <c r="J1882" s="179" t="n">
        <v>11417742286</v>
      </c>
      <c r="K1882" s="179" t="n">
        <v>22835484572</v>
      </c>
      <c r="L1882" s="179" t="n">
        <v>34253226859</v>
      </c>
    </row>
    <row r="1883" ht="15" customHeight="1" s="95">
      <c r="A1883" s="143" t="n">
        <v>45712</v>
      </c>
      <c r="B1883" s="146" t="n">
        <v>0.999919</v>
      </c>
      <c r="C1883" s="179" t="n">
        <v>57171310844</v>
      </c>
      <c r="D1883" s="179" t="n">
        <v>57175949099</v>
      </c>
      <c r="E1883" s="146" t="n">
        <v>0.999983</v>
      </c>
      <c r="F1883" s="179" t="n">
        <v>142488385786</v>
      </c>
      <c r="G1883" s="179" t="n">
        <v>142490816190</v>
      </c>
      <c r="H1883" s="179">
        <f>IFERROR(D1883+G1883,D1883)</f>
        <v/>
      </c>
      <c r="I1883" s="184">
        <f>IFERROR(D1883/H1883,"")</f>
        <v/>
      </c>
      <c r="J1883" s="179" t="n">
        <v>11435189820</v>
      </c>
      <c r="K1883" s="179" t="n">
        <v>22870379640</v>
      </c>
      <c r="L1883" s="179" t="n">
        <v>34305569459</v>
      </c>
    </row>
    <row r="1884" ht="15" customHeight="1" s="95">
      <c r="A1884" s="143" t="n">
        <v>45713</v>
      </c>
      <c r="B1884" s="146" t="n">
        <v>0.999875</v>
      </c>
      <c r="C1884" s="179" t="n">
        <v>56618758433</v>
      </c>
      <c r="D1884" s="179" t="n">
        <v>56625824072</v>
      </c>
      <c r="E1884" s="146" t="n">
        <v>0.999726</v>
      </c>
      <c r="F1884" s="179" t="n">
        <v>142374840343</v>
      </c>
      <c r="G1884" s="179" t="n">
        <v>142413871827</v>
      </c>
      <c r="H1884" s="179">
        <f>IFERROR(D1884+G1884,D1884)</f>
        <v/>
      </c>
      <c r="I1884" s="184">
        <f>IFERROR(D1884/H1884,"")</f>
        <v/>
      </c>
      <c r="J1884" s="179" t="n">
        <v>11325164814</v>
      </c>
      <c r="K1884" s="179" t="n">
        <v>22650329629</v>
      </c>
      <c r="L1884" s="179" t="n">
        <v>33975494443</v>
      </c>
    </row>
    <row r="1885" ht="15" customHeight="1" s="95">
      <c r="A1885" s="143" t="n">
        <v>45714</v>
      </c>
      <c r="B1885" s="146" t="n">
        <v>0.999868</v>
      </c>
      <c r="C1885" s="179" t="n">
        <v>56192790045</v>
      </c>
      <c r="D1885" s="179" t="n">
        <v>56200205636</v>
      </c>
      <c r="E1885" s="146" t="n">
        <v>0.99893</v>
      </c>
      <c r="F1885" s="179" t="n">
        <v>142189635187</v>
      </c>
      <c r="G1885" s="179" t="n">
        <v>142341973449</v>
      </c>
      <c r="H1885" s="179">
        <f>IFERROR(D1885+G1885,D1885)</f>
        <v/>
      </c>
      <c r="I1885" s="184">
        <f>IFERROR(D1885/H1885,"")</f>
        <v/>
      </c>
      <c r="J1885" s="179" t="n">
        <v>11240041127</v>
      </c>
      <c r="K1885" s="179" t="n">
        <v>22480082254</v>
      </c>
      <c r="L1885" s="179" t="n">
        <v>33720123382</v>
      </c>
    </row>
    <row r="1886" ht="15" customHeight="1" s="95">
      <c r="A1886" s="143" t="n">
        <v>45715</v>
      </c>
      <c r="B1886" s="146" t="n">
        <v>0.999867</v>
      </c>
      <c r="C1886" s="179" t="n">
        <v>56032298616</v>
      </c>
      <c r="D1886" s="179" t="n">
        <v>56039742344</v>
      </c>
      <c r="E1886" s="146" t="n">
        <v>0.998532</v>
      </c>
      <c r="F1886" s="179" t="n">
        <v>141898152624</v>
      </c>
      <c r="G1886" s="179" t="n">
        <v>142106765630</v>
      </c>
      <c r="H1886" s="179">
        <f>IFERROR(D1886+G1886,D1886)</f>
        <v/>
      </c>
      <c r="I1886" s="184">
        <f>IFERROR(D1886/H1886,"")</f>
        <v/>
      </c>
      <c r="J1886" s="179" t="n">
        <v>11207948469</v>
      </c>
      <c r="K1886" s="179" t="n">
        <v>22415896938</v>
      </c>
      <c r="L1886" s="179" t="n">
        <v>33623845406</v>
      </c>
    </row>
    <row r="1887" ht="15" customHeight="1" s="95">
      <c r="A1887" s="143" t="n">
        <v>45716</v>
      </c>
      <c r="B1887" s="146" t="n">
        <v>0.999896</v>
      </c>
      <c r="C1887" s="179" t="n">
        <v>55583497658</v>
      </c>
      <c r="D1887" s="179" t="n">
        <v>55589289497</v>
      </c>
      <c r="E1887" s="146" t="n">
        <v>0.999051</v>
      </c>
      <c r="F1887" s="179" t="n">
        <v>142167939695</v>
      </c>
      <c r="G1887" s="179" t="n">
        <v>142302967822</v>
      </c>
      <c r="H1887" s="179">
        <f>IFERROR(D1887+G1887,D1887)</f>
        <v/>
      </c>
      <c r="I1887" s="184">
        <f>IFERROR(D1887/H1887,"")</f>
        <v/>
      </c>
      <c r="J1887" s="179" t="n">
        <v>11117857899</v>
      </c>
      <c r="K1887" s="179" t="n">
        <v>22235715799</v>
      </c>
      <c r="L1887" s="179" t="n">
        <v>33353573698</v>
      </c>
    </row>
    <row r="1888" ht="15" customHeight="1" s="95">
      <c r="A1888" s="143" t="n">
        <v>45717</v>
      </c>
      <c r="B1888" s="146" t="n">
        <v>0.999854</v>
      </c>
      <c r="C1888" s="179" t="n">
        <v>56371329450</v>
      </c>
      <c r="D1888" s="179" t="n">
        <v>56379566833</v>
      </c>
      <c r="E1888" s="146" t="n">
        <v>0.999445</v>
      </c>
      <c r="F1888" s="179" t="n">
        <v>142108250750</v>
      </c>
      <c r="G1888" s="179" t="n">
        <v>142187151720</v>
      </c>
      <c r="H1888" s="179">
        <f>IFERROR(D1888+G1888,D1888)</f>
        <v/>
      </c>
      <c r="I1888" s="184">
        <f>IFERROR(D1888/H1888,"")</f>
        <v/>
      </c>
      <c r="J1888" s="179" t="n">
        <v>11275913367</v>
      </c>
      <c r="K1888" s="179" t="n">
        <v>22551826733</v>
      </c>
      <c r="L1888" s="179" t="n">
        <v>33827740100</v>
      </c>
    </row>
    <row r="1889" ht="15" customHeight="1" s="95">
      <c r="A1889" s="143" t="n">
        <v>45718</v>
      </c>
      <c r="B1889" s="146" t="n">
        <v>0.9998860000000001</v>
      </c>
      <c r="C1889" s="179" t="n">
        <v>56349522697</v>
      </c>
      <c r="D1889" s="179" t="n">
        <v>56355939822</v>
      </c>
      <c r="E1889" s="146" t="n">
        <v>0.999601</v>
      </c>
      <c r="F1889" s="179" t="n">
        <v>142135831908</v>
      </c>
      <c r="G1889" s="179" t="n">
        <v>142192589384</v>
      </c>
      <c r="H1889" s="179">
        <f>IFERROR(D1889+G1889,D1889)</f>
        <v/>
      </c>
      <c r="I1889" s="184">
        <f>IFERROR(D1889/H1889,"")</f>
        <v/>
      </c>
      <c r="J1889" s="179" t="n">
        <v>11271187964</v>
      </c>
      <c r="K1889" s="179" t="n">
        <v>22542375929</v>
      </c>
      <c r="L1889" s="179" t="n">
        <v>33813563893</v>
      </c>
    </row>
    <row r="1890" ht="15" customHeight="1" s="95">
      <c r="A1890" s="143" t="n">
        <v>45719</v>
      </c>
      <c r="B1890" s="146" t="n">
        <v>0.9999710000000001</v>
      </c>
      <c r="C1890" s="179" t="n">
        <v>56369921922</v>
      </c>
      <c r="D1890" s="179" t="n">
        <v>56371553549</v>
      </c>
      <c r="E1890" s="146" t="n">
        <v>1.000071</v>
      </c>
      <c r="F1890" s="179" t="n">
        <v>142426333596</v>
      </c>
      <c r="G1890" s="179" t="n">
        <v>142416192373</v>
      </c>
      <c r="H1890" s="179">
        <f>IFERROR(D1890+G1890,D1890)</f>
        <v/>
      </c>
      <c r="I1890" s="184">
        <f>IFERROR(D1890/H1890,"")</f>
        <v/>
      </c>
      <c r="J1890" s="179" t="n">
        <v>11274310710</v>
      </c>
      <c r="K1890" s="179" t="n">
        <v>22548621420</v>
      </c>
      <c r="L1890" s="179" t="n">
        <v>33822932129</v>
      </c>
    </row>
    <row r="1891" ht="15" customHeight="1" s="95">
      <c r="A1891" s="143" t="n">
        <v>45720</v>
      </c>
      <c r="B1891" s="146" t="n">
        <v>0.999817</v>
      </c>
      <c r="C1891" s="179" t="n">
        <v>56198202737</v>
      </c>
      <c r="D1891" s="179" t="n">
        <v>56208506820</v>
      </c>
      <c r="E1891" s="146" t="n">
        <v>0.9992529999999999</v>
      </c>
      <c r="F1891" s="179" t="n">
        <v>142328281738</v>
      </c>
      <c r="G1891" s="179" t="n">
        <v>142434675452</v>
      </c>
      <c r="H1891" s="179">
        <f>IFERROR(D1891+G1891,D1891)</f>
        <v/>
      </c>
      <c r="I1891" s="184">
        <f>IFERROR(D1891/H1891,"")</f>
        <v/>
      </c>
      <c r="J1891" s="179" t="n">
        <v>11241701364</v>
      </c>
      <c r="K1891" s="179" t="n">
        <v>22483402728</v>
      </c>
      <c r="L1891" s="179" t="n">
        <v>33725104092</v>
      </c>
    </row>
    <row r="1892" ht="15" customHeight="1" s="95">
      <c r="A1892" s="143" t="n">
        <v>45721</v>
      </c>
      <c r="B1892" s="146" t="n">
        <v>0.999912</v>
      </c>
      <c r="C1892" s="179" t="n">
        <v>56439264548</v>
      </c>
      <c r="D1892" s="179" t="n">
        <v>56444248696</v>
      </c>
      <c r="E1892" s="146" t="n">
        <v>0.999775</v>
      </c>
      <c r="F1892" s="179" t="n">
        <v>142475945352</v>
      </c>
      <c r="G1892" s="179" t="n">
        <v>142508049832</v>
      </c>
      <c r="H1892" s="179">
        <f>IFERROR(D1892+G1892,D1892)</f>
        <v/>
      </c>
      <c r="I1892" s="184">
        <f>IFERROR(D1892/H1892,"")</f>
        <v/>
      </c>
      <c r="J1892" s="179" t="n">
        <v>11288849739</v>
      </c>
      <c r="K1892" s="179" t="n">
        <v>22577699478</v>
      </c>
      <c r="L1892" s="179" t="n">
        <v>33866549218</v>
      </c>
    </row>
    <row r="1893" ht="15" customHeight="1" s="95">
      <c r="A1893" s="143" t="n">
        <v>45722</v>
      </c>
      <c r="B1893" s="146" t="n">
        <v>0.999861</v>
      </c>
      <c r="C1893" s="179" t="n">
        <v>56982960088</v>
      </c>
      <c r="D1893" s="179" t="n">
        <v>56990863857</v>
      </c>
      <c r="E1893" s="146" t="n">
        <v>0.9999749999999999</v>
      </c>
      <c r="F1893" s="179" t="n">
        <v>142492309523</v>
      </c>
      <c r="G1893" s="179" t="n">
        <v>142495926109</v>
      </c>
      <c r="H1893" s="179">
        <f>IFERROR(D1893+G1893,D1893)</f>
        <v/>
      </c>
      <c r="I1893" s="184">
        <f>IFERROR(D1893/H1893,"")</f>
        <v/>
      </c>
      <c r="J1893" s="179" t="n">
        <v>11398172771</v>
      </c>
      <c r="K1893" s="179" t="n">
        <v>22796345543</v>
      </c>
      <c r="L1893" s="179" t="n">
        <v>34194518314</v>
      </c>
    </row>
    <row r="1894" ht="15" customHeight="1" s="95">
      <c r="A1894" s="143" t="n">
        <v>45723</v>
      </c>
      <c r="B1894" s="146" t="n">
        <v>0.999882</v>
      </c>
      <c r="C1894" s="179" t="n">
        <v>57254502821</v>
      </c>
      <c r="D1894" s="179" t="n">
        <v>57261253487</v>
      </c>
      <c r="E1894" s="146" t="n">
        <v>1.000019</v>
      </c>
      <c r="F1894" s="179" t="n">
        <v>142721064979</v>
      </c>
      <c r="G1894" s="179" t="n">
        <v>142718385616</v>
      </c>
      <c r="H1894" s="179">
        <f>IFERROR(D1894+G1894,D1894)</f>
        <v/>
      </c>
      <c r="I1894" s="184">
        <f>IFERROR(D1894/H1894,"")</f>
        <v/>
      </c>
      <c r="J1894" s="179" t="n">
        <v>11452250697</v>
      </c>
      <c r="K1894" s="179" t="n">
        <v>22904501395</v>
      </c>
      <c r="L1894" s="179" t="n">
        <v>34356752092</v>
      </c>
    </row>
    <row r="1895" ht="15" customHeight="1" s="95">
      <c r="A1895" s="143" t="n">
        <v>45724</v>
      </c>
      <c r="B1895" s="146" t="n">
        <v>0.999857</v>
      </c>
      <c r="C1895" s="179" t="n">
        <v>58073873298</v>
      </c>
      <c r="D1895" s="179" t="n">
        <v>58082200307</v>
      </c>
      <c r="E1895" s="146" t="n">
        <v>0.999571</v>
      </c>
      <c r="F1895" s="179" t="n">
        <v>142738486120</v>
      </c>
      <c r="G1895" s="179" t="n">
        <v>142799794684</v>
      </c>
      <c r="H1895" s="179">
        <f>IFERROR(D1895+G1895,D1895)</f>
        <v/>
      </c>
      <c r="I1895" s="184">
        <f>IFERROR(D1895/H1895,"")</f>
        <v/>
      </c>
      <c r="J1895" s="179" t="n">
        <v>11616440061</v>
      </c>
      <c r="K1895" s="179" t="n">
        <v>23232880123</v>
      </c>
      <c r="L1895" s="179" t="n">
        <v>34849320184</v>
      </c>
    </row>
    <row r="1896" ht="15" customHeight="1" s="95">
      <c r="A1896" s="143" t="n">
        <v>45725</v>
      </c>
      <c r="B1896" s="146" t="n">
        <v>0.999855</v>
      </c>
      <c r="C1896" s="179" t="n">
        <v>58111794745</v>
      </c>
      <c r="D1896" s="179" t="n">
        <v>58120214375</v>
      </c>
      <c r="E1896" s="146" t="n">
        <v>0.999677</v>
      </c>
      <c r="F1896" s="179" t="n">
        <v>142753630869</v>
      </c>
      <c r="G1896" s="179" t="n">
        <v>142799800804</v>
      </c>
      <c r="H1896" s="179">
        <f>IFERROR(D1896+G1896,D1896)</f>
        <v/>
      </c>
      <c r="I1896" s="184">
        <f>IFERROR(D1896/H1896,"")</f>
        <v/>
      </c>
      <c r="J1896" s="179" t="n">
        <v>11624042875</v>
      </c>
      <c r="K1896" s="179" t="n">
        <v>23248085750</v>
      </c>
      <c r="L1896" s="179" t="n">
        <v>34872128625</v>
      </c>
    </row>
    <row r="1897" ht="15" customHeight="1" s="95">
      <c r="A1897" s="143" t="n">
        <v>45726</v>
      </c>
      <c r="B1897" s="146" t="n">
        <v>0.999871</v>
      </c>
      <c r="C1897" s="179" t="n">
        <v>58113399484</v>
      </c>
      <c r="D1897" s="179" t="n">
        <v>58120870340</v>
      </c>
      <c r="E1897" s="146" t="n">
        <v>0.999694</v>
      </c>
      <c r="F1897" s="179" t="n">
        <v>142755060054</v>
      </c>
      <c r="G1897" s="179" t="n">
        <v>142798810231</v>
      </c>
      <c r="H1897" s="179">
        <f>IFERROR(D1897+G1897,D1897)</f>
        <v/>
      </c>
      <c r="I1897" s="184">
        <f>IFERROR(D1897/H1897,"")</f>
        <v/>
      </c>
      <c r="J1897" s="179" t="n">
        <v>11624174068</v>
      </c>
      <c r="K1897" s="179" t="n">
        <v>23248348136</v>
      </c>
      <c r="L1897" s="179" t="n">
        <v>34872522204</v>
      </c>
    </row>
    <row r="1898" ht="15" customHeight="1" s="95">
      <c r="A1898" s="143" t="n">
        <v>45727</v>
      </c>
      <c r="B1898" s="146" t="n">
        <v>0.999793</v>
      </c>
      <c r="C1898" s="179" t="n">
        <v>57861728800</v>
      </c>
      <c r="D1898" s="179" t="n">
        <v>57873682063</v>
      </c>
      <c r="E1898" s="146" t="n">
        <v>0.999377</v>
      </c>
      <c r="F1898" s="179" t="n">
        <v>142841784938</v>
      </c>
      <c r="G1898" s="179" t="n">
        <v>142930898321</v>
      </c>
      <c r="H1898" s="179">
        <f>IFERROR(D1898+G1898,D1898)</f>
        <v/>
      </c>
      <c r="I1898" s="184">
        <f>IFERROR(D1898/H1898,"")</f>
        <v/>
      </c>
      <c r="J1898" s="179" t="n">
        <v>11574736413</v>
      </c>
      <c r="K1898" s="179" t="n">
        <v>23149472825</v>
      </c>
      <c r="L1898" s="179" t="n">
        <v>34724209238</v>
      </c>
    </row>
    <row r="1899" ht="15" customHeight="1" s="95">
      <c r="A1899" s="143" t="n">
        <v>45728</v>
      </c>
      <c r="B1899" s="146" t="n">
        <v>0.999877</v>
      </c>
      <c r="C1899" s="179" t="n">
        <v>58113401410</v>
      </c>
      <c r="D1899" s="179" t="n">
        <v>58120575722</v>
      </c>
      <c r="E1899" s="146" t="n">
        <v>0.999731</v>
      </c>
      <c r="F1899" s="179" t="n">
        <v>142958096810</v>
      </c>
      <c r="G1899" s="179" t="n">
        <v>142996507299</v>
      </c>
      <c r="H1899" s="179">
        <f>IFERROR(D1899+G1899,D1899)</f>
        <v/>
      </c>
      <c r="I1899" s="184">
        <f>IFERROR(D1899/H1899,"")</f>
        <v/>
      </c>
      <c r="J1899" s="179" t="n">
        <v>11624115144</v>
      </c>
      <c r="K1899" s="179" t="n">
        <v>23248230289</v>
      </c>
      <c r="L1899" s="179" t="n">
        <v>34872345433</v>
      </c>
    </row>
    <row r="1900" ht="15" customHeight="1" s="95">
      <c r="A1900" s="143" t="n">
        <v>45729</v>
      </c>
      <c r="B1900" s="146" t="n">
        <v>0.999798</v>
      </c>
      <c r="C1900" s="179" t="n">
        <v>58253458127</v>
      </c>
      <c r="D1900" s="179" t="n">
        <v>58265255583</v>
      </c>
      <c r="E1900" s="146" t="n">
        <v>0.999743</v>
      </c>
      <c r="F1900" s="179" t="n">
        <v>143145003460</v>
      </c>
      <c r="G1900" s="179" t="n">
        <v>143181846112</v>
      </c>
      <c r="H1900" s="179">
        <f>IFERROR(D1900+G1900,D1900)</f>
        <v/>
      </c>
      <c r="I1900" s="184">
        <f>IFERROR(D1900/H1900,"")</f>
        <v/>
      </c>
      <c r="J1900" s="179" t="n">
        <v>11653051117</v>
      </c>
      <c r="K1900" s="179" t="n">
        <v>23306102233</v>
      </c>
      <c r="L1900" s="179" t="n">
        <v>34959153350</v>
      </c>
    </row>
    <row r="1901" ht="15" customHeight="1" s="95">
      <c r="A1901" s="143" t="n">
        <v>45730</v>
      </c>
      <c r="B1901" s="146" t="n">
        <v>0.999872</v>
      </c>
      <c r="C1901" s="179" t="n">
        <v>58318828935</v>
      </c>
      <c r="D1901" s="179" t="n">
        <v>58326293033</v>
      </c>
      <c r="E1901" s="146" t="n">
        <v>0.999535</v>
      </c>
      <c r="F1901" s="179" t="n">
        <v>143278843107</v>
      </c>
      <c r="G1901" s="179" t="n">
        <v>143345431437</v>
      </c>
      <c r="H1901" s="179">
        <f>IFERROR(D1901+G1901,D1901)</f>
        <v/>
      </c>
      <c r="I1901" s="184">
        <f>IFERROR(D1901/H1901,"")</f>
        <v/>
      </c>
      <c r="J1901" s="179" t="n">
        <v>11665258607</v>
      </c>
      <c r="K1901" s="179" t="n">
        <v>23330517213</v>
      </c>
      <c r="L1901" s="179" t="n">
        <v>34995775820</v>
      </c>
    </row>
    <row r="1902" ht="15" customHeight="1" s="95">
      <c r="A1902" s="143" t="n">
        <v>45731</v>
      </c>
      <c r="B1902" s="146" t="n">
        <v>0.999895</v>
      </c>
      <c r="C1902" s="179" t="n">
        <v>58580801911</v>
      </c>
      <c r="D1902" s="179" t="n">
        <v>58586953793</v>
      </c>
      <c r="E1902" s="146" t="n">
        <v>1.000009</v>
      </c>
      <c r="F1902" s="179" t="n">
        <v>143347227007</v>
      </c>
      <c r="G1902" s="179" t="n">
        <v>143345880403</v>
      </c>
      <c r="H1902" s="179">
        <f>IFERROR(D1902+G1902,D1902)</f>
        <v/>
      </c>
      <c r="I1902" s="184">
        <f>IFERROR(D1902/H1902,"")</f>
        <v/>
      </c>
      <c r="J1902" s="179" t="n">
        <v>11717390759</v>
      </c>
      <c r="K1902" s="179" t="n">
        <v>23434781517</v>
      </c>
      <c r="L1902" s="179" t="n">
        <v>35152172276</v>
      </c>
    </row>
    <row r="1903" ht="15" customHeight="1" s="95">
      <c r="A1903" s="143" t="n">
        <v>45732</v>
      </c>
      <c r="B1903" s="146" t="n">
        <v>0.999899</v>
      </c>
      <c r="C1903" s="179" t="n">
        <v>58767867934</v>
      </c>
      <c r="D1903" s="179" t="n">
        <v>58773802989</v>
      </c>
      <c r="E1903" s="146" t="n">
        <v>1.000019</v>
      </c>
      <c r="F1903" s="179" t="n">
        <v>143467739230</v>
      </c>
      <c r="G1903" s="179" t="n">
        <v>143465027040</v>
      </c>
      <c r="H1903" s="179">
        <f>IFERROR(D1903+G1903,D1903)</f>
        <v/>
      </c>
      <c r="I1903" s="184">
        <f>IFERROR(D1903/H1903,"")</f>
        <v/>
      </c>
      <c r="J1903" s="179" t="n">
        <v>11754760598</v>
      </c>
      <c r="K1903" s="179" t="n">
        <v>23509521196</v>
      </c>
      <c r="L1903" s="179" t="n">
        <v>35264281793</v>
      </c>
    </row>
    <row r="1904" ht="15" customHeight="1" s="95">
      <c r="A1904" s="143" t="n">
        <v>45733</v>
      </c>
      <c r="B1904" s="146" t="n">
        <v>0.999798</v>
      </c>
      <c r="C1904" s="179" t="n">
        <v>58706368120</v>
      </c>
      <c r="D1904" s="179" t="n">
        <v>58718227972</v>
      </c>
      <c r="E1904" s="146" t="n">
        <v>0.9999</v>
      </c>
      <c r="F1904" s="179" t="n">
        <v>143450696223</v>
      </c>
      <c r="G1904" s="179" t="n">
        <v>143465025261</v>
      </c>
      <c r="H1904" s="179">
        <f>IFERROR(D1904+G1904,D1904)</f>
        <v/>
      </c>
      <c r="I1904" s="184">
        <f>IFERROR(D1904/H1904,"")</f>
        <v/>
      </c>
      <c r="J1904" s="179" t="n">
        <v>11743645594</v>
      </c>
      <c r="K1904" s="179" t="n">
        <v>23487291189</v>
      </c>
      <c r="L1904" s="179" t="n">
        <v>35230936783</v>
      </c>
    </row>
    <row r="1905" ht="15" customHeight="1" s="95">
      <c r="A1905" s="143" t="n">
        <v>45734</v>
      </c>
      <c r="B1905" s="146" t="n">
        <v>0.999869</v>
      </c>
      <c r="C1905" s="179" t="n">
        <v>58797192317</v>
      </c>
      <c r="D1905" s="179" t="n">
        <v>58804924080</v>
      </c>
      <c r="E1905" s="146" t="n">
        <v>0.999932</v>
      </c>
      <c r="F1905" s="179" t="n">
        <v>143455184183</v>
      </c>
      <c r="G1905" s="179" t="n">
        <v>143464972185</v>
      </c>
      <c r="H1905" s="179">
        <f>IFERROR(D1905+G1905,D1905)</f>
        <v/>
      </c>
      <c r="I1905" s="184">
        <f>IFERROR(D1905/H1905,"")</f>
        <v/>
      </c>
      <c r="J1905" s="179" t="n">
        <v>11760984816</v>
      </c>
      <c r="K1905" s="179" t="n">
        <v>23521969632</v>
      </c>
      <c r="L1905" s="179" t="n">
        <v>35282954448</v>
      </c>
    </row>
    <row r="1906" ht="15" customHeight="1" s="95">
      <c r="A1906" s="143" t="n">
        <v>45735</v>
      </c>
      <c r="B1906" s="146" t="n">
        <v>0.999854</v>
      </c>
      <c r="C1906" s="179" t="n">
        <v>58812622301</v>
      </c>
      <c r="D1906" s="179" t="n">
        <v>58821223363</v>
      </c>
      <c r="E1906" s="146" t="n">
        <v>0.999795</v>
      </c>
      <c r="F1906" s="179" t="n">
        <v>143397059107</v>
      </c>
      <c r="G1906" s="179" t="n">
        <v>143426437080</v>
      </c>
      <c r="H1906" s="179">
        <f>IFERROR(D1906+G1906,D1906)</f>
        <v/>
      </c>
      <c r="I1906" s="184">
        <f>IFERROR(D1906/H1906,"")</f>
        <v/>
      </c>
      <c r="J1906" s="179" t="n">
        <v>11764244673</v>
      </c>
      <c r="K1906" s="179" t="n">
        <v>23528489345</v>
      </c>
      <c r="L1906" s="179" t="n">
        <v>35292734018</v>
      </c>
    </row>
    <row r="1907" ht="15" customHeight="1" s="95">
      <c r="A1907" s="143" t="n">
        <v>45736</v>
      </c>
      <c r="B1907" s="146" t="n">
        <v>0.999799</v>
      </c>
      <c r="C1907" s="179" t="n">
        <v>59120717325</v>
      </c>
      <c r="D1907" s="179" t="n">
        <v>59132589586</v>
      </c>
      <c r="E1907" s="146" t="n">
        <v>1.000251</v>
      </c>
      <c r="F1907" s="179" t="n">
        <v>143469384429</v>
      </c>
      <c r="G1907" s="179" t="n">
        <v>143433347585</v>
      </c>
      <c r="H1907" s="179">
        <f>IFERROR(D1907+G1907,D1907)</f>
        <v/>
      </c>
      <c r="I1907" s="184">
        <f>IFERROR(D1907/H1907,"")</f>
        <v/>
      </c>
      <c r="J1907" s="179" t="n">
        <v>11826517917</v>
      </c>
      <c r="K1907" s="179" t="n">
        <v>23653035834</v>
      </c>
      <c r="L1907" s="179" t="n">
        <v>35479553752</v>
      </c>
    </row>
    <row r="1908" ht="15" customHeight="1" s="95">
      <c r="A1908" s="143" t="n">
        <v>45737</v>
      </c>
      <c r="B1908" s="146" t="n">
        <v>0.999799</v>
      </c>
      <c r="C1908" s="179" t="n">
        <v>59156318408</v>
      </c>
      <c r="D1908" s="179" t="n">
        <v>59168183300</v>
      </c>
      <c r="E1908" s="146" t="n">
        <v>0.999404</v>
      </c>
      <c r="F1908" s="179" t="n">
        <v>143567858626</v>
      </c>
      <c r="G1908" s="179" t="n">
        <v>143653428779</v>
      </c>
      <c r="H1908" s="179">
        <f>IFERROR(D1908+G1908,D1908)</f>
        <v/>
      </c>
      <c r="I1908" s="184">
        <f>IFERROR(D1908/H1908,"")</f>
        <v/>
      </c>
      <c r="J1908" s="179" t="n">
        <v>11833636660</v>
      </c>
      <c r="K1908" s="179" t="n">
        <v>23667273320</v>
      </c>
      <c r="L1908" s="179" t="n">
        <v>35500909980</v>
      </c>
    </row>
    <row r="1909" ht="15" customHeight="1" s="95">
      <c r="A1909" s="143" t="n">
        <v>45738</v>
      </c>
      <c r="B1909" s="146" t="n">
        <v>0.999896</v>
      </c>
      <c r="C1909" s="179" t="n">
        <v>59598715491</v>
      </c>
      <c r="D1909" s="179" t="n">
        <v>59604907879</v>
      </c>
      <c r="E1909" s="146" t="n">
        <v>0.999633</v>
      </c>
      <c r="F1909" s="179" t="n">
        <v>143474442014</v>
      </c>
      <c r="G1909" s="179" t="n">
        <v>143527171820</v>
      </c>
      <c r="H1909" s="179">
        <f>IFERROR(D1909+G1909,D1909)</f>
        <v/>
      </c>
      <c r="I1909" s="184">
        <f>IFERROR(D1909/H1909,"")</f>
        <v/>
      </c>
      <c r="J1909" s="179" t="n">
        <v>11920981576</v>
      </c>
      <c r="K1909" s="179" t="n">
        <v>23841963152</v>
      </c>
      <c r="L1909" s="179" t="n">
        <v>35762944727</v>
      </c>
    </row>
    <row r="1910" ht="15" customHeight="1" s="95">
      <c r="A1910" s="143" t="n">
        <v>45739</v>
      </c>
      <c r="B1910" s="146" t="n">
        <v>0.999893</v>
      </c>
      <c r="C1910" s="179" t="n">
        <v>59608085871</v>
      </c>
      <c r="D1910" s="179" t="n">
        <v>59614439922</v>
      </c>
      <c r="E1910" s="146" t="n">
        <v>0.999831</v>
      </c>
      <c r="F1910" s="179" t="n">
        <v>143463333939</v>
      </c>
      <c r="G1910" s="179" t="n">
        <v>143487541753</v>
      </c>
      <c r="H1910" s="179">
        <f>IFERROR(D1910+G1910,D1910)</f>
        <v/>
      </c>
      <c r="I1910" s="184">
        <f>IFERROR(D1910/H1910,"")</f>
        <v/>
      </c>
      <c r="J1910" s="179" t="n">
        <v>11922887984</v>
      </c>
      <c r="K1910" s="179" t="n">
        <v>23845775969</v>
      </c>
      <c r="L1910" s="179" t="n">
        <v>35768663953</v>
      </c>
    </row>
    <row r="1911" ht="15" customHeight="1" s="95">
      <c r="A1911" s="143" t="n">
        <v>45740</v>
      </c>
      <c r="B1911" s="146" t="n">
        <v>0.999861</v>
      </c>
      <c r="C1911" s="179" t="n">
        <v>59696955513</v>
      </c>
      <c r="D1911" s="179" t="n">
        <v>59705278901</v>
      </c>
      <c r="E1911" s="146" t="n">
        <v>0.999964</v>
      </c>
      <c r="F1911" s="179" t="n">
        <v>143482457552</v>
      </c>
      <c r="G1911" s="179" t="n">
        <v>143487612464</v>
      </c>
      <c r="H1911" s="179">
        <f>IFERROR(D1911+G1911,D1911)</f>
        <v/>
      </c>
      <c r="I1911" s="184">
        <f>IFERROR(D1911/H1911,"")</f>
        <v/>
      </c>
      <c r="J1911" s="179" t="n">
        <v>11941055780</v>
      </c>
      <c r="K1911" s="179" t="n">
        <v>23882111560</v>
      </c>
      <c r="L1911" s="179" t="n">
        <v>35823167341</v>
      </c>
    </row>
    <row r="1912" ht="15" customHeight="1" s="95">
      <c r="A1912" s="143" t="n">
        <v>45741</v>
      </c>
      <c r="B1912" s="146" t="n">
        <v>0.999869</v>
      </c>
      <c r="C1912" s="179" t="n">
        <v>59698466612</v>
      </c>
      <c r="D1912" s="179" t="n">
        <v>59706260761</v>
      </c>
      <c r="E1912" s="146" t="n">
        <v>1.000171</v>
      </c>
      <c r="F1912" s="179" t="n">
        <v>143511834088</v>
      </c>
      <c r="G1912" s="179" t="n">
        <v>143487285188</v>
      </c>
      <c r="H1912" s="179">
        <f>IFERROR(D1912+G1912,D1912)</f>
        <v/>
      </c>
      <c r="I1912" s="184">
        <f>IFERROR(D1912/H1912,"")</f>
        <v/>
      </c>
      <c r="J1912" s="179" t="n">
        <v>11941252152</v>
      </c>
      <c r="K1912" s="179" t="n">
        <v>23882504304</v>
      </c>
      <c r="L1912" s="179" t="n">
        <v>35823756457</v>
      </c>
    </row>
    <row r="1913" ht="15" customHeight="1" s="95">
      <c r="A1913" s="143" t="n">
        <v>45742</v>
      </c>
      <c r="B1913" s="146" t="n">
        <v>0.999872</v>
      </c>
      <c r="C1913" s="179" t="n">
        <v>60053637822</v>
      </c>
      <c r="D1913" s="179" t="n">
        <v>60061300834</v>
      </c>
      <c r="E1913" s="146" t="n">
        <v>1.000168</v>
      </c>
      <c r="F1913" s="179" t="n">
        <v>143802306843</v>
      </c>
      <c r="G1913" s="179" t="n">
        <v>143778114484</v>
      </c>
      <c r="H1913" s="179">
        <f>IFERROR(D1913+G1913,D1913)</f>
        <v/>
      </c>
      <c r="I1913" s="184">
        <f>IFERROR(D1913/H1913,"")</f>
        <v/>
      </c>
      <c r="J1913" s="179" t="n">
        <v>12012260167</v>
      </c>
      <c r="K1913" s="179" t="n">
        <v>24024520334</v>
      </c>
      <c r="L1913" s="179" t="n">
        <v>36036780500</v>
      </c>
    </row>
    <row r="1914" ht="15" customHeight="1" s="95">
      <c r="A1914" s="143" t="n">
        <v>45743</v>
      </c>
      <c r="B1914" s="146" t="n">
        <v>0.999898</v>
      </c>
      <c r="C1914" s="179" t="n">
        <v>60151001187</v>
      </c>
      <c r="D1914" s="179" t="n">
        <v>60157133275</v>
      </c>
      <c r="E1914" s="146" t="n">
        <v>1.00008</v>
      </c>
      <c r="F1914" s="179" t="n">
        <v>144028219833</v>
      </c>
      <c r="G1914" s="179" t="n">
        <v>144016689559</v>
      </c>
      <c r="H1914" s="179">
        <f>IFERROR(D1914+G1914,D1914)</f>
        <v/>
      </c>
      <c r="I1914" s="184">
        <f>IFERROR(D1914/H1914,"")</f>
        <v/>
      </c>
      <c r="J1914" s="179" t="n">
        <v>12031426655</v>
      </c>
      <c r="K1914" s="179" t="n">
        <v>24062853310</v>
      </c>
      <c r="L1914" s="179" t="n">
        <v>36094279965</v>
      </c>
    </row>
    <row r="1915" ht="15" customHeight="1" s="95">
      <c r="A1915" s="143" t="n">
        <v>45744</v>
      </c>
      <c r="B1915" s="146" t="n">
        <v>0.9998939999999999</v>
      </c>
      <c r="C1915" s="179" t="n">
        <v>60340763781</v>
      </c>
      <c r="D1915" s="179" t="n">
        <v>60347168117</v>
      </c>
      <c r="E1915" s="146" t="n">
        <v>0.999746</v>
      </c>
      <c r="F1915" s="179" t="n">
        <v>144133880049</v>
      </c>
      <c r="G1915" s="179" t="n">
        <v>144170519951</v>
      </c>
      <c r="H1915" s="179">
        <f>IFERROR(D1915+G1915,D1915)</f>
        <v/>
      </c>
      <c r="I1915" s="184">
        <f>IFERROR(D1915/H1915,"")</f>
        <v/>
      </c>
      <c r="J1915" s="179" t="n">
        <v>12069433623</v>
      </c>
      <c r="K1915" s="179" t="n">
        <v>24138867247</v>
      </c>
      <c r="L1915" s="179" t="n">
        <v>36208300870</v>
      </c>
    </row>
    <row r="1916" ht="15" customHeight="1" s="95">
      <c r="A1916" s="143" t="n">
        <v>45745</v>
      </c>
      <c r="B1916" s="146" t="n">
        <v>0.999984</v>
      </c>
      <c r="C1916" s="179" t="n">
        <v>60252631298</v>
      </c>
      <c r="D1916" s="179" t="n">
        <v>60253607699</v>
      </c>
      <c r="E1916" s="146" t="n">
        <v>0.999516</v>
      </c>
      <c r="F1916" s="179" t="n">
        <v>144112246172</v>
      </c>
      <c r="G1916" s="179" t="n">
        <v>144182099992</v>
      </c>
      <c r="H1916" s="179">
        <f>IFERROR(D1916+G1916,D1916)</f>
        <v/>
      </c>
      <c r="I1916" s="184">
        <f>IFERROR(D1916/H1916,"")</f>
        <v/>
      </c>
      <c r="J1916" s="179" t="n">
        <v>12050721540</v>
      </c>
      <c r="K1916" s="179" t="n">
        <v>24101443080</v>
      </c>
      <c r="L1916" s="179" t="n">
        <v>36152164619</v>
      </c>
    </row>
    <row r="1917" ht="15" customHeight="1" s="95">
      <c r="A1917" s="143" t="n">
        <v>45746</v>
      </c>
      <c r="B1917" s="146" t="n">
        <v>0.999972</v>
      </c>
      <c r="C1917" s="179" t="n">
        <v>60247248034</v>
      </c>
      <c r="D1917" s="179" t="n">
        <v>60248920139</v>
      </c>
      <c r="E1917" s="146" t="n">
        <v>0.999671</v>
      </c>
      <c r="F1917" s="179" t="n">
        <v>144134977946</v>
      </c>
      <c r="G1917" s="179" t="n">
        <v>144182349121</v>
      </c>
      <c r="H1917" s="179">
        <f>IFERROR(D1917+G1917,D1917)</f>
        <v/>
      </c>
      <c r="I1917" s="184">
        <f>IFERROR(D1917/H1917,"")</f>
        <v/>
      </c>
      <c r="J1917" s="179" t="n">
        <v>12049784028</v>
      </c>
      <c r="K1917" s="179" t="n">
        <v>24099568056</v>
      </c>
      <c r="L1917" s="179" t="n">
        <v>36149352083</v>
      </c>
    </row>
    <row r="1918" ht="15" customHeight="1" s="95">
      <c r="A1918" s="143" t="n">
        <v>45747</v>
      </c>
      <c r="B1918" s="146" t="n">
        <v>1</v>
      </c>
      <c r="C1918" s="179" t="n">
        <v>60187903065</v>
      </c>
      <c r="D1918" s="179" t="n">
        <v>60187903066</v>
      </c>
      <c r="E1918" s="146" t="n">
        <v>0.999788</v>
      </c>
      <c r="F1918" s="179" t="n">
        <v>144151836208</v>
      </c>
      <c r="G1918" s="179" t="n">
        <v>144182349231</v>
      </c>
      <c r="H1918" s="179">
        <f>IFERROR(D1918+G1918,D1918)</f>
        <v/>
      </c>
      <c r="I1918" s="184">
        <f>IFERROR(D1918/H1918,"")</f>
        <v/>
      </c>
      <c r="J1918" s="179" t="n">
        <v>12037580613</v>
      </c>
      <c r="K1918" s="179" t="n">
        <v>24075161226</v>
      </c>
      <c r="L1918" s="179" t="n">
        <v>36112741840</v>
      </c>
    </row>
    <row r="1919" ht="15" customHeight="1" s="95">
      <c r="A1919" s="143" t="n">
        <v>45748</v>
      </c>
      <c r="B1919" s="146" t="n">
        <v>0.99999</v>
      </c>
      <c r="C1919" s="179" t="n">
        <v>60076751940</v>
      </c>
      <c r="D1919" s="179" t="n">
        <v>60077371332</v>
      </c>
      <c r="E1919" s="146" t="n">
        <v>0.9998</v>
      </c>
      <c r="F1919" s="179" t="n">
        <v>143908732518</v>
      </c>
      <c r="G1919" s="179" t="n">
        <v>143937546267</v>
      </c>
      <c r="H1919" s="179">
        <f>IFERROR(D1919+G1919,D1919)</f>
        <v/>
      </c>
      <c r="I1919" s="184">
        <f>IFERROR(D1919/H1919,"")</f>
        <v/>
      </c>
      <c r="J1919" s="179" t="n">
        <v>12015474266</v>
      </c>
      <c r="K1919" s="179" t="n">
        <v>24030948533</v>
      </c>
      <c r="L1919" s="179" t="n">
        <v>36046422799</v>
      </c>
    </row>
    <row r="1920" ht="15" customHeight="1" s="95">
      <c r="A1920" s="143" t="n">
        <v>45749</v>
      </c>
      <c r="B1920" s="146" t="n">
        <v>0.999951</v>
      </c>
      <c r="C1920" s="179" t="n">
        <v>60114128865</v>
      </c>
      <c r="D1920" s="179" t="n">
        <v>60117092148</v>
      </c>
      <c r="E1920" s="146" t="n">
        <v>0.999983</v>
      </c>
      <c r="F1920" s="179" t="n">
        <v>143990231518</v>
      </c>
      <c r="G1920" s="179" t="n">
        <v>143992740541</v>
      </c>
      <c r="H1920" s="179">
        <f>IFERROR(D1920+G1920,D1920)</f>
        <v/>
      </c>
      <c r="I1920" s="184">
        <f>IFERROR(D1920/H1920,"")</f>
        <v/>
      </c>
      <c r="J1920" s="179" t="n">
        <v>12023418430</v>
      </c>
      <c r="K1920" s="179" t="n">
        <v>24046836859</v>
      </c>
      <c r="L1920" s="179" t="n">
        <v>36070255289</v>
      </c>
    </row>
    <row r="1921" ht="15" customHeight="1" s="95">
      <c r="A1921" s="143" t="n">
        <v>45750</v>
      </c>
      <c r="B1921" s="146" t="n">
        <v>0.999908</v>
      </c>
      <c r="C1921" s="179" t="n">
        <v>60650587987</v>
      </c>
      <c r="D1921" s="179" t="n">
        <v>60656197602</v>
      </c>
      <c r="E1921" s="146" t="n">
        <v>0.999766</v>
      </c>
      <c r="F1921" s="179" t="n">
        <v>143988054419</v>
      </c>
      <c r="G1921" s="179" t="n">
        <v>144021804694</v>
      </c>
      <c r="H1921" s="179">
        <f>IFERROR(D1921+G1921,D1921)</f>
        <v/>
      </c>
      <c r="I1921" s="184">
        <f>IFERROR(D1921/H1921,"")</f>
        <v/>
      </c>
      <c r="J1921" s="179" t="n">
        <v>12131239520</v>
      </c>
      <c r="K1921" s="179" t="n">
        <v>24262479041</v>
      </c>
      <c r="L1921" s="179" t="n">
        <v>36393718561</v>
      </c>
    </row>
    <row r="1922" ht="15" customHeight="1" s="95">
      <c r="A1922" s="143" t="n">
        <v>45751</v>
      </c>
      <c r="B1922" s="146" t="n">
        <v>0.999888</v>
      </c>
      <c r="C1922" s="179" t="n">
        <v>60865979160</v>
      </c>
      <c r="D1922" s="179" t="n">
        <v>60872774435</v>
      </c>
      <c r="E1922" s="146" t="n">
        <v>0.999572</v>
      </c>
      <c r="F1922" s="179" t="n">
        <v>144182937322</v>
      </c>
      <c r="G1922" s="179" t="n">
        <v>144244715590</v>
      </c>
      <c r="H1922" s="179">
        <f>IFERROR(D1922+G1922,D1922)</f>
        <v/>
      </c>
      <c r="I1922" s="184">
        <f>IFERROR(D1922/H1922,"")</f>
        <v/>
      </c>
      <c r="J1922" s="179" t="n">
        <v>12174554887</v>
      </c>
      <c r="K1922" s="179" t="n">
        <v>24349109774</v>
      </c>
      <c r="L1922" s="179" t="n">
        <v>36523664661</v>
      </c>
    </row>
    <row r="1923" ht="15" customHeight="1" s="95">
      <c r="A1923" s="143" t="n">
        <v>45752</v>
      </c>
      <c r="B1923" s="146" t="n">
        <v>0.999889</v>
      </c>
      <c r="C1923" s="179" t="n">
        <v>60568013233</v>
      </c>
      <c r="D1923" s="179" t="n">
        <v>60574713472</v>
      </c>
      <c r="E1923" s="146" t="n">
        <v>0.999646</v>
      </c>
      <c r="F1923" s="179" t="n">
        <v>144035750400</v>
      </c>
      <c r="G1923" s="179" t="n">
        <v>144086688618</v>
      </c>
      <c r="H1923" s="179">
        <f>IFERROR(D1923+G1923,D1923)</f>
        <v/>
      </c>
      <c r="I1923" s="184">
        <f>IFERROR(D1923/H1923,"")</f>
        <v/>
      </c>
      <c r="J1923" s="179" t="n">
        <v>12114942694</v>
      </c>
      <c r="K1923" s="179" t="n">
        <v>24229885389</v>
      </c>
      <c r="L1923" s="179" t="n">
        <v>36344828083</v>
      </c>
    </row>
    <row r="1924" ht="15" customHeight="1" s="95">
      <c r="A1924" s="143" t="n">
        <v>45753</v>
      </c>
      <c r="B1924" s="146" t="n">
        <v>0.999933</v>
      </c>
      <c r="C1924" s="179" t="n">
        <v>60529071048</v>
      </c>
      <c r="D1924" s="179" t="n">
        <v>60533116901</v>
      </c>
      <c r="E1924" s="146" t="n">
        <v>0.999605</v>
      </c>
      <c r="F1924" s="179" t="n">
        <v>144029490829</v>
      </c>
      <c r="G1924" s="179" t="n">
        <v>144086449052</v>
      </c>
      <c r="H1924" s="179">
        <f>IFERROR(D1924+G1924,D1924)</f>
        <v/>
      </c>
      <c r="I1924" s="184">
        <f>IFERROR(D1924/H1924,"")</f>
        <v/>
      </c>
      <c r="J1924" s="179" t="n">
        <v>12106623380</v>
      </c>
      <c r="K1924" s="179" t="n">
        <v>24213246760</v>
      </c>
      <c r="L1924" s="179" t="n">
        <v>36319870141</v>
      </c>
    </row>
    <row r="1925" ht="15" customHeight="1" s="95">
      <c r="A1925" s="143" t="n">
        <v>45754</v>
      </c>
      <c r="B1925" s="146" t="n">
        <v>0.9999479999999999</v>
      </c>
      <c r="C1925" s="179" t="n">
        <v>60328792921</v>
      </c>
      <c r="D1925" s="179" t="n">
        <v>60331933745</v>
      </c>
      <c r="E1925" s="146" t="n">
        <v>0.99912</v>
      </c>
      <c r="F1925" s="179" t="n">
        <v>143958926471</v>
      </c>
      <c r="G1925" s="179" t="n">
        <v>144085675274</v>
      </c>
      <c r="H1925" s="179">
        <f>IFERROR(D1925+G1925,D1925)</f>
        <v/>
      </c>
      <c r="I1925" s="184">
        <f>IFERROR(D1925/H1925,"")</f>
        <v/>
      </c>
      <c r="J1925" s="179" t="n">
        <v>12066386749</v>
      </c>
      <c r="K1925" s="179" t="n">
        <v>24132773498</v>
      </c>
      <c r="L1925" s="179" t="n">
        <v>36199160247</v>
      </c>
    </row>
    <row r="1926" ht="15" customHeight="1" s="95">
      <c r="A1926" s="143" t="n">
        <v>45755</v>
      </c>
      <c r="B1926" s="146" t="n">
        <v>0.999932</v>
      </c>
      <c r="C1926" s="179" t="n">
        <v>60135120225</v>
      </c>
      <c r="D1926" s="179" t="n">
        <v>60139218554</v>
      </c>
      <c r="E1926" s="146" t="n">
        <v>0.99959</v>
      </c>
      <c r="F1926" s="179" t="n">
        <v>144205567669</v>
      </c>
      <c r="G1926" s="179" t="n">
        <v>144264737625</v>
      </c>
      <c r="H1926" s="179">
        <f>IFERROR(D1926+G1926,D1926)</f>
        <v/>
      </c>
      <c r="I1926" s="184">
        <f>IFERROR(D1926/H1926,"")</f>
        <v/>
      </c>
      <c r="J1926" s="179" t="n">
        <v>12027843711</v>
      </c>
      <c r="K1926" s="179" t="n">
        <v>24055687422</v>
      </c>
      <c r="L1926" s="179" t="n">
        <v>36083531132</v>
      </c>
    </row>
    <row r="1927" ht="15" customHeight="1" s="95">
      <c r="A1927" s="143" t="n">
        <v>45756</v>
      </c>
      <c r="B1927" s="146" t="n">
        <v>0.999888</v>
      </c>
      <c r="C1927" s="179" t="n">
        <v>60138507773</v>
      </c>
      <c r="D1927" s="179" t="n">
        <v>60145233310</v>
      </c>
      <c r="E1927" s="146" t="n">
        <v>0.999046</v>
      </c>
      <c r="F1927" s="179" t="n">
        <v>144054569797</v>
      </c>
      <c r="G1927" s="179" t="n">
        <v>144192090768</v>
      </c>
      <c r="H1927" s="179">
        <f>IFERROR(D1927+G1927,D1927)</f>
        <v/>
      </c>
      <c r="I1927" s="184">
        <f>IFERROR(D1927/H1927,"")</f>
        <v/>
      </c>
      <c r="J1927" s="179" t="n">
        <v>12029046662</v>
      </c>
      <c r="K1927" s="179" t="n">
        <v>24058093324</v>
      </c>
      <c r="L1927" s="179" t="n">
        <v>36087139986</v>
      </c>
    </row>
    <row r="1928" ht="15" customHeight="1" s="95">
      <c r="A1928" s="143" t="n">
        <v>45757</v>
      </c>
      <c r="B1928" s="146" t="n">
        <v>0.999915</v>
      </c>
      <c r="C1928" s="179" t="n">
        <v>59937806991</v>
      </c>
      <c r="D1928" s="179" t="n">
        <v>59942893236</v>
      </c>
      <c r="E1928" s="146" t="n">
        <v>0.999762</v>
      </c>
      <c r="F1928" s="179" t="n">
        <v>143979365781</v>
      </c>
      <c r="G1928" s="179" t="n">
        <v>144013619436</v>
      </c>
      <c r="H1928" s="179">
        <f>IFERROR(D1928+G1928,D1928)</f>
        <v/>
      </c>
      <c r="I1928" s="184">
        <f>IFERROR(D1928/H1928,"")</f>
        <v/>
      </c>
      <c r="J1928" s="179" t="n">
        <v>11988578647</v>
      </c>
      <c r="K1928" s="179" t="n">
        <v>23977157294</v>
      </c>
      <c r="L1928" s="179" t="n">
        <v>35965735942</v>
      </c>
    </row>
    <row r="1929" ht="15" customHeight="1" s="95">
      <c r="A1929" s="143" t="n">
        <v>45758</v>
      </c>
      <c r="B1929" s="146" t="n">
        <v>0.999949</v>
      </c>
      <c r="C1929" s="179" t="n">
        <v>59918561216</v>
      </c>
      <c r="D1929" s="179" t="n">
        <v>59921606020</v>
      </c>
      <c r="E1929" s="146" t="n">
        <v>0.999414</v>
      </c>
      <c r="F1929" s="179" t="n">
        <v>144286395278</v>
      </c>
      <c r="G1929" s="179" t="n">
        <v>144370983714</v>
      </c>
      <c r="H1929" s="179">
        <f>IFERROR(D1929+G1929,D1929)</f>
        <v/>
      </c>
      <c r="I1929" s="184">
        <f>IFERROR(D1929/H1929,"")</f>
        <v/>
      </c>
      <c r="J1929" s="179" t="n">
        <v>11984321204</v>
      </c>
      <c r="K1929" s="179" t="n">
        <v>23968642408</v>
      </c>
      <c r="L1929" s="179" t="n">
        <v>35952963612</v>
      </c>
    </row>
    <row r="1930" ht="15" customHeight="1" s="95">
      <c r="A1930" s="143" t="n">
        <v>45759</v>
      </c>
      <c r="B1930" s="146" t="n">
        <v>0.999983</v>
      </c>
      <c r="C1930" s="179" t="n">
        <v>60074656977</v>
      </c>
      <c r="D1930" s="179" t="n">
        <v>60075682791</v>
      </c>
      <c r="E1930" s="146" t="n">
        <v>0.99953</v>
      </c>
      <c r="F1930" s="179" t="n">
        <v>144275039627</v>
      </c>
      <c r="G1930" s="179" t="n">
        <v>144342849088</v>
      </c>
      <c r="H1930" s="179">
        <f>IFERROR(D1930+G1930,D1930)</f>
        <v/>
      </c>
      <c r="I1930" s="184">
        <f>IFERROR(D1930/H1930,"")</f>
        <v/>
      </c>
      <c r="J1930" s="179" t="n">
        <v>12015136558</v>
      </c>
      <c r="K1930" s="179" t="n">
        <v>24030273116</v>
      </c>
      <c r="L1930" s="179" t="n">
        <v>36045409675</v>
      </c>
    </row>
    <row r="1931" ht="15" customHeight="1" s="95">
      <c r="A1931" s="143" t="n">
        <v>45760</v>
      </c>
      <c r="B1931" s="146" t="n">
        <v>0.999973</v>
      </c>
      <c r="C1931" s="179" t="n">
        <v>60085387673</v>
      </c>
      <c r="D1931" s="179" t="n">
        <v>60087002446</v>
      </c>
      <c r="E1931" s="146" t="n">
        <v>0.999895</v>
      </c>
      <c r="F1931" s="179" t="n">
        <v>144374132862</v>
      </c>
      <c r="G1931" s="179" t="n">
        <v>144389304156</v>
      </c>
      <c r="H1931" s="179">
        <f>IFERROR(D1931+G1931,D1931)</f>
        <v/>
      </c>
      <c r="I1931" s="184">
        <f>IFERROR(D1931/H1931,"")</f>
        <v/>
      </c>
      <c r="J1931" s="179" t="n">
        <v>12017400489</v>
      </c>
      <c r="K1931" s="179" t="n">
        <v>24034800978</v>
      </c>
      <c r="L1931" s="179" t="n">
        <v>36052201468</v>
      </c>
    </row>
    <row r="1932" ht="15" customHeight="1" s="95">
      <c r="A1932" s="143" t="n">
        <v>45761</v>
      </c>
      <c r="B1932" s="146" t="n">
        <v>0.999899</v>
      </c>
      <c r="C1932" s="179" t="n">
        <v>60050950076</v>
      </c>
      <c r="D1932" s="179" t="n">
        <v>60057040921</v>
      </c>
      <c r="E1932" s="146" t="n">
        <v>0.999712</v>
      </c>
      <c r="F1932" s="179" t="n">
        <v>144347938969</v>
      </c>
      <c r="G1932" s="179" t="n">
        <v>144389506134</v>
      </c>
      <c r="H1932" s="179">
        <f>IFERROR(D1932+G1932,D1932)</f>
        <v/>
      </c>
      <c r="I1932" s="184">
        <f>IFERROR(D1932/H1932,"")</f>
        <v/>
      </c>
      <c r="J1932" s="179" t="n">
        <v>12011408184</v>
      </c>
      <c r="K1932" s="179" t="n">
        <v>24022816368</v>
      </c>
      <c r="L1932" s="179" t="n">
        <v>36034224553</v>
      </c>
    </row>
    <row r="1933" ht="15" customHeight="1" s="95">
      <c r="A1933" s="143" t="n">
        <v>45762</v>
      </c>
      <c r="B1933" s="146" t="n">
        <v>0.999896</v>
      </c>
      <c r="C1933" s="179" t="n">
        <v>60199908506</v>
      </c>
      <c r="D1933" s="179" t="n">
        <v>60206199497</v>
      </c>
      <c r="E1933" s="146" t="n">
        <v>0.999933</v>
      </c>
      <c r="F1933" s="179" t="n">
        <v>144334107980</v>
      </c>
      <c r="G1933" s="179" t="n">
        <v>144343717690</v>
      </c>
      <c r="H1933" s="179">
        <f>IFERROR(D1933+G1933,D1933)</f>
        <v/>
      </c>
      <c r="I1933" s="184">
        <f>IFERROR(D1933/H1933,"")</f>
        <v/>
      </c>
      <c r="J1933" s="179" t="n">
        <v>12041239899</v>
      </c>
      <c r="K1933" s="179" t="n">
        <v>24082479799</v>
      </c>
      <c r="L1933" s="179" t="n">
        <v>36123719698</v>
      </c>
    </row>
    <row r="1934" ht="15" customHeight="1" s="95">
      <c r="A1934" s="143" t="n">
        <v>45763</v>
      </c>
      <c r="B1934" s="146" t="n">
        <v>0.999896</v>
      </c>
      <c r="C1934" s="179" t="n">
        <v>60417188776</v>
      </c>
      <c r="D1934" s="179" t="n">
        <v>60423460785</v>
      </c>
      <c r="E1934" s="146" t="n">
        <v>0.99995</v>
      </c>
      <c r="F1934" s="179" t="n">
        <v>144568505877</v>
      </c>
      <c r="G1934" s="179" t="n">
        <v>144575768759</v>
      </c>
      <c r="H1934" s="179">
        <f>IFERROR(D1934+G1934,D1934)</f>
        <v/>
      </c>
      <c r="I1934" s="184">
        <f>IFERROR(D1934/H1934,"")</f>
        <v/>
      </c>
      <c r="J1934" s="179" t="n">
        <v>12084692157</v>
      </c>
      <c r="K1934" s="179" t="n">
        <v>24169384314</v>
      </c>
      <c r="L1934" s="179" t="n">
        <v>36254076471</v>
      </c>
    </row>
    <row r="1935" ht="15" customHeight="1" s="95">
      <c r="A1935" s="143" t="n">
        <v>45764</v>
      </c>
      <c r="B1935" s="146" t="n">
        <v>0.999984</v>
      </c>
      <c r="C1935" s="179" t="n">
        <v>60482834985</v>
      </c>
      <c r="D1935" s="179" t="n">
        <v>60483789443</v>
      </c>
      <c r="E1935" s="146" t="n">
        <v>1.000003</v>
      </c>
      <c r="F1935" s="179" t="n">
        <v>144632716534</v>
      </c>
      <c r="G1935" s="179" t="n">
        <v>144632338798</v>
      </c>
      <c r="H1935" s="179">
        <f>IFERROR(D1935+G1935,D1935)</f>
        <v/>
      </c>
      <c r="I1935" s="184">
        <f>IFERROR(D1935/H1935,"")</f>
        <v/>
      </c>
      <c r="J1935" s="179" t="n">
        <v>12096757889</v>
      </c>
      <c r="K1935" s="179" t="n">
        <v>24193515777</v>
      </c>
      <c r="L1935" s="179" t="n">
        <v>36290273666</v>
      </c>
    </row>
    <row r="1936" ht="15" customHeight="1" s="95">
      <c r="A1936" s="143" t="n">
        <v>45765</v>
      </c>
      <c r="B1936" s="146" t="n">
        <v>0.999986</v>
      </c>
      <c r="C1936" s="179" t="n">
        <v>60905068137</v>
      </c>
      <c r="D1936" s="179" t="n">
        <v>60905900521</v>
      </c>
      <c r="E1936" s="146" t="n">
        <v>1.000006</v>
      </c>
      <c r="F1936" s="179" t="n">
        <v>144806058274</v>
      </c>
      <c r="G1936" s="179" t="n">
        <v>144805208797</v>
      </c>
      <c r="H1936" s="179">
        <f>IFERROR(D1936+G1936,D1936)</f>
        <v/>
      </c>
      <c r="I1936" s="184">
        <f>IFERROR(D1936/H1936,"")</f>
        <v/>
      </c>
      <c r="J1936" s="179" t="n">
        <v>12181180104</v>
      </c>
      <c r="K1936" s="179" t="n">
        <v>24362360208</v>
      </c>
      <c r="L1936" s="179" t="n">
        <v>36543540313</v>
      </c>
    </row>
    <row r="1937" ht="15" customHeight="1" s="95">
      <c r="A1937" s="143" t="n">
        <v>45766</v>
      </c>
      <c r="B1937" s="146" t="n">
        <v>0.999888</v>
      </c>
      <c r="C1937" s="179" t="n">
        <v>60899531624</v>
      </c>
      <c r="D1937" s="179" t="n">
        <v>60906367957</v>
      </c>
      <c r="E1937" s="146" t="n">
        <v>0.999846</v>
      </c>
      <c r="F1937" s="179" t="n">
        <v>144773493164</v>
      </c>
      <c r="G1937" s="179" t="n">
        <v>144795857665</v>
      </c>
      <c r="H1937" s="179">
        <f>IFERROR(D1937+G1937,D1937)</f>
        <v/>
      </c>
      <c r="I1937" s="184">
        <f>IFERROR(D1937/H1937,"")</f>
        <v/>
      </c>
      <c r="J1937" s="179" t="n">
        <v>12181273591</v>
      </c>
      <c r="K1937" s="179" t="n">
        <v>24362547183</v>
      </c>
      <c r="L1937" s="179" t="n">
        <v>36543820774</v>
      </c>
    </row>
    <row r="1938" ht="15" customHeight="1" s="95">
      <c r="A1938" s="143" t="n">
        <v>45767</v>
      </c>
      <c r="B1938" s="146" t="n">
        <v>0.999906</v>
      </c>
      <c r="C1938" s="179" t="n">
        <v>60905279546</v>
      </c>
      <c r="D1938" s="179" t="n">
        <v>60911009357</v>
      </c>
      <c r="E1938" s="146" t="n">
        <v>0.999908</v>
      </c>
      <c r="F1938" s="179" t="n">
        <v>144626535181</v>
      </c>
      <c r="G1938" s="179" t="n">
        <v>144639789403</v>
      </c>
      <c r="H1938" s="179">
        <f>IFERROR(D1938+G1938,D1938)</f>
        <v/>
      </c>
      <c r="I1938" s="184">
        <f>IFERROR(D1938/H1938,"")</f>
        <v/>
      </c>
      <c r="J1938" s="179" t="n">
        <v>12182201871</v>
      </c>
      <c r="K1938" s="179" t="n">
        <v>24364403743</v>
      </c>
      <c r="L1938" s="179" t="n">
        <v>36546605614</v>
      </c>
    </row>
    <row r="1939" ht="15" customHeight="1" s="95">
      <c r="A1939" s="143" t="n">
        <v>45768</v>
      </c>
      <c r="B1939" s="146" t="n">
        <v>0.999994</v>
      </c>
      <c r="C1939" s="179" t="n">
        <v>60912555306</v>
      </c>
      <c r="D1939" s="179" t="n">
        <v>60912937339</v>
      </c>
      <c r="E1939" s="146" t="n">
        <v>0.999976</v>
      </c>
      <c r="F1939" s="179" t="n">
        <v>144636655192</v>
      </c>
      <c r="G1939" s="179" t="n">
        <v>144640112843</v>
      </c>
      <c r="H1939" s="179">
        <f>IFERROR(D1939+G1939,D1939)</f>
        <v/>
      </c>
      <c r="I1939" s="184">
        <f>IFERROR(D1939/H1939,"")</f>
        <v/>
      </c>
      <c r="J1939" s="179" t="n">
        <v>12182587468</v>
      </c>
      <c r="K1939" s="179" t="n">
        <v>24365174936</v>
      </c>
      <c r="L1939" s="179" t="n">
        <v>36547762403</v>
      </c>
    </row>
    <row r="1940" ht="15" customHeight="1" s="95">
      <c r="A1940" s="143" t="n">
        <v>45769</v>
      </c>
      <c r="B1940" s="146" t="n">
        <v>0.99993</v>
      </c>
      <c r="C1940" s="179" t="n">
        <v>60928832833</v>
      </c>
      <c r="D1940" s="179" t="n">
        <v>60933126984</v>
      </c>
      <c r="E1940" s="146" t="n">
        <v>1.00001</v>
      </c>
      <c r="F1940" s="179" t="n">
        <v>144628467100</v>
      </c>
      <c r="G1940" s="179" t="n">
        <v>144627070536</v>
      </c>
      <c r="H1940" s="179">
        <f>IFERROR(D1940+G1940,D1940)</f>
        <v/>
      </c>
      <c r="I1940" s="184">
        <f>IFERROR(D1940/H1940,"")</f>
        <v/>
      </c>
      <c r="J1940" s="179" t="n">
        <v>12186625397</v>
      </c>
      <c r="K1940" s="179" t="n">
        <v>24373250794</v>
      </c>
      <c r="L1940" s="179" t="n">
        <v>36559876190</v>
      </c>
    </row>
    <row r="1941" ht="15" customHeight="1" s="95">
      <c r="A1941" s="143" t="n">
        <v>45770</v>
      </c>
      <c r="B1941" s="146" t="n">
        <v>0.9999479999999999</v>
      </c>
      <c r="C1941" s="179" t="n">
        <v>61589269101</v>
      </c>
      <c r="D1941" s="179" t="n">
        <v>61592469407</v>
      </c>
      <c r="E1941" s="146" t="n">
        <v>1.00043</v>
      </c>
      <c r="F1941" s="179" t="n">
        <v>144787216371</v>
      </c>
      <c r="G1941" s="179" t="n">
        <v>144725012639</v>
      </c>
      <c r="H1941" s="179">
        <f>IFERROR(D1941+G1941,D1941)</f>
        <v/>
      </c>
      <c r="I1941" s="184">
        <f>IFERROR(D1941/H1941,"")</f>
        <v/>
      </c>
      <c r="J1941" s="179" t="n">
        <v>12318493881</v>
      </c>
      <c r="K1941" s="179" t="n">
        <v>24636987763</v>
      </c>
      <c r="L1941" s="179" t="n">
        <v>36955481644</v>
      </c>
    </row>
    <row r="1942" ht="15" customHeight="1" s="95">
      <c r="A1942" s="143" t="n">
        <v>45771</v>
      </c>
      <c r="B1942" s="146" t="n">
        <v>0.999984</v>
      </c>
      <c r="C1942" s="179" t="n">
        <v>61896921299</v>
      </c>
      <c r="D1942" s="179" t="n">
        <v>61897885411</v>
      </c>
      <c r="E1942" s="146" t="n">
        <v>1.000385</v>
      </c>
      <c r="F1942" s="179" t="n">
        <v>145334994442</v>
      </c>
      <c r="G1942" s="179" t="n">
        <v>145279022996</v>
      </c>
      <c r="H1942" s="179">
        <f>IFERROR(D1942+G1942,D1942)</f>
        <v/>
      </c>
      <c r="I1942" s="184">
        <f>IFERROR(D1942/H1942,"")</f>
        <v/>
      </c>
      <c r="J1942" s="179" t="n">
        <v>12379577082</v>
      </c>
      <c r="K1942" s="179" t="n">
        <v>24759154164</v>
      </c>
      <c r="L1942" s="179" t="n">
        <v>37138731247</v>
      </c>
    </row>
    <row r="1943" ht="15" customHeight="1" s="95">
      <c r="A1943" s="143" t="n">
        <v>45772</v>
      </c>
      <c r="B1943" s="146" t="n">
        <v>0.9999749999999999</v>
      </c>
      <c r="C1943" s="179" t="n">
        <v>62129850660</v>
      </c>
      <c r="D1943" s="179" t="n">
        <v>62131399851</v>
      </c>
      <c r="E1943" s="146" t="n">
        <v>1.000389</v>
      </c>
      <c r="F1943" s="179" t="n">
        <v>145704892662</v>
      </c>
      <c r="G1943" s="179" t="n">
        <v>145648235190</v>
      </c>
      <c r="H1943" s="179">
        <f>IFERROR(D1943+G1943,D1943)</f>
        <v/>
      </c>
      <c r="I1943" s="184">
        <f>IFERROR(D1943/H1943,"")</f>
        <v/>
      </c>
      <c r="J1943" s="179" t="n">
        <v>12426279970</v>
      </c>
      <c r="K1943" s="179" t="n">
        <v>24852559940</v>
      </c>
      <c r="L1943" s="179" t="n">
        <v>37278839911</v>
      </c>
    </row>
    <row r="1944" ht="15" customHeight="1" s="95">
      <c r="A1944" s="143" t="n">
        <v>45773</v>
      </c>
      <c r="B1944" s="146" t="n">
        <v>1</v>
      </c>
      <c r="C1944" s="179" t="n">
        <v>62325968054</v>
      </c>
      <c r="D1944" s="179" t="n">
        <v>62325996906</v>
      </c>
      <c r="E1944" s="146" t="n">
        <v>1.000611</v>
      </c>
      <c r="F1944" s="179" t="n">
        <v>146102824559</v>
      </c>
      <c r="G1944" s="179" t="n">
        <v>146013604595</v>
      </c>
      <c r="H1944" s="179">
        <f>IFERROR(D1944+G1944,D1944)</f>
        <v/>
      </c>
      <c r="I1944" s="184">
        <f>IFERROR(D1944/H1944,"")</f>
        <v/>
      </c>
      <c r="J1944" s="179" t="n">
        <v>12465199381</v>
      </c>
      <c r="K1944" s="179" t="n">
        <v>24930398762</v>
      </c>
      <c r="L1944" s="179" t="n">
        <v>37395598144</v>
      </c>
    </row>
    <row r="1945" ht="15" customHeight="1" s="95">
      <c r="A1945" s="143" t="n">
        <v>45774</v>
      </c>
      <c r="B1945" s="146" t="n">
        <v>0.999999</v>
      </c>
      <c r="C1945" s="179" t="n">
        <v>62251662906</v>
      </c>
      <c r="D1945" s="179" t="n">
        <v>62251749756</v>
      </c>
      <c r="E1945" s="146" t="n">
        <v>1.000325</v>
      </c>
      <c r="F1945" s="179" t="n">
        <v>147176227949</v>
      </c>
      <c r="G1945" s="179" t="n">
        <v>147128422062</v>
      </c>
      <c r="H1945" s="179">
        <f>IFERROR(D1945+G1945,D1945)</f>
        <v/>
      </c>
      <c r="I1945" s="184">
        <f>IFERROR(D1945/H1945,"")</f>
        <v/>
      </c>
      <c r="J1945" s="179" t="n">
        <v>12450349951</v>
      </c>
      <c r="K1945" s="179" t="n">
        <v>24900699902</v>
      </c>
      <c r="L1945" s="179" t="n">
        <v>37351049854</v>
      </c>
    </row>
    <row r="1946" ht="15" customHeight="1" s="95">
      <c r="A1946" s="143" t="n">
        <v>45775</v>
      </c>
      <c r="B1946" s="146" t="n">
        <v>0.9999</v>
      </c>
      <c r="C1946" s="179" t="n">
        <v>62076749988</v>
      </c>
      <c r="D1946" s="179" t="n">
        <v>62082961301</v>
      </c>
      <c r="E1946" s="146" t="n">
        <v>1.000334</v>
      </c>
      <c r="F1946" s="179" t="n">
        <v>147177522305</v>
      </c>
      <c r="G1946" s="179" t="n">
        <v>147128417471</v>
      </c>
      <c r="H1946" s="179">
        <f>IFERROR(D1946+G1946,D1946)</f>
        <v/>
      </c>
      <c r="I1946" s="184">
        <f>IFERROR(D1946/H1946,"")</f>
        <v/>
      </c>
      <c r="J1946" s="179" t="n">
        <v>12416592260</v>
      </c>
      <c r="K1946" s="179" t="n">
        <v>24833184520</v>
      </c>
      <c r="L1946" s="179" t="n">
        <v>37249776781</v>
      </c>
    </row>
    <row r="1947" ht="15" customHeight="1" s="95">
      <c r="A1947" s="143" t="n">
        <v>45776</v>
      </c>
      <c r="B1947" s="146" t="n">
        <v>0.99998</v>
      </c>
      <c r="C1947" s="179" t="n">
        <v>62026261648</v>
      </c>
      <c r="D1947" s="179" t="n">
        <v>62027483601</v>
      </c>
      <c r="E1947" s="146" t="n">
        <v>1.00022</v>
      </c>
      <c r="F1947" s="179" t="n">
        <v>147276031291</v>
      </c>
      <c r="G1947" s="179" t="n">
        <v>147243603910</v>
      </c>
      <c r="H1947" s="179">
        <f>IFERROR(D1947+G1947,D1947)</f>
        <v/>
      </c>
      <c r="I1947" s="184">
        <f>IFERROR(D1947/H1947,"")</f>
        <v/>
      </c>
      <c r="J1947" s="179" t="n">
        <v>12405496720</v>
      </c>
      <c r="K1947" s="179" t="n">
        <v>24810993440</v>
      </c>
      <c r="L1947" s="179" t="n">
        <v>37216490161</v>
      </c>
    </row>
    <row r="1948" ht="15" customHeight="1" s="95">
      <c r="A1948" s="143" t="n">
        <v>45777</v>
      </c>
      <c r="B1948" s="146" t="n">
        <v>0.999956</v>
      </c>
      <c r="C1948" s="179" t="n">
        <v>62142665088</v>
      </c>
      <c r="D1948" s="179" t="n">
        <v>62145420339</v>
      </c>
      <c r="E1948" s="146" t="n">
        <v>1.000271</v>
      </c>
      <c r="F1948" s="179" t="n">
        <v>148006012381</v>
      </c>
      <c r="G1948" s="179" t="n">
        <v>147965855967</v>
      </c>
      <c r="H1948" s="179">
        <f>IFERROR(D1948+G1948,D1948)</f>
        <v/>
      </c>
      <c r="I1948" s="184">
        <f>IFERROR(D1948/H1948,"")</f>
        <v/>
      </c>
      <c r="J1948" s="179" t="n">
        <v>12429084068</v>
      </c>
      <c r="K1948" s="179" t="n">
        <v>24858168136</v>
      </c>
      <c r="L1948" s="179" t="n">
        <v>37287252203</v>
      </c>
    </row>
    <row r="1949" ht="15" customHeight="1" s="95">
      <c r="A1949" s="143" t="n">
        <v>45778</v>
      </c>
      <c r="B1949" s="146" t="n">
        <v>0.999963</v>
      </c>
      <c r="C1949" s="179" t="n">
        <v>61508869555</v>
      </c>
      <c r="D1949" s="179" t="n">
        <v>61511159085</v>
      </c>
      <c r="E1949" s="146" t="n">
        <v>1.000085</v>
      </c>
      <c r="F1949" s="179" t="n">
        <v>148428458921</v>
      </c>
      <c r="G1949" s="179" t="n">
        <v>148415784739</v>
      </c>
      <c r="H1949" s="179">
        <f>IFERROR(D1949+G1949,D1949)</f>
        <v/>
      </c>
      <c r="I1949" s="184">
        <f>IFERROR(D1949/H1949,"")</f>
        <v/>
      </c>
      <c r="J1949" s="179" t="n">
        <v>12302231817</v>
      </c>
      <c r="K1949" s="179" t="n">
        <v>24604463634</v>
      </c>
      <c r="L1949" s="179" t="n">
        <v>36906695451</v>
      </c>
    </row>
    <row r="1950" ht="15" customHeight="1" s="95">
      <c r="A1950" s="143" t="n">
        <v>45779</v>
      </c>
      <c r="B1950" s="146" t="n">
        <v>0.999964</v>
      </c>
      <c r="C1950" s="179" t="n">
        <v>61469063386</v>
      </c>
      <c r="D1950" s="179" t="n">
        <v>61471305400</v>
      </c>
      <c r="E1950" s="146" t="n">
        <v>1.00029</v>
      </c>
      <c r="F1950" s="179" t="n">
        <v>148729502512</v>
      </c>
      <c r="G1950" s="179" t="n">
        <v>148686339870</v>
      </c>
      <c r="H1950" s="179">
        <f>IFERROR(D1950+G1950,D1950)</f>
        <v/>
      </c>
      <c r="I1950" s="184">
        <f>IFERROR(D1950/H1950,"")</f>
        <v/>
      </c>
      <c r="J1950" s="179" t="n">
        <v>12294261080</v>
      </c>
      <c r="K1950" s="179" t="n">
        <v>24588522160</v>
      </c>
      <c r="L1950" s="179" t="n">
        <v>36882783240</v>
      </c>
    </row>
    <row r="1951" ht="15" customHeight="1" s="95">
      <c r="A1951" s="143" t="n">
        <v>45780</v>
      </c>
      <c r="B1951" s="146" t="n">
        <v>0.9999</v>
      </c>
      <c r="C1951" s="179" t="n">
        <v>61520122153</v>
      </c>
      <c r="D1951" s="179" t="n">
        <v>61526283891</v>
      </c>
      <c r="E1951" s="146" t="n">
        <v>1.000372</v>
      </c>
      <c r="F1951" s="179" t="n">
        <v>148960089669</v>
      </c>
      <c r="G1951" s="179" t="n">
        <v>148904691455</v>
      </c>
      <c r="H1951" s="179">
        <f>IFERROR(D1951+G1951,D1951)</f>
        <v/>
      </c>
      <c r="I1951" s="184">
        <f>IFERROR(D1951/H1951,"")</f>
        <v/>
      </c>
      <c r="J1951" s="179" t="n">
        <v>12305256778</v>
      </c>
      <c r="K1951" s="179" t="n">
        <v>24610513556</v>
      </c>
      <c r="L1951" s="179" t="n">
        <v>36915770335</v>
      </c>
    </row>
    <row r="1952" ht="15" customHeight="1" s="95">
      <c r="A1952" s="143" t="n">
        <v>45781</v>
      </c>
      <c r="B1952" s="146" t="n">
        <v>0.999938</v>
      </c>
      <c r="C1952" s="179" t="n">
        <v>61504588129</v>
      </c>
      <c r="D1952" s="179" t="n">
        <v>61508417863</v>
      </c>
      <c r="E1952" s="146" t="n">
        <v>1.000229</v>
      </c>
      <c r="F1952" s="179" t="n">
        <v>149216918792</v>
      </c>
      <c r="G1952" s="179" t="n">
        <v>149182738581</v>
      </c>
      <c r="H1952" s="179">
        <f>IFERROR(D1952+G1952,D1952)</f>
        <v/>
      </c>
      <c r="I1952" s="184">
        <f>IFERROR(D1952/H1952,"")</f>
        <v/>
      </c>
      <c r="J1952" s="179" t="n">
        <v>12301683573</v>
      </c>
      <c r="K1952" s="179" t="n">
        <v>24603367145</v>
      </c>
      <c r="L1952" s="179" t="n">
        <v>36905050718</v>
      </c>
    </row>
    <row r="1953" ht="15" customHeight="1" s="95">
      <c r="A1953" s="143" t="n">
        <v>45782</v>
      </c>
      <c r="B1953" s="146" t="n">
        <v>0.9999980000000001</v>
      </c>
      <c r="C1953" s="179" t="n">
        <v>61502292587</v>
      </c>
      <c r="D1953" s="179" t="n">
        <v>61502443849</v>
      </c>
      <c r="E1953" s="146" t="n">
        <v>1.000039</v>
      </c>
      <c r="F1953" s="179" t="n">
        <v>149359909126</v>
      </c>
      <c r="G1953" s="179" t="n">
        <v>149354111226</v>
      </c>
      <c r="H1953" s="179">
        <f>IFERROR(D1953+G1953,D1953)</f>
        <v/>
      </c>
      <c r="I1953" s="184">
        <f>IFERROR(D1953/H1953,"")</f>
        <v/>
      </c>
      <c r="J1953" s="179" t="n">
        <v>12300488770</v>
      </c>
      <c r="K1953" s="179" t="n">
        <v>24600977540</v>
      </c>
      <c r="L1953" s="179" t="n">
        <v>36901466309</v>
      </c>
    </row>
    <row r="1954" ht="15" customHeight="1" s="95">
      <c r="A1954" s="143" t="n">
        <v>45783</v>
      </c>
      <c r="B1954" s="146" t="n">
        <v>0.999977</v>
      </c>
      <c r="C1954" s="179" t="n">
        <v>61786628299</v>
      </c>
      <c r="D1954" s="179" t="n">
        <v>61788029653</v>
      </c>
      <c r="E1954" s="146" t="n">
        <v>0.999918</v>
      </c>
      <c r="F1954" s="179" t="n">
        <v>149346610972</v>
      </c>
      <c r="G1954" s="179" t="n">
        <v>149358810933</v>
      </c>
      <c r="H1954" s="179">
        <f>IFERROR(D1954+G1954,D1954)</f>
        <v/>
      </c>
      <c r="I1954" s="184">
        <f>IFERROR(D1954/H1954,"")</f>
        <v/>
      </c>
      <c r="J1954" s="179" t="n">
        <v>12357605931</v>
      </c>
      <c r="K1954" s="179" t="n">
        <v>24715211861</v>
      </c>
      <c r="L1954" s="179" t="n">
        <v>37072817792</v>
      </c>
    </row>
    <row r="1955" ht="15" customHeight="1" s="95">
      <c r="A1955" s="143" t="n">
        <v>45784</v>
      </c>
      <c r="B1955" s="146" t="n">
        <v>0.999901</v>
      </c>
      <c r="C1955" s="179" t="n">
        <v>60949351180</v>
      </c>
      <c r="D1955" s="179" t="n">
        <v>60955356394</v>
      </c>
      <c r="E1955" s="146" t="n">
        <v>0.999941</v>
      </c>
      <c r="F1955" s="179" t="n">
        <v>149419951385</v>
      </c>
      <c r="G1955" s="179" t="n">
        <v>149428697298</v>
      </c>
      <c r="H1955" s="179">
        <f>IFERROR(D1955+G1955,D1955)</f>
        <v/>
      </c>
      <c r="I1955" s="184">
        <f>IFERROR(D1955/H1955,"")</f>
        <v/>
      </c>
      <c r="J1955" s="179" t="n">
        <v>12191071279</v>
      </c>
      <c r="K1955" s="179" t="n">
        <v>24382142558</v>
      </c>
      <c r="L1955" s="179" t="n">
        <v>36573213836</v>
      </c>
    </row>
    <row r="1956" ht="15" customHeight="1" s="95">
      <c r="A1956" s="143" t="n">
        <v>45785</v>
      </c>
      <c r="B1956" s="146" t="n">
        <v>0.999959</v>
      </c>
      <c r="C1956" s="179" t="n">
        <v>60947364928</v>
      </c>
      <c r="D1956" s="179" t="n">
        <v>60949841678</v>
      </c>
      <c r="E1956" s="146" t="n">
        <v>1.000181</v>
      </c>
      <c r="F1956" s="179" t="n">
        <v>149457054005</v>
      </c>
      <c r="G1956" s="179" t="n">
        <v>149429962347</v>
      </c>
      <c r="H1956" s="179">
        <f>IFERROR(D1956+G1956,D1956)</f>
        <v/>
      </c>
      <c r="I1956" s="184">
        <f>IFERROR(D1956/H1956,"")</f>
        <v/>
      </c>
      <c r="J1956" s="179" t="n">
        <v>12189968336</v>
      </c>
      <c r="K1956" s="179" t="n">
        <v>24379936671</v>
      </c>
      <c r="L1956" s="179" t="n">
        <v>36569905007</v>
      </c>
    </row>
    <row r="1957" ht="15" customHeight="1" s="95">
      <c r="A1957" s="143" t="n">
        <v>45786</v>
      </c>
      <c r="B1957" s="146" t="n">
        <v>0.999897</v>
      </c>
      <c r="C1957" s="179" t="n">
        <v>60867341067</v>
      </c>
      <c r="D1957" s="179" t="n">
        <v>60873599627</v>
      </c>
      <c r="E1957" s="146" t="n">
        <v>0.999933</v>
      </c>
      <c r="F1957" s="179" t="n">
        <v>149493872634</v>
      </c>
      <c r="G1957" s="179" t="n">
        <v>149503942299</v>
      </c>
      <c r="H1957" s="179">
        <f>IFERROR(D1957+G1957,D1957)</f>
        <v/>
      </c>
      <c r="I1957" s="184">
        <f>IFERROR(D1957/H1957,"")</f>
        <v/>
      </c>
      <c r="J1957" s="179" t="n">
        <v>12174719925</v>
      </c>
      <c r="K1957" s="179" t="n">
        <v>24349439851</v>
      </c>
      <c r="L1957" s="179" t="n">
        <v>36524159776</v>
      </c>
    </row>
    <row r="1958" ht="15" customHeight="1" s="95">
      <c r="A1958" s="143" t="n">
        <v>45787</v>
      </c>
      <c r="B1958" s="146" t="n">
        <v>0.999901</v>
      </c>
      <c r="C1958" s="179" t="n">
        <v>60689997043</v>
      </c>
      <c r="D1958" s="179" t="n">
        <v>60696029960</v>
      </c>
      <c r="E1958" s="146" t="n">
        <v>1.000067</v>
      </c>
      <c r="F1958" s="179" t="n">
        <v>149743084522</v>
      </c>
      <c r="G1958" s="179" t="n">
        <v>149732989716</v>
      </c>
      <c r="H1958" s="179">
        <f>IFERROR(D1958+G1958,D1958)</f>
        <v/>
      </c>
      <c r="I1958" s="184">
        <f>IFERROR(D1958/H1958,"")</f>
        <v/>
      </c>
      <c r="J1958" s="179" t="n">
        <v>12139205992</v>
      </c>
      <c r="K1958" s="179" t="n">
        <v>24278411984</v>
      </c>
      <c r="L1958" s="179" t="n">
        <v>36417617976</v>
      </c>
    </row>
    <row r="1959" ht="15" customHeight="1" s="95">
      <c r="A1959" s="143" t="n">
        <v>45788</v>
      </c>
      <c r="B1959" s="146" t="n">
        <v>0.9999440000000001</v>
      </c>
      <c r="C1959" s="179" t="n">
        <v>60800003218</v>
      </c>
      <c r="D1959" s="179" t="n">
        <v>60803400097</v>
      </c>
      <c r="E1959" s="146" t="n">
        <v>1.000084</v>
      </c>
      <c r="F1959" s="179" t="n">
        <v>149889745922</v>
      </c>
      <c r="G1959" s="179" t="n">
        <v>149877105522</v>
      </c>
      <c r="H1959" s="179">
        <f>IFERROR(D1959+G1959,D1959)</f>
        <v/>
      </c>
      <c r="I1959" s="184">
        <f>IFERROR(D1959/H1959,"")</f>
        <v/>
      </c>
      <c r="J1959" s="179" t="n">
        <v>12160680019</v>
      </c>
      <c r="K1959" s="179" t="n">
        <v>24321360039</v>
      </c>
      <c r="L1959" s="179" t="n">
        <v>36482040058</v>
      </c>
    </row>
    <row r="1960" ht="15" customHeight="1" s="95">
      <c r="A1960" s="143" t="n">
        <v>45789</v>
      </c>
      <c r="B1960" s="146" t="n">
        <v>0.999997</v>
      </c>
      <c r="C1960" s="179" t="n">
        <v>60801300532</v>
      </c>
      <c r="D1960" s="179" t="n">
        <v>60801475192</v>
      </c>
      <c r="E1960" s="146" t="n">
        <v>1.000189</v>
      </c>
      <c r="F1960" s="179" t="n">
        <v>149905101863</v>
      </c>
      <c r="G1960" s="179" t="n">
        <v>149876781142</v>
      </c>
      <c r="H1960" s="179">
        <f>IFERROR(D1960+G1960,D1960)</f>
        <v/>
      </c>
      <c r="I1960" s="184">
        <f>IFERROR(D1960/H1960,"")</f>
        <v/>
      </c>
      <c r="J1960" s="179" t="n">
        <v>12160295038</v>
      </c>
      <c r="K1960" s="179" t="n">
        <v>24320590077</v>
      </c>
      <c r="L1960" s="179" t="n">
        <v>36480885115</v>
      </c>
    </row>
    <row r="1961" ht="15" customHeight="1" s="95">
      <c r="A1961" s="143" t="n">
        <v>45790</v>
      </c>
      <c r="B1961" s="146" t="n">
        <v>0.999976</v>
      </c>
      <c r="C1961" s="179" t="n">
        <v>60886438189</v>
      </c>
      <c r="D1961" s="179" t="n">
        <v>60887880768</v>
      </c>
      <c r="E1961" s="146" t="n">
        <v>1.000036</v>
      </c>
      <c r="F1961" s="179" t="n">
        <v>150062819973</v>
      </c>
      <c r="G1961" s="179" t="n">
        <v>150057377161</v>
      </c>
      <c r="H1961" s="179">
        <f>IFERROR(D1961+G1961,D1961)</f>
        <v/>
      </c>
      <c r="I1961" s="184">
        <f>IFERROR(D1961/H1961,"")</f>
        <v/>
      </c>
      <c r="J1961" s="179" t="n">
        <v>12177576154</v>
      </c>
      <c r="K1961" s="179" t="n">
        <v>24355152307</v>
      </c>
      <c r="L1961" s="179" t="n">
        <v>36532728461</v>
      </c>
    </row>
    <row r="1962" ht="15" customHeight="1" s="95">
      <c r="A1962" s="143" t="n">
        <v>45791</v>
      </c>
      <c r="B1962" s="146" t="n">
        <v>1.000001</v>
      </c>
      <c r="C1962" s="179" t="n">
        <v>60861380673</v>
      </c>
      <c r="D1962" s="179" t="n">
        <v>60861318726</v>
      </c>
      <c r="E1962" s="146" t="n">
        <v>1.000132</v>
      </c>
      <c r="F1962" s="179" t="n">
        <v>150076010701</v>
      </c>
      <c r="G1962" s="179" t="n">
        <v>150056200583</v>
      </c>
      <c r="H1962" s="179">
        <f>IFERROR(D1962+G1962,D1962)</f>
        <v/>
      </c>
      <c r="I1962" s="184">
        <f>IFERROR(D1962/H1962,"")</f>
        <v/>
      </c>
      <c r="J1962" s="179" t="n">
        <v>12172263745</v>
      </c>
      <c r="K1962" s="179" t="n">
        <v>24344527490</v>
      </c>
      <c r="L1962" s="179" t="n">
        <v>36516791236</v>
      </c>
    </row>
    <row r="1963" ht="15" customHeight="1" s="95">
      <c r="A1963" s="143" t="n">
        <v>45792</v>
      </c>
      <c r="B1963" s="146" t="n">
        <v>0.999949</v>
      </c>
      <c r="C1963" s="179" t="n">
        <v>60631968614</v>
      </c>
      <c r="D1963" s="179" t="n">
        <v>60635032783</v>
      </c>
      <c r="E1963" s="146" t="n">
        <v>1.000164</v>
      </c>
      <c r="F1963" s="179" t="n">
        <v>150363832522</v>
      </c>
      <c r="G1963" s="179" t="n">
        <v>150339237640</v>
      </c>
      <c r="H1963" s="179">
        <f>IFERROR(D1963+G1963,D1963)</f>
        <v/>
      </c>
      <c r="I1963" s="184">
        <f>IFERROR(D1963/H1963,"")</f>
        <v/>
      </c>
      <c r="J1963" s="179" t="n">
        <v>12127006557</v>
      </c>
      <c r="K1963" s="179" t="n">
        <v>24254013113</v>
      </c>
      <c r="L1963" s="179" t="n">
        <v>36381019670</v>
      </c>
    </row>
    <row r="1964" ht="15" customHeight="1" s="95">
      <c r="A1964" s="143" t="n">
        <v>45793</v>
      </c>
      <c r="B1964" s="146" t="n">
        <v>0.999902</v>
      </c>
      <c r="C1964" s="179" t="n">
        <v>60575195332</v>
      </c>
      <c r="D1964" s="179" t="n">
        <v>60581114225</v>
      </c>
      <c r="E1964" s="146" t="n">
        <v>1.000134</v>
      </c>
      <c r="F1964" s="179" t="n">
        <v>150686295171</v>
      </c>
      <c r="G1964" s="179" t="n">
        <v>150666167128</v>
      </c>
      <c r="H1964" s="179">
        <f>IFERROR(D1964+G1964,D1964)</f>
        <v/>
      </c>
      <c r="I1964" s="184">
        <f>IFERROR(D1964/H1964,"")</f>
        <v/>
      </c>
      <c r="J1964" s="179" t="n">
        <v>12116222845</v>
      </c>
      <c r="K1964" s="179" t="n">
        <v>24232445690</v>
      </c>
      <c r="L1964" s="179" t="n">
        <v>36348668535</v>
      </c>
    </row>
    <row r="1965" ht="15" customHeight="1" s="95">
      <c r="A1965" s="143" t="n">
        <v>45794</v>
      </c>
      <c r="B1965" s="146" t="n">
        <v>0.999901</v>
      </c>
      <c r="C1965" s="179" t="n">
        <v>60805371271</v>
      </c>
      <c r="D1965" s="179" t="n">
        <v>60811408238</v>
      </c>
      <c r="E1965" s="146" t="n">
        <v>1.000215</v>
      </c>
      <c r="F1965" s="179" t="n">
        <v>151086450912</v>
      </c>
      <c r="G1965" s="179" t="n">
        <v>151053901244</v>
      </c>
      <c r="H1965" s="179">
        <f>IFERROR(D1965+G1965,D1965)</f>
        <v/>
      </c>
      <c r="I1965" s="184">
        <f>IFERROR(D1965/H1965,"")</f>
        <v/>
      </c>
      <c r="J1965" s="179" t="n">
        <v>12162281648</v>
      </c>
      <c r="K1965" s="179" t="n">
        <v>24324563295</v>
      </c>
      <c r="L1965" s="179" t="n">
        <v>36486844943</v>
      </c>
    </row>
    <row r="1966" ht="15" customHeight="1" s="95">
      <c r="A1966" s="143" t="n">
        <v>45795</v>
      </c>
      <c r="B1966" s="146" t="n">
        <v>0.9999</v>
      </c>
      <c r="C1966" s="179" t="n">
        <v>60894170790</v>
      </c>
      <c r="D1966" s="179" t="n">
        <v>60900281501</v>
      </c>
      <c r="E1966" s="146" t="n">
        <v>1.000303</v>
      </c>
      <c r="F1966" s="179" t="n">
        <v>151256967601</v>
      </c>
      <c r="G1966" s="179" t="n">
        <v>151211085032</v>
      </c>
      <c r="H1966" s="179">
        <f>IFERROR(D1966+G1966,D1966)</f>
        <v/>
      </c>
      <c r="I1966" s="184">
        <f>IFERROR(D1966/H1966,"")</f>
        <v/>
      </c>
      <c r="J1966" s="179" t="n">
        <v>12180056300</v>
      </c>
      <c r="K1966" s="179" t="n">
        <v>24360112600</v>
      </c>
      <c r="L1966" s="179" t="n">
        <v>36540168901</v>
      </c>
    </row>
    <row r="1967" ht="15" customHeight="1" s="95">
      <c r="A1967" s="143" t="n">
        <v>45796</v>
      </c>
      <c r="B1967" s="146" t="n">
        <v>0.999867</v>
      </c>
      <c r="C1967" s="179" t="n">
        <v>60855229769</v>
      </c>
      <c r="D1967" s="179" t="n">
        <v>60863310549</v>
      </c>
      <c r="E1967" s="146" t="n">
        <v>1.00031</v>
      </c>
      <c r="F1967" s="179" t="n">
        <v>151335913569</v>
      </c>
      <c r="G1967" s="179" t="n">
        <v>151289009801</v>
      </c>
      <c r="H1967" s="179">
        <f>IFERROR(D1967+G1967,D1967)</f>
        <v/>
      </c>
      <c r="I1967" s="184">
        <f>IFERROR(D1967/H1967,"")</f>
        <v/>
      </c>
      <c r="J1967" s="179" t="n">
        <v>12172662110</v>
      </c>
      <c r="K1967" s="179" t="n">
        <v>24345324220</v>
      </c>
      <c r="L1967" s="179" t="n">
        <v>36517986329</v>
      </c>
    </row>
    <row r="1968" ht="15" customHeight="1" s="95">
      <c r="A1968" s="143" t="n">
        <v>45797</v>
      </c>
      <c r="B1968" s="146" t="n">
        <v>0.999858</v>
      </c>
      <c r="C1968" s="179" t="n">
        <v>60617499885</v>
      </c>
      <c r="D1968" s="179" t="n">
        <v>60626108132</v>
      </c>
      <c r="E1968" s="146" t="n">
        <v>1.000258</v>
      </c>
      <c r="F1968" s="179" t="n">
        <v>151397243586</v>
      </c>
      <c r="G1968" s="179" t="n">
        <v>151358186426</v>
      </c>
      <c r="H1968" s="179">
        <f>IFERROR(D1968+G1968,D1968)</f>
        <v/>
      </c>
      <c r="I1968" s="184">
        <f>IFERROR(D1968/H1968,"")</f>
        <v/>
      </c>
      <c r="J1968" s="179" t="n">
        <v>12125221626</v>
      </c>
      <c r="K1968" s="179" t="n">
        <v>24250443253</v>
      </c>
      <c r="L1968" s="179" t="n">
        <v>36375664879</v>
      </c>
    </row>
    <row r="1969" ht="15" customHeight="1" s="95">
      <c r="A1969" s="143" t="n">
        <v>45798</v>
      </c>
      <c r="B1969" s="146" t="n">
        <v>0.999833</v>
      </c>
      <c r="C1969" s="179" t="n">
        <v>60660002910</v>
      </c>
      <c r="D1969" s="179" t="n">
        <v>60670116186</v>
      </c>
      <c r="E1969" s="146" t="n">
        <v>1.000256</v>
      </c>
      <c r="F1969" s="179" t="n">
        <v>151623683545</v>
      </c>
      <c r="G1969" s="179" t="n">
        <v>151584910494</v>
      </c>
      <c r="H1969" s="179">
        <f>IFERROR(D1969+G1969,D1969)</f>
        <v/>
      </c>
      <c r="I1969" s="184">
        <f>IFERROR(D1969/H1969,"")</f>
        <v/>
      </c>
      <c r="J1969" s="179" t="n">
        <v>12134023237</v>
      </c>
      <c r="K1969" s="179" t="n">
        <v>24268046474</v>
      </c>
      <c r="L1969" s="179" t="n">
        <v>36402069712</v>
      </c>
    </row>
    <row r="1970" ht="15" customHeight="1" s="95">
      <c r="A1970" s="143" t="n">
        <v>45799</v>
      </c>
      <c r="B1970" s="146" t="n">
        <v>0.999775</v>
      </c>
      <c r="C1970" s="179" t="n">
        <v>61178036077</v>
      </c>
      <c r="D1970" s="179" t="n">
        <v>61191778688</v>
      </c>
      <c r="E1970" s="146" t="n">
        <v>1.000363</v>
      </c>
      <c r="F1970" s="179" t="n">
        <v>151965145889</v>
      </c>
      <c r="G1970" s="179" t="n">
        <v>151909999612</v>
      </c>
      <c r="H1970" s="179">
        <f>IFERROR(D1970+G1970,D1970)</f>
        <v/>
      </c>
      <c r="I1970" s="184">
        <f>IFERROR(D1970/H1970,"")</f>
        <v/>
      </c>
      <c r="J1970" s="179" t="n">
        <v>12238355738</v>
      </c>
      <c r="K1970" s="179" t="n">
        <v>24476711475</v>
      </c>
      <c r="L1970" s="179" t="n">
        <v>36715067213</v>
      </c>
    </row>
    <row r="1971" ht="15" customHeight="1" s="95">
      <c r="A1971" s="143" t="n">
        <v>45800</v>
      </c>
      <c r="B1971" s="146" t="n">
        <v>0.999783</v>
      </c>
      <c r="C1971" s="179" t="n">
        <v>61212203672</v>
      </c>
      <c r="D1971" s="179" t="n">
        <v>61225472266</v>
      </c>
      <c r="E1971" s="146" t="n">
        <v>1.000186</v>
      </c>
      <c r="F1971" s="179" t="n">
        <v>152429358067</v>
      </c>
      <c r="G1971" s="179" t="n">
        <v>152400992882</v>
      </c>
      <c r="H1971" s="179">
        <f>IFERROR(D1971+G1971,D1971)</f>
        <v/>
      </c>
      <c r="I1971" s="184">
        <f>IFERROR(D1971/H1971,"")</f>
        <v/>
      </c>
      <c r="J1971" s="179" t="n">
        <v>12245094453</v>
      </c>
      <c r="K1971" s="179" t="n">
        <v>24490188906</v>
      </c>
      <c r="L1971" s="179" t="n">
        <v>36735283360</v>
      </c>
    </row>
    <row r="1972" ht="15" customHeight="1" s="95">
      <c r="A1972" s="143" t="n">
        <v>45801</v>
      </c>
      <c r="B1972" s="146" t="n">
        <v>0.999761</v>
      </c>
      <c r="C1972" s="179" t="n">
        <v>61723721871</v>
      </c>
      <c r="D1972" s="179" t="n">
        <v>61738464280</v>
      </c>
      <c r="E1972" s="146" t="n">
        <v>1.000092</v>
      </c>
      <c r="F1972" s="179" t="n">
        <v>152504474726</v>
      </c>
      <c r="G1972" s="179" t="n">
        <v>152490434012</v>
      </c>
      <c r="H1972" s="179">
        <f>IFERROR(D1972+G1972,D1972)</f>
        <v/>
      </c>
      <c r="I1972" s="184">
        <f>IFERROR(D1972/H1972,"")</f>
        <v/>
      </c>
      <c r="J1972" s="179" t="n">
        <v>12347692856</v>
      </c>
      <c r="K1972" s="179" t="n">
        <v>24695385712</v>
      </c>
      <c r="L1972" s="179" t="n">
        <v>37043078568</v>
      </c>
    </row>
    <row r="1973" ht="15" customHeight="1" s="95">
      <c r="A1973" s="143" t="n">
        <v>45802</v>
      </c>
      <c r="B1973" s="146" t="n">
        <v>0.999799</v>
      </c>
      <c r="C1973" s="179" t="n">
        <v>61721143708</v>
      </c>
      <c r="D1973" s="179" t="n">
        <v>61733581691</v>
      </c>
      <c r="E1973" s="146" t="n">
        <v>1.000202</v>
      </c>
      <c r="F1973" s="179" t="n">
        <v>152731781250</v>
      </c>
      <c r="G1973" s="179" t="n">
        <v>152700893432</v>
      </c>
      <c r="H1973" s="179">
        <f>IFERROR(D1973+G1973,D1973)</f>
        <v/>
      </c>
      <c r="I1973" s="184">
        <f>IFERROR(D1973/H1973,"")</f>
        <v/>
      </c>
      <c r="J1973" s="179" t="n">
        <v>12346716338</v>
      </c>
      <c r="K1973" s="179" t="n">
        <v>24693432676</v>
      </c>
      <c r="L1973" s="179" t="n">
        <v>37040149015</v>
      </c>
    </row>
    <row r="1974" ht="15" customHeight="1" s="95">
      <c r="A1974" s="143" t="n">
        <v>45803</v>
      </c>
      <c r="B1974" s="146" t="n">
        <v>0.999787</v>
      </c>
      <c r="C1974" s="179" t="n">
        <v>61701492712</v>
      </c>
      <c r="D1974" s="179" t="n">
        <v>61714627648</v>
      </c>
      <c r="E1974" s="146" t="n">
        <v>1.000342</v>
      </c>
      <c r="F1974" s="179" t="n">
        <v>152785634650</v>
      </c>
      <c r="G1974" s="179" t="n">
        <v>152733432300</v>
      </c>
      <c r="H1974" s="179">
        <f>IFERROR(D1974+G1974,D1974)</f>
        <v/>
      </c>
      <c r="I1974" s="184">
        <f>IFERROR(D1974/H1974,"")</f>
        <v/>
      </c>
      <c r="J1974" s="179" t="n">
        <v>12342925530</v>
      </c>
      <c r="K1974" s="179" t="n">
        <v>24685851059</v>
      </c>
      <c r="L1974" s="179" t="n">
        <v>37028776589</v>
      </c>
    </row>
    <row r="1975" ht="15" customHeight="1" s="95">
      <c r="A1975" s="143" t="n">
        <v>45804</v>
      </c>
      <c r="B1975" s="146" t="n">
        <v>0.999789</v>
      </c>
      <c r="C1975" s="179" t="n">
        <v>61543750452</v>
      </c>
      <c r="D1975" s="179" t="n">
        <v>61556759151</v>
      </c>
      <c r="E1975" s="146" t="n">
        <v>1.000264</v>
      </c>
      <c r="F1975" s="179" t="n">
        <v>152773329685</v>
      </c>
      <c r="G1975" s="179" t="n">
        <v>152732994200</v>
      </c>
      <c r="H1975" s="179">
        <f>IFERROR(D1975+G1975,D1975)</f>
        <v/>
      </c>
      <c r="I1975" s="184">
        <f>IFERROR(D1975/H1975,"")</f>
        <v/>
      </c>
      <c r="J1975" s="179" t="n">
        <v>12311351830</v>
      </c>
      <c r="K1975" s="179" t="n">
        <v>24622703660</v>
      </c>
      <c r="L1975" s="179" t="n">
        <v>36934055491</v>
      </c>
    </row>
    <row r="1976" ht="15" customHeight="1" s="95">
      <c r="A1976" s="143" t="n">
        <v>45805</v>
      </c>
      <c r="B1976" s="146" t="n">
        <v>0.999765</v>
      </c>
      <c r="C1976" s="179" t="n">
        <v>61392676922</v>
      </c>
      <c r="D1976" s="179" t="n">
        <v>61407132882</v>
      </c>
      <c r="E1976" s="146" t="n">
        <v>1.00042</v>
      </c>
      <c r="F1976" s="179" t="n">
        <v>152821712873</v>
      </c>
      <c r="G1976" s="179" t="n">
        <v>152757551292</v>
      </c>
      <c r="H1976" s="179">
        <f>IFERROR(D1976+G1976,D1976)</f>
        <v/>
      </c>
      <c r="I1976" s="184">
        <f>IFERROR(D1976/H1976,"")</f>
        <v/>
      </c>
      <c r="J1976" s="179" t="n">
        <v>12281426576</v>
      </c>
      <c r="K1976" s="179" t="n">
        <v>24562853153</v>
      </c>
      <c r="L1976" s="179" t="n">
        <v>36844279729</v>
      </c>
    </row>
    <row r="1977" ht="15" customHeight="1" s="95">
      <c r="A1977" s="143" t="n">
        <v>45806</v>
      </c>
      <c r="B1977" s="146" t="n">
        <v>0.999784</v>
      </c>
      <c r="C1977" s="179" t="n">
        <v>61255011415</v>
      </c>
      <c r="D1977" s="179" t="n">
        <v>61268250974</v>
      </c>
      <c r="E1977" s="146" t="n">
        <v>1.000181</v>
      </c>
      <c r="F1977" s="179" t="n">
        <v>152939615248</v>
      </c>
      <c r="G1977" s="179" t="n">
        <v>152911868063</v>
      </c>
      <c r="H1977" s="179">
        <f>IFERROR(D1977+G1977,D1977)</f>
        <v/>
      </c>
      <c r="I1977" s="184">
        <f>IFERROR(D1977/H1977,"")</f>
        <v/>
      </c>
      <c r="J1977" s="179" t="n">
        <v>12253650195</v>
      </c>
      <c r="K1977" s="179" t="n">
        <v>24507300390</v>
      </c>
      <c r="L1977" s="179" t="n">
        <v>36760950584</v>
      </c>
    </row>
    <row r="1978" ht="15" customHeight="1" s="95">
      <c r="A1978" s="143" t="n">
        <v>45807</v>
      </c>
      <c r="B1978" s="146" t="n">
        <v>0.999784</v>
      </c>
      <c r="C1978" s="179" t="n">
        <v>61116764897</v>
      </c>
      <c r="D1978" s="179" t="n">
        <v>61129950219</v>
      </c>
      <c r="E1978" s="146" t="n">
        <v>0.99995</v>
      </c>
      <c r="F1978" s="179" t="n">
        <v>153012882316</v>
      </c>
      <c r="G1978" s="179" t="n">
        <v>153020601571</v>
      </c>
      <c r="H1978" s="179">
        <f>IFERROR(D1978+G1978,D1978)</f>
        <v/>
      </c>
      <c r="I1978" s="184">
        <f>IFERROR(D1978/H1978,"")</f>
        <v/>
      </c>
      <c r="J1978" s="179" t="n">
        <v>12225990044</v>
      </c>
      <c r="K1978" s="179" t="n">
        <v>24451980088</v>
      </c>
      <c r="L1978" s="179" t="n">
        <v>36677970131</v>
      </c>
    </row>
    <row r="1979" ht="15" customHeight="1" s="95">
      <c r="A1979" s="143" t="n">
        <v>45808</v>
      </c>
      <c r="B1979" s="146" t="n">
        <v>0.999868</v>
      </c>
      <c r="C1979" s="179" t="n">
        <v>61040432498</v>
      </c>
      <c r="D1979" s="179" t="n">
        <v>61048505739</v>
      </c>
      <c r="E1979" s="146" t="n">
        <v>1.000248</v>
      </c>
      <c r="F1979" s="179" t="n">
        <v>153119221148</v>
      </c>
      <c r="G1979" s="179" t="n">
        <v>153081300594</v>
      </c>
      <c r="H1979" s="179">
        <f>IFERROR(D1979+G1979,D1979)</f>
        <v/>
      </c>
      <c r="I1979" s="184">
        <f>IFERROR(D1979/H1979,"")</f>
        <v/>
      </c>
      <c r="J1979" s="179" t="n">
        <v>12209701148</v>
      </c>
      <c r="K1979" s="179" t="n">
        <v>24419402296</v>
      </c>
      <c r="L1979" s="179" t="n">
        <v>36629103443</v>
      </c>
    </row>
    <row r="1980" ht="15" customHeight="1" s="95">
      <c r="A1980" s="143" t="n">
        <v>45809</v>
      </c>
      <c r="B1980" s="146" t="n">
        <v>0.999772</v>
      </c>
      <c r="C1980" s="179" t="n">
        <v>60965783559</v>
      </c>
      <c r="D1980" s="179" t="n">
        <v>60979711193</v>
      </c>
      <c r="E1980" s="146" t="n">
        <v>1.000326</v>
      </c>
      <c r="F1980" s="179" t="n">
        <v>153082120332</v>
      </c>
      <c r="G1980" s="179" t="n">
        <v>153032161540</v>
      </c>
      <c r="H1980" s="179">
        <f>IFERROR(D1980+G1980,D1980)</f>
        <v/>
      </c>
      <c r="I1980" s="184">
        <f>IFERROR(D1980/H1980,"")</f>
        <v/>
      </c>
      <c r="J1980" s="179" t="n">
        <v>12195942239</v>
      </c>
      <c r="K1980" s="179" t="n">
        <v>24391884477</v>
      </c>
      <c r="L1980" s="179" t="n">
        <v>36587826716</v>
      </c>
    </row>
    <row r="1981" ht="15" customHeight="1" s="95">
      <c r="A1981" s="143" t="n">
        <v>45810</v>
      </c>
      <c r="B1981" s="146" t="n">
        <v>0.999796</v>
      </c>
      <c r="C1981" s="179" t="n">
        <v>60910872304</v>
      </c>
      <c r="D1981" s="179" t="n">
        <v>60923273525</v>
      </c>
      <c r="E1981" s="146" t="n">
        <v>1.000372</v>
      </c>
      <c r="F1981" s="179" t="n">
        <v>153153034403</v>
      </c>
      <c r="G1981" s="179" t="n">
        <v>153096131314</v>
      </c>
      <c r="H1981" s="179">
        <f>IFERROR(D1981+G1981,D1981)</f>
        <v/>
      </c>
      <c r="I1981" s="184">
        <f>IFERROR(D1981/H1981,"")</f>
        <v/>
      </c>
      <c r="J1981" s="179" t="n">
        <v>12184654705</v>
      </c>
      <c r="K1981" s="179" t="n">
        <v>24369309410</v>
      </c>
      <c r="L1981" s="179" t="n">
        <v>36553964115</v>
      </c>
    </row>
    <row r="1982" ht="15" customHeight="1" s="95">
      <c r="A1982" s="143" t="n">
        <v>45811</v>
      </c>
      <c r="B1982" s="146" t="n">
        <v>0.999798</v>
      </c>
      <c r="C1982" s="179" t="n">
        <v>60931561094</v>
      </c>
      <c r="D1982" s="179" t="n">
        <v>60943877029</v>
      </c>
      <c r="E1982" s="146" t="n">
        <v>1.000385</v>
      </c>
      <c r="F1982" s="179" t="n">
        <v>153206457899</v>
      </c>
      <c r="G1982" s="179" t="n">
        <v>153147510260</v>
      </c>
      <c r="H1982" s="179">
        <f>IFERROR(D1982+G1982,D1982)</f>
        <v/>
      </c>
      <c r="I1982" s="184">
        <f>IFERROR(D1982/H1982,"")</f>
        <v/>
      </c>
      <c r="J1982" s="179" t="n">
        <v>12188775406</v>
      </c>
      <c r="K1982" s="179" t="n">
        <v>24377550812</v>
      </c>
      <c r="L1982" s="179" t="n">
        <v>36566326217</v>
      </c>
    </row>
    <row r="1983" ht="15" customHeight="1" s="95">
      <c r="A1983" s="143" t="n">
        <v>45812</v>
      </c>
      <c r="B1983" s="146" t="n">
        <v>0.9998089999999999</v>
      </c>
      <c r="C1983" s="179" t="n">
        <v>61456111625</v>
      </c>
      <c r="D1983" s="179" t="n">
        <v>61467834040</v>
      </c>
      <c r="E1983" s="146" t="n">
        <v>1.000553</v>
      </c>
      <c r="F1983" s="179" t="n">
        <v>153397794279</v>
      </c>
      <c r="G1983" s="179" t="n">
        <v>153313012076</v>
      </c>
      <c r="H1983" s="179">
        <f>IFERROR(D1983+G1983,D1983)</f>
        <v/>
      </c>
      <c r="I1983" s="184">
        <f>IFERROR(D1983/H1983,"")</f>
        <v/>
      </c>
      <c r="J1983" s="179" t="n">
        <v>12293566808</v>
      </c>
      <c r="K1983" s="179" t="n">
        <v>24587133616</v>
      </c>
      <c r="L1983" s="179" t="n">
        <v>36880700424</v>
      </c>
    </row>
    <row r="1984" ht="15" customHeight="1" s="95">
      <c r="A1984" s="143" t="n">
        <v>45813</v>
      </c>
      <c r="B1984" s="146" t="n">
        <v>0.999776</v>
      </c>
      <c r="C1984" s="179" t="n">
        <v>61503892540</v>
      </c>
      <c r="D1984" s="179" t="n">
        <v>61517690511</v>
      </c>
      <c r="E1984" s="146" t="n">
        <v>1.00042</v>
      </c>
      <c r="F1984" s="179" t="n">
        <v>153785541890</v>
      </c>
      <c r="G1984" s="179" t="n">
        <v>153720970093</v>
      </c>
      <c r="H1984" s="179">
        <f>IFERROR(D1984+G1984,D1984)</f>
        <v/>
      </c>
      <c r="I1984" s="184">
        <f>IFERROR(D1984/H1984,"")</f>
        <v/>
      </c>
      <c r="J1984" s="179" t="n">
        <v>12303538102</v>
      </c>
      <c r="K1984" s="179" t="n">
        <v>24607076204</v>
      </c>
      <c r="L1984" s="179" t="n">
        <v>36910614307</v>
      </c>
    </row>
    <row r="1985" ht="15" customHeight="1" s="95">
      <c r="A1985" s="143" t="n">
        <v>45814</v>
      </c>
      <c r="B1985" s="146" t="n">
        <v>0.999813</v>
      </c>
      <c r="C1985" s="179" t="n">
        <v>61192830801</v>
      </c>
      <c r="D1985" s="179" t="n">
        <v>61204262425</v>
      </c>
      <c r="E1985" s="146" t="n">
        <v>1.00036</v>
      </c>
      <c r="F1985" s="179" t="n">
        <v>153888799244</v>
      </c>
      <c r="G1985" s="179" t="n">
        <v>153833374587</v>
      </c>
      <c r="H1985" s="179">
        <f>IFERROR(D1985+G1985,D1985)</f>
        <v/>
      </c>
      <c r="I1985" s="184">
        <f>IFERROR(D1985/H1985,"")</f>
        <v/>
      </c>
      <c r="J1985" s="179" t="n">
        <v>12240852485</v>
      </c>
      <c r="K1985" s="179" t="n">
        <v>24481704970</v>
      </c>
      <c r="L1985" s="179" t="n">
        <v>36722557455</v>
      </c>
    </row>
    <row r="1986" ht="15" customHeight="1" s="95">
      <c r="A1986" s="143" t="n">
        <v>45815</v>
      </c>
      <c r="B1986" s="146" t="n">
        <v>0.99978</v>
      </c>
      <c r="C1986" s="179" t="n">
        <v>61108371805</v>
      </c>
      <c r="D1986" s="179" t="n">
        <v>61121835448</v>
      </c>
      <c r="E1986" s="146" t="n">
        <v>1.000651</v>
      </c>
      <c r="F1986" s="179" t="n">
        <v>154223964621</v>
      </c>
      <c r="G1986" s="179" t="n">
        <v>154123606979</v>
      </c>
      <c r="H1986" s="179">
        <f>IFERROR(D1986+G1986,D1986)</f>
        <v/>
      </c>
      <c r="I1986" s="184">
        <f>IFERROR(D1986/H1986,"")</f>
        <v/>
      </c>
      <c r="J1986" s="179" t="n">
        <v>12224367090</v>
      </c>
      <c r="K1986" s="179" t="n">
        <v>24448734179</v>
      </c>
      <c r="L1986" s="179" t="n">
        <v>36673101269</v>
      </c>
    </row>
    <row r="1987" ht="15" customHeight="1" s="95">
      <c r="A1987" s="143" t="n">
        <v>45816</v>
      </c>
      <c r="B1987" s="146" t="n">
        <v>0.999777</v>
      </c>
      <c r="C1987" s="179" t="n">
        <v>61079859748</v>
      </c>
      <c r="D1987" s="179" t="n">
        <v>61093484829</v>
      </c>
      <c r="E1987" s="146" t="n">
        <v>1.000431</v>
      </c>
      <c r="F1987" s="179" t="n">
        <v>154535435745</v>
      </c>
      <c r="G1987" s="179" t="n">
        <v>154468905869</v>
      </c>
      <c r="H1987" s="179">
        <f>IFERROR(D1987+G1987,D1987)</f>
        <v/>
      </c>
      <c r="I1987" s="184">
        <f>IFERROR(D1987/H1987,"")</f>
        <v/>
      </c>
      <c r="J1987" s="179" t="n">
        <v>12218696966</v>
      </c>
      <c r="K1987" s="179" t="n">
        <v>24437393932</v>
      </c>
      <c r="L1987" s="179" t="n">
        <v>36656090897</v>
      </c>
    </row>
    <row r="1988" ht="15" customHeight="1" s="95">
      <c r="A1988" s="143" t="n">
        <v>45817</v>
      </c>
      <c r="B1988" s="146" t="n">
        <v>0.999766</v>
      </c>
      <c r="C1988" s="179" t="n">
        <v>61069252946</v>
      </c>
      <c r="D1988" s="179" t="n">
        <v>61083558888</v>
      </c>
      <c r="E1988" s="146" t="n">
        <v>1.000347</v>
      </c>
      <c r="F1988" s="179" t="n">
        <v>154813893920</v>
      </c>
      <c r="G1988" s="179" t="n">
        <v>154760131800</v>
      </c>
      <c r="H1988" s="179">
        <f>IFERROR(D1988+G1988,D1988)</f>
        <v/>
      </c>
      <c r="I1988" s="184">
        <f>IFERROR(D1988/H1988,"")</f>
        <v/>
      </c>
      <c r="J1988" s="179" t="n">
        <v>12216711778</v>
      </c>
      <c r="K1988" s="179" t="n">
        <v>24433423555</v>
      </c>
      <c r="L1988" s="179" t="n">
        <v>36650135333</v>
      </c>
    </row>
    <row r="1989" ht="15" customHeight="1" s="95">
      <c r="A1989" s="143" t="n">
        <v>45818</v>
      </c>
      <c r="B1989" s="146" t="n">
        <v>0.999768</v>
      </c>
      <c r="C1989" s="179" t="n">
        <v>61025956000</v>
      </c>
      <c r="D1989" s="179" t="n">
        <v>61040105026</v>
      </c>
      <c r="E1989" s="146" t="n">
        <v>1.000287</v>
      </c>
      <c r="F1989" s="179" t="n">
        <v>154815100257</v>
      </c>
      <c r="G1989" s="179" t="n">
        <v>154770712720</v>
      </c>
      <c r="H1989" s="179">
        <f>IFERROR(D1989+G1989,D1989)</f>
        <v/>
      </c>
      <c r="I1989" s="184">
        <f>IFERROR(D1989/H1989,"")</f>
        <v/>
      </c>
      <c r="J1989" s="179" t="n">
        <v>12208021005</v>
      </c>
      <c r="K1989" s="179" t="n">
        <v>24416042010</v>
      </c>
      <c r="L1989" s="179" t="n">
        <v>36624063016</v>
      </c>
    </row>
    <row r="1990" ht="15" customHeight="1" s="95">
      <c r="A1990" s="143" t="n">
        <v>45819</v>
      </c>
      <c r="B1990" s="146" t="n">
        <v>0.9997819999999999</v>
      </c>
      <c r="C1990" s="179" t="n">
        <v>60981759148</v>
      </c>
      <c r="D1990" s="179" t="n">
        <v>60995064747</v>
      </c>
      <c r="E1990" s="146" t="n">
        <v>1.000065</v>
      </c>
      <c r="F1990" s="179" t="n">
        <v>155191377114</v>
      </c>
      <c r="G1990" s="179" t="n">
        <v>155181362244</v>
      </c>
      <c r="H1990" s="179">
        <f>IFERROR(D1990+G1990,D1990)</f>
        <v/>
      </c>
      <c r="I1990" s="184">
        <f>IFERROR(D1990/H1990,"")</f>
        <v/>
      </c>
      <c r="J1990" s="179" t="n">
        <v>12199012949</v>
      </c>
      <c r="K1990" s="179" t="n">
        <v>24398025899</v>
      </c>
      <c r="L1990" s="179" t="n">
        <v>36597038848</v>
      </c>
    </row>
    <row r="1991" ht="15" customHeight="1" s="95">
      <c r="A1991" s="143" t="n">
        <v>45820</v>
      </c>
      <c r="B1991" s="146" t="n">
        <v>0.999789</v>
      </c>
      <c r="C1991" s="179" t="n">
        <v>61234323266</v>
      </c>
      <c r="D1991" s="179" t="n">
        <v>61247261479</v>
      </c>
      <c r="E1991" s="146" t="n">
        <v>1.00014</v>
      </c>
      <c r="F1991" s="179" t="n">
        <v>155060034616</v>
      </c>
      <c r="G1991" s="179" t="n">
        <v>155038251861</v>
      </c>
      <c r="H1991" s="179">
        <f>IFERROR(D1991+G1991,D1991)</f>
        <v/>
      </c>
      <c r="I1991" s="184">
        <f>IFERROR(D1991/H1991,"")</f>
        <v/>
      </c>
      <c r="J1991" s="179" t="n">
        <v>12249452296</v>
      </c>
      <c r="K1991" s="179" t="n">
        <v>24498904592</v>
      </c>
      <c r="L1991" s="179" t="n">
        <v>36748356887</v>
      </c>
    </row>
    <row r="1992" ht="15" customHeight="1" s="95">
      <c r="A1992" s="143" t="n">
        <v>45821</v>
      </c>
      <c r="B1992" s="146" t="n">
        <v>0.999798</v>
      </c>
      <c r="C1992" s="179" t="n">
        <v>61083044087</v>
      </c>
      <c r="D1992" s="179" t="n">
        <v>61095400478</v>
      </c>
      <c r="E1992" s="146" t="n">
        <v>1.00027</v>
      </c>
      <c r="F1992" s="179" t="n">
        <v>155229279159</v>
      </c>
      <c r="G1992" s="179" t="n">
        <v>155187408701</v>
      </c>
      <c r="H1992" s="179">
        <f>IFERROR(D1992+G1992,D1992)</f>
        <v/>
      </c>
      <c r="I1992" s="184">
        <f>IFERROR(D1992/H1992,"")</f>
        <v/>
      </c>
      <c r="J1992" s="179" t="n">
        <v>12219080096</v>
      </c>
      <c r="K1992" s="179" t="n">
        <v>24438160191</v>
      </c>
      <c r="L1992" s="179" t="n">
        <v>36657240287</v>
      </c>
    </row>
    <row r="1993" ht="15" customHeight="1" s="95">
      <c r="A1993" s="143" t="n">
        <v>45822</v>
      </c>
      <c r="B1993" s="146" t="n">
        <v>0.999718</v>
      </c>
      <c r="C1993" s="179" t="n">
        <v>61668532113</v>
      </c>
      <c r="D1993" s="179" t="n">
        <v>61685950070</v>
      </c>
      <c r="E1993" s="146" t="n">
        <v>1.000318</v>
      </c>
      <c r="F1993" s="179" t="n">
        <v>155241505784</v>
      </c>
      <c r="G1993" s="179" t="n">
        <v>155192186960</v>
      </c>
      <c r="H1993" s="179">
        <f>IFERROR(D1993+G1993,D1993)</f>
        <v/>
      </c>
      <c r="I1993" s="184">
        <f>IFERROR(D1993/H1993,"")</f>
        <v/>
      </c>
      <c r="J1993" s="179" t="n">
        <v>12337190014</v>
      </c>
      <c r="K1993" s="179" t="n">
        <v>24674380028</v>
      </c>
      <c r="L1993" s="179" t="n">
        <v>37011570042</v>
      </c>
    </row>
    <row r="1994" ht="15" customHeight="1" s="95">
      <c r="A1994" s="143" t="n">
        <v>45823</v>
      </c>
      <c r="B1994" s="146" t="n">
        <v>0.999703</v>
      </c>
      <c r="C1994" s="179" t="n">
        <v>61655886363</v>
      </c>
      <c r="D1994" s="179" t="n">
        <v>61674193031</v>
      </c>
      <c r="E1994" s="146" t="n">
        <v>1.000301</v>
      </c>
      <c r="F1994" s="179" t="n">
        <v>155516573446</v>
      </c>
      <c r="G1994" s="179" t="n">
        <v>155469775083</v>
      </c>
      <c r="H1994" s="179">
        <f>IFERROR(D1994+G1994,D1994)</f>
        <v/>
      </c>
      <c r="I1994" s="184">
        <f>IFERROR(D1994/H1994,"")</f>
        <v/>
      </c>
      <c r="J1994" s="179" t="n">
        <v>12334838606</v>
      </c>
      <c r="K1994" s="179" t="n">
        <v>24669677212</v>
      </c>
      <c r="L1994" s="179" t="n">
        <v>37004515819</v>
      </c>
    </row>
    <row r="1995" ht="15" customHeight="1" s="95">
      <c r="A1995" s="143" t="n">
        <v>45824</v>
      </c>
      <c r="B1995" s="146" t="n">
        <v>0.999752</v>
      </c>
      <c r="C1995" s="179" t="n">
        <v>61627304085</v>
      </c>
      <c r="D1995" s="179" t="n">
        <v>61642614527</v>
      </c>
      <c r="E1995" s="146" t="n">
        <v>1.000032</v>
      </c>
      <c r="F1995" s="179" t="n">
        <v>155452141769</v>
      </c>
      <c r="G1995" s="179" t="n">
        <v>155447231618</v>
      </c>
      <c r="H1995" s="179">
        <f>IFERROR(D1995+G1995,D1995)</f>
        <v/>
      </c>
      <c r="I1995" s="184">
        <f>IFERROR(D1995/H1995,"")</f>
        <v/>
      </c>
      <c r="J1995" s="179" t="n">
        <v>12328522905</v>
      </c>
      <c r="K1995" s="179" t="n">
        <v>24657045811</v>
      </c>
      <c r="L1995" s="179" t="n">
        <v>36985568716</v>
      </c>
    </row>
    <row r="1996" ht="15" customHeight="1" s="95">
      <c r="A1996" s="143" t="n">
        <v>45825</v>
      </c>
      <c r="B1996" s="146" t="n">
        <v>0.999703</v>
      </c>
      <c r="C1996" s="179" t="n">
        <v>61627132410</v>
      </c>
      <c r="D1996" s="179" t="n">
        <v>61645456067</v>
      </c>
      <c r="E1996" s="146" t="n">
        <v>1.000367</v>
      </c>
      <c r="F1996" s="179" t="n">
        <v>155544907963</v>
      </c>
      <c r="G1996" s="179" t="n">
        <v>155487880773</v>
      </c>
      <c r="H1996" s="179">
        <f>IFERROR(D1996+G1996,D1996)</f>
        <v/>
      </c>
      <c r="I1996" s="184">
        <f>IFERROR(D1996/H1996,"")</f>
        <v/>
      </c>
      <c r="J1996" s="179" t="n">
        <v>12329091213</v>
      </c>
      <c r="K1996" s="179" t="n">
        <v>24658182427</v>
      </c>
      <c r="L1996" s="179" t="n">
        <v>36987273640</v>
      </c>
    </row>
    <row r="1997" ht="15" customHeight="1" s="95">
      <c r="A1997" s="143" t="n">
        <v>45826</v>
      </c>
      <c r="B1997" s="146" t="n">
        <v>0.999798</v>
      </c>
      <c r="C1997" s="179" t="n">
        <v>61546152285</v>
      </c>
      <c r="D1997" s="179" t="n">
        <v>61558563126</v>
      </c>
      <c r="E1997" s="146" t="n">
        <v>1.000021</v>
      </c>
      <c r="F1997" s="179" t="n">
        <v>155479539457</v>
      </c>
      <c r="G1997" s="179" t="n">
        <v>155476225903</v>
      </c>
      <c r="H1997" s="179">
        <f>IFERROR(D1997+G1997,D1997)</f>
        <v/>
      </c>
      <c r="I1997" s="184">
        <f>IFERROR(D1997/H1997,"")</f>
        <v/>
      </c>
      <c r="J1997" s="179" t="n">
        <v>12311712625</v>
      </c>
      <c r="K1997" s="179" t="n">
        <v>24623425250</v>
      </c>
      <c r="L1997" s="179" t="n">
        <v>36935137876</v>
      </c>
    </row>
    <row r="1998" ht="15" customHeight="1" s="95">
      <c r="A1998" s="143" t="n">
        <v>45827</v>
      </c>
      <c r="B1998" s="146" t="n">
        <v>0.9997819999999999</v>
      </c>
      <c r="C1998" s="179" t="n">
        <v>61509240699</v>
      </c>
      <c r="D1998" s="179" t="n">
        <v>61522669920</v>
      </c>
      <c r="E1998" s="146" t="n">
        <v>1.000154</v>
      </c>
      <c r="F1998" s="179" t="n">
        <v>155588301934</v>
      </c>
      <c r="G1998" s="179" t="n">
        <v>155564277717</v>
      </c>
      <c r="H1998" s="179">
        <f>IFERROR(D1998+G1998,D1998)</f>
        <v/>
      </c>
      <c r="I1998" s="184">
        <f>IFERROR(D1998/H1998,"")</f>
        <v/>
      </c>
      <c r="J1998" s="179" t="n">
        <v>12304533984</v>
      </c>
      <c r="K1998" s="179" t="n">
        <v>24609067968</v>
      </c>
      <c r="L1998" s="179" t="n">
        <v>36913601952</v>
      </c>
    </row>
    <row r="1999" ht="15" customHeight="1" s="95">
      <c r="A1999" s="143" t="n">
        <v>45828</v>
      </c>
      <c r="B1999" s="146" t="n">
        <v>0.999826</v>
      </c>
      <c r="C1999" s="179" t="n">
        <v>61352899060</v>
      </c>
      <c r="D1999" s="179" t="n">
        <v>61363597021</v>
      </c>
      <c r="E1999" s="146" t="n">
        <v>1.000058</v>
      </c>
      <c r="F1999" s="179" t="n">
        <v>155728724343</v>
      </c>
      <c r="G1999" s="179" t="n">
        <v>155719756687</v>
      </c>
      <c r="H1999" s="179">
        <f>IFERROR(D1999+G1999,D1999)</f>
        <v/>
      </c>
      <c r="I1999" s="184">
        <f>IFERROR(D1999/H1999,"")</f>
        <v/>
      </c>
      <c r="J1999" s="179" t="n">
        <v>12272719404</v>
      </c>
      <c r="K1999" s="179" t="n">
        <v>24545438808</v>
      </c>
      <c r="L1999" s="179" t="n">
        <v>36818158213</v>
      </c>
    </row>
    <row r="2000" ht="15" customHeight="1" s="95">
      <c r="A2000" s="143" t="n">
        <v>45829</v>
      </c>
      <c r="B2000" s="146" t="n">
        <v>0.999804</v>
      </c>
      <c r="C2000" s="179" t="n">
        <v>61254399466</v>
      </c>
      <c r="D2000" s="179" t="n">
        <v>61266407973</v>
      </c>
      <c r="E2000" s="146" t="n">
        <v>1.000017</v>
      </c>
      <c r="F2000" s="179" t="n">
        <v>155943659515</v>
      </c>
      <c r="G2000" s="179" t="n">
        <v>155941042921</v>
      </c>
      <c r="H2000" s="179">
        <f>IFERROR(D2000+G2000,D2000)</f>
        <v/>
      </c>
      <c r="I2000" s="184">
        <f>IFERROR(D2000/H2000,"")</f>
        <v/>
      </c>
      <c r="J2000" s="179" t="n">
        <v>12253281595</v>
      </c>
      <c r="K2000" s="179" t="n">
        <v>24506563189</v>
      </c>
      <c r="L2000" s="179" t="n">
        <v>36759844784</v>
      </c>
    </row>
    <row r="2001" ht="15" customHeight="1" s="95">
      <c r="A2001" s="143" t="n">
        <v>45830</v>
      </c>
      <c r="B2001" s="146" t="n">
        <v>0.999808</v>
      </c>
      <c r="C2001" s="179" t="n">
        <v>61240656839</v>
      </c>
      <c r="D2001" s="179" t="n">
        <v>61252438643</v>
      </c>
      <c r="E2001" s="146" t="n">
        <v>1.000177</v>
      </c>
      <c r="F2001" s="179" t="n">
        <v>155914735505</v>
      </c>
      <c r="G2001" s="179" t="n">
        <v>155887114364</v>
      </c>
      <c r="H2001" s="179">
        <f>IFERROR(D2001+G2001,D2001)</f>
        <v/>
      </c>
      <c r="I2001" s="184">
        <f>IFERROR(D2001/H2001,"")</f>
        <v/>
      </c>
      <c r="J2001" s="179" t="n">
        <v>12250487729</v>
      </c>
      <c r="K2001" s="179" t="n">
        <v>24500975457</v>
      </c>
      <c r="L2001" s="179" t="n">
        <v>36751463186</v>
      </c>
    </row>
    <row r="2002" ht="15" customHeight="1" s="95">
      <c r="A2002" s="143" t="n">
        <v>45831</v>
      </c>
      <c r="B2002" s="146" t="n">
        <v>0.999808</v>
      </c>
      <c r="C2002" s="179" t="n">
        <v>61250974946</v>
      </c>
      <c r="D2002" s="179" t="n">
        <v>61262750593</v>
      </c>
      <c r="E2002" s="146" t="n">
        <v>1.000176</v>
      </c>
      <c r="F2002" s="179" t="n">
        <v>155823535902</v>
      </c>
      <c r="G2002" s="179" t="n">
        <v>155796115238</v>
      </c>
      <c r="H2002" s="179">
        <f>IFERROR(D2002+G2002,D2002)</f>
        <v/>
      </c>
      <c r="I2002" s="184">
        <f>IFERROR(D2002/H2002,"")</f>
        <v/>
      </c>
      <c r="J2002" s="179" t="n">
        <v>12252550119</v>
      </c>
      <c r="K2002" s="179" t="n">
        <v>24505100237</v>
      </c>
      <c r="L2002" s="179" t="n">
        <v>36757650356</v>
      </c>
    </row>
    <row r="2003" ht="15" customHeight="1" s="95">
      <c r="A2003" s="143" t="n">
        <v>45832</v>
      </c>
      <c r="B2003" s="146" t="n">
        <v>0.999812</v>
      </c>
      <c r="C2003" s="179" t="n">
        <v>61585219083</v>
      </c>
      <c r="D2003" s="179" t="n">
        <v>61596794703</v>
      </c>
      <c r="E2003" s="146" t="n">
        <v>1.000568</v>
      </c>
      <c r="F2003" s="179" t="n">
        <v>156064607850</v>
      </c>
      <c r="G2003" s="179" t="n">
        <v>155976000097</v>
      </c>
      <c r="H2003" s="179">
        <f>IFERROR(D2003+G2003,D2003)</f>
        <v/>
      </c>
      <c r="I2003" s="184">
        <f>IFERROR(D2003/H2003,"")</f>
        <v/>
      </c>
      <c r="J2003" s="179" t="n">
        <v>12319358941</v>
      </c>
      <c r="K2003" s="179" t="n">
        <v>24638717881</v>
      </c>
      <c r="L2003" s="179" t="n">
        <v>36958076822</v>
      </c>
    </row>
    <row r="2004" ht="15" customHeight="1" s="95">
      <c r="A2004" s="143" t="n">
        <v>45833</v>
      </c>
      <c r="B2004" s="146" t="n">
        <v>0.999924</v>
      </c>
      <c r="C2004" s="179" t="n">
        <v>61904408505</v>
      </c>
      <c r="D2004" s="179" t="n">
        <v>61909104559</v>
      </c>
      <c r="E2004" s="146" t="n">
        <v>1.000418</v>
      </c>
      <c r="F2004" s="179" t="n">
        <v>156407434582</v>
      </c>
      <c r="G2004" s="179" t="n">
        <v>156342070025</v>
      </c>
      <c r="H2004" s="179">
        <f>IFERROR(D2004+G2004,D2004)</f>
        <v/>
      </c>
      <c r="I2004" s="184">
        <f>IFERROR(D2004/H2004,"")</f>
        <v/>
      </c>
      <c r="J2004" s="179" t="n">
        <v>12381820912</v>
      </c>
      <c r="K2004" s="179" t="n">
        <v>24763641824</v>
      </c>
      <c r="L2004" s="179" t="n">
        <v>37145462735</v>
      </c>
    </row>
    <row r="2005" ht="15" customHeight="1" s="95">
      <c r="A2005" s="143" t="n">
        <v>45834</v>
      </c>
      <c r="B2005" s="146" t="n">
        <v>0.999866</v>
      </c>
      <c r="C2005" s="179" t="n">
        <v>61782873643</v>
      </c>
      <c r="D2005" s="179" t="n">
        <v>61791167740</v>
      </c>
      <c r="E2005" s="146" t="n">
        <v>1.000482</v>
      </c>
      <c r="F2005" s="179" t="n">
        <v>156766999298</v>
      </c>
      <c r="G2005" s="179" t="n">
        <v>156691549298</v>
      </c>
      <c r="H2005" s="179">
        <f>IFERROR(D2005+G2005,D2005)</f>
        <v/>
      </c>
      <c r="I2005" s="184">
        <f>IFERROR(D2005/H2005,"")</f>
        <v/>
      </c>
      <c r="J2005" s="179" t="n">
        <v>12358233548</v>
      </c>
      <c r="K2005" s="179" t="n">
        <v>24716467096</v>
      </c>
      <c r="L2005" s="179" t="n">
        <v>37074700644</v>
      </c>
    </row>
    <row r="2006" ht="15" customHeight="1" s="95">
      <c r="A2006" s="143" t="n">
        <v>45835</v>
      </c>
      <c r="B2006" s="146" t="n">
        <v>0.999872</v>
      </c>
      <c r="C2006" s="179" t="n">
        <v>61706915980</v>
      </c>
      <c r="D2006" s="179" t="n">
        <v>61714840693</v>
      </c>
      <c r="E2006" s="146" t="n">
        <v>1.000347</v>
      </c>
      <c r="F2006" s="179" t="n">
        <v>157271724601</v>
      </c>
      <c r="G2006" s="179" t="n">
        <v>157217168524</v>
      </c>
      <c r="H2006" s="179">
        <f>IFERROR(D2006+G2006,D2006)</f>
        <v/>
      </c>
      <c r="I2006" s="184">
        <f>IFERROR(D2006/H2006,"")</f>
        <v/>
      </c>
      <c r="J2006" s="179" t="n">
        <v>12342968139</v>
      </c>
      <c r="K2006" s="179" t="n">
        <v>24685936277</v>
      </c>
      <c r="L2006" s="179" t="n">
        <v>37028904416</v>
      </c>
    </row>
    <row r="2007" ht="15" customHeight="1" s="95">
      <c r="A2007" s="143" t="n">
        <v>45836</v>
      </c>
      <c r="B2007" s="146" t="n">
        <v>0.9998050000000001</v>
      </c>
      <c r="C2007" s="179" t="n">
        <v>61720216218</v>
      </c>
      <c r="D2007" s="179" t="n">
        <v>61732248008</v>
      </c>
      <c r="E2007" s="146" t="n">
        <v>1.000337</v>
      </c>
      <c r="F2007" s="179" t="n">
        <v>157533488924</v>
      </c>
      <c r="G2007" s="179" t="n">
        <v>157480434093</v>
      </c>
      <c r="H2007" s="179">
        <f>IFERROR(D2007+G2007,D2007)</f>
        <v/>
      </c>
      <c r="I2007" s="184">
        <f>IFERROR(D2007/H2007,"")</f>
        <v/>
      </c>
      <c r="J2007" s="179" t="n">
        <v>12346449602</v>
      </c>
      <c r="K2007" s="179" t="n">
        <v>24692899203</v>
      </c>
      <c r="L2007" s="179" t="n">
        <v>37039348805</v>
      </c>
    </row>
    <row r="2008" ht="15" customHeight="1" s="95">
      <c r="A2008" s="143" t="n">
        <v>45837</v>
      </c>
      <c r="B2008" s="146" t="n">
        <v>0.999846</v>
      </c>
      <c r="C2008" s="179" t="n">
        <v>61708746298</v>
      </c>
      <c r="D2008" s="179" t="n">
        <v>61718221749</v>
      </c>
      <c r="E2008" s="146" t="n">
        <v>1.000275</v>
      </c>
      <c r="F2008" s="179" t="n">
        <v>157534240466</v>
      </c>
      <c r="G2008" s="179" t="n">
        <v>157490928407</v>
      </c>
      <c r="H2008" s="179">
        <f>IFERROR(D2008+G2008,D2008)</f>
        <v/>
      </c>
      <c r="I2008" s="184">
        <f>IFERROR(D2008/H2008,"")</f>
        <v/>
      </c>
      <c r="J2008" s="179" t="n">
        <v>12343644350</v>
      </c>
      <c r="K2008" s="179" t="n">
        <v>24687288700</v>
      </c>
      <c r="L2008" s="179" t="n">
        <v>37030933049</v>
      </c>
    </row>
    <row r="2009" ht="15" customHeight="1" s="95">
      <c r="A2009" s="143" t="n">
        <v>45838</v>
      </c>
      <c r="B2009" s="146" t="n">
        <v>0.9998050000000001</v>
      </c>
      <c r="C2009" s="179" t="n">
        <v>61672471232</v>
      </c>
      <c r="D2009" s="179" t="n">
        <v>61684504997</v>
      </c>
      <c r="E2009" s="146" t="n">
        <v>1.000122</v>
      </c>
      <c r="F2009" s="179" t="n">
        <v>157596199393</v>
      </c>
      <c r="G2009" s="179" t="n">
        <v>157576922482</v>
      </c>
      <c r="H2009" s="179">
        <f>IFERROR(D2009+G2009,D2009)</f>
        <v/>
      </c>
      <c r="I2009" s="184">
        <f>IFERROR(D2009/H2009,"")</f>
        <v/>
      </c>
      <c r="J2009" s="179" t="n">
        <v>12336900999</v>
      </c>
      <c r="K2009" s="179" t="n">
        <v>24673801999</v>
      </c>
      <c r="L2009" s="179" t="n">
        <v>37010702998</v>
      </c>
    </row>
    <row r="2010" ht="15" customHeight="1" s="95">
      <c r="A2010" s="143" t="n">
        <v>45839</v>
      </c>
      <c r="B2010" s="146" t="n">
        <v>0.999902</v>
      </c>
      <c r="C2010" s="179" t="n">
        <v>61486603678</v>
      </c>
      <c r="D2010" s="179" t="n">
        <v>61492603686</v>
      </c>
      <c r="E2010" s="146" t="n">
        <v>1.000208</v>
      </c>
      <c r="F2010" s="179" t="n">
        <v>157725452770</v>
      </c>
      <c r="G2010" s="179" t="n">
        <v>157692606942</v>
      </c>
      <c r="H2010" s="179">
        <f>IFERROR(D2010+G2010,D2010)</f>
        <v/>
      </c>
      <c r="I2010" s="184">
        <f>IFERROR(D2010/H2010,"")</f>
        <v/>
      </c>
      <c r="J2010" s="179" t="n">
        <v>12298520737</v>
      </c>
      <c r="K2010" s="179" t="n">
        <v>24597041474</v>
      </c>
      <c r="L2010" s="179" t="n">
        <v>36895562212</v>
      </c>
    </row>
    <row r="2011" ht="15" customHeight="1" s="95">
      <c r="A2011" s="143" t="n">
        <v>45840</v>
      </c>
      <c r="B2011" s="146" t="n">
        <v>0.999838</v>
      </c>
      <c r="C2011" s="179" t="n">
        <v>61645964432</v>
      </c>
      <c r="D2011" s="179" t="n">
        <v>61655981771</v>
      </c>
      <c r="E2011" s="146" t="n">
        <v>1.000083</v>
      </c>
      <c r="F2011" s="179" t="n">
        <v>157728281420</v>
      </c>
      <c r="G2011" s="179" t="n">
        <v>157715226218</v>
      </c>
      <c r="H2011" s="179">
        <f>IFERROR(D2011+G2011,D2011)</f>
        <v/>
      </c>
      <c r="I2011" s="184">
        <f>IFERROR(D2011/H2011,"")</f>
        <v/>
      </c>
      <c r="J2011" s="179" t="n">
        <v>12331196354</v>
      </c>
      <c r="K2011" s="179" t="n">
        <v>24662392708</v>
      </c>
      <c r="L2011" s="179" t="n">
        <v>36993589063</v>
      </c>
    </row>
    <row r="2012" ht="15" customHeight="1" s="95">
      <c r="A2012" s="143" t="n">
        <v>45841</v>
      </c>
      <c r="B2012" s="146" t="n">
        <v>0.999806</v>
      </c>
      <c r="C2012" s="179" t="n">
        <v>61785325736</v>
      </c>
      <c r="D2012" s="179" t="n">
        <v>61797332169</v>
      </c>
      <c r="E2012" s="146" t="n">
        <v>1.00033</v>
      </c>
      <c r="F2012" s="179" t="n">
        <v>157879549490</v>
      </c>
      <c r="G2012" s="179" t="n">
        <v>157827516307</v>
      </c>
      <c r="H2012" s="179">
        <f>IFERROR(D2012+G2012,D2012)</f>
        <v/>
      </c>
      <c r="I2012" s="184">
        <f>IFERROR(D2012/H2012,"")</f>
        <v/>
      </c>
      <c r="J2012" s="179" t="n">
        <v>12359466434</v>
      </c>
      <c r="K2012" s="179" t="n">
        <v>24718932868</v>
      </c>
      <c r="L2012" s="179" t="n">
        <v>37078399301</v>
      </c>
    </row>
    <row r="2013" ht="15" customHeight="1" s="95">
      <c r="A2013" s="143" t="n">
        <v>45842</v>
      </c>
      <c r="B2013" s="146" t="n">
        <v>0.999902</v>
      </c>
      <c r="C2013" s="179" t="n">
        <v>62127723751</v>
      </c>
      <c r="D2013" s="179" t="n">
        <v>62133793326</v>
      </c>
      <c r="E2013" s="146" t="n">
        <v>1.000253</v>
      </c>
      <c r="F2013" s="179" t="n">
        <v>158312598178</v>
      </c>
      <c r="G2013" s="179" t="n">
        <v>158272567383</v>
      </c>
      <c r="H2013" s="179">
        <f>IFERROR(D2013+G2013,D2013)</f>
        <v/>
      </c>
      <c r="I2013" s="184">
        <f>IFERROR(D2013/H2013,"")</f>
        <v/>
      </c>
      <c r="J2013" s="179" t="n">
        <v>12426758665</v>
      </c>
      <c r="K2013" s="179" t="n">
        <v>24853517330</v>
      </c>
      <c r="L2013" s="179" t="n">
        <v>37280275996</v>
      </c>
    </row>
    <row r="2014" ht="15" customHeight="1" s="95">
      <c r="A2014" s="143" t="n">
        <v>45843</v>
      </c>
      <c r="B2014" s="146" t="n">
        <v>0.9998050000000001</v>
      </c>
      <c r="C2014" s="179" t="n">
        <v>62138849073</v>
      </c>
      <c r="D2014" s="179" t="n">
        <v>62150966415</v>
      </c>
      <c r="E2014" s="146" t="n">
        <v>1.00021</v>
      </c>
      <c r="F2014" s="179" t="n">
        <v>158456545511</v>
      </c>
      <c r="G2014" s="179" t="n">
        <v>158423265086</v>
      </c>
      <c r="H2014" s="179">
        <f>IFERROR(D2014+G2014,D2014)</f>
        <v/>
      </c>
      <c r="I2014" s="184">
        <f>IFERROR(D2014/H2014,"")</f>
        <v/>
      </c>
      <c r="J2014" s="179" t="n">
        <v>12430193283</v>
      </c>
      <c r="K2014" s="179" t="n">
        <v>24860386566</v>
      </c>
      <c r="L2014" s="179" t="n">
        <v>37290579849</v>
      </c>
    </row>
    <row r="2015" ht="15" customHeight="1" s="95">
      <c r="A2015" s="143" t="n">
        <v>45844</v>
      </c>
      <c r="B2015" s="146" t="n">
        <v>0.999872</v>
      </c>
      <c r="C2015" s="179" t="n">
        <v>62207910534</v>
      </c>
      <c r="D2015" s="179" t="n">
        <v>62215893558</v>
      </c>
      <c r="E2015" s="146" t="n">
        <v>1.00016</v>
      </c>
      <c r="F2015" s="179" t="n">
        <v>158621120525</v>
      </c>
      <c r="G2015" s="179" t="n">
        <v>158595696320</v>
      </c>
      <c r="H2015" s="179">
        <f>IFERROR(D2015+G2015,D2015)</f>
        <v/>
      </c>
      <c r="I2015" s="184">
        <f>IFERROR(D2015/H2015,"")</f>
        <v/>
      </c>
      <c r="J2015" s="179" t="n">
        <v>12443178712</v>
      </c>
      <c r="K2015" s="179" t="n">
        <v>24886357423</v>
      </c>
      <c r="L2015" s="179" t="n">
        <v>37329536135</v>
      </c>
    </row>
    <row r="2016" ht="15" customHeight="1" s="95">
      <c r="A2016" s="143" t="n">
        <v>45845</v>
      </c>
      <c r="B2016" s="146" t="n">
        <v>0.999857</v>
      </c>
      <c r="C2016" s="179" t="n">
        <v>62222414420</v>
      </c>
      <c r="D2016" s="179" t="n">
        <v>62231321939</v>
      </c>
      <c r="E2016" s="146" t="n">
        <v>1.00005</v>
      </c>
      <c r="F2016" s="179" t="n">
        <v>158634407829</v>
      </c>
      <c r="G2016" s="179" t="n">
        <v>158626538379</v>
      </c>
      <c r="H2016" s="179">
        <f>IFERROR(D2016+G2016,D2016)</f>
        <v/>
      </c>
      <c r="I2016" s="184">
        <f>IFERROR(D2016/H2016,"")</f>
        <v/>
      </c>
      <c r="J2016" s="179" t="n">
        <v>12446264388</v>
      </c>
      <c r="K2016" s="179" t="n">
        <v>24892528776</v>
      </c>
      <c r="L2016" s="179" t="n">
        <v>37338793163</v>
      </c>
    </row>
    <row r="2017" ht="15" customHeight="1" s="95">
      <c r="A2017" s="143" t="n">
        <v>45846</v>
      </c>
      <c r="B2017" s="146" t="n">
        <v>0.999803</v>
      </c>
      <c r="C2017" s="179" t="n">
        <v>61990294822</v>
      </c>
      <c r="D2017" s="179" t="n">
        <v>62002485516</v>
      </c>
      <c r="E2017" s="146" t="n">
        <v>1.000009</v>
      </c>
      <c r="F2017" s="179" t="n">
        <v>158583008856</v>
      </c>
      <c r="G2017" s="179" t="n">
        <v>158581531561</v>
      </c>
      <c r="H2017" s="179">
        <f>IFERROR(D2017+G2017,D2017)</f>
        <v/>
      </c>
      <c r="I2017" s="184">
        <f>IFERROR(D2017/H2017,"")</f>
        <v/>
      </c>
      <c r="J2017" s="179" t="n">
        <v>12400497103</v>
      </c>
      <c r="K2017" s="179" t="n">
        <v>24800994206</v>
      </c>
      <c r="L2017" s="179" t="n">
        <v>37201491310</v>
      </c>
    </row>
    <row r="2018" ht="15" customHeight="1" s="95">
      <c r="A2018" s="143" t="n">
        <v>45847</v>
      </c>
      <c r="B2018" s="146" t="n">
        <v>0.999885</v>
      </c>
      <c r="C2018" s="179" t="n">
        <v>61957203749</v>
      </c>
      <c r="D2018" s="179" t="n">
        <v>61964321308</v>
      </c>
      <c r="E2018" s="146" t="n">
        <v>1.000114</v>
      </c>
      <c r="F2018" s="179" t="n">
        <v>158677174828</v>
      </c>
      <c r="G2018" s="179" t="n">
        <v>158659028495</v>
      </c>
      <c r="H2018" s="179">
        <f>IFERROR(D2018+G2018,D2018)</f>
        <v/>
      </c>
      <c r="I2018" s="184">
        <f>IFERROR(D2018/H2018,"")</f>
        <v/>
      </c>
      <c r="J2018" s="179" t="n">
        <v>12392864262</v>
      </c>
      <c r="K2018" s="179" t="n">
        <v>24785728523</v>
      </c>
      <c r="L2018" s="179" t="n">
        <v>37178592785</v>
      </c>
    </row>
    <row r="2019" ht="15" customHeight="1" s="95">
      <c r="A2019" s="143" t="n">
        <v>45848</v>
      </c>
      <c r="B2019" s="146" t="n">
        <v>0.9999440000000001</v>
      </c>
      <c r="C2019" s="179" t="n">
        <v>62375182383</v>
      </c>
      <c r="D2019" s="179" t="n">
        <v>62378652841</v>
      </c>
      <c r="E2019" s="146" t="n">
        <v>1.000244</v>
      </c>
      <c r="F2019" s="179" t="n">
        <v>158706387150</v>
      </c>
      <c r="G2019" s="179" t="n">
        <v>158667716627</v>
      </c>
      <c r="H2019" s="179">
        <f>IFERROR(D2019+G2019,D2019)</f>
        <v/>
      </c>
      <c r="I2019" s="184">
        <f>IFERROR(D2019/H2019,"")</f>
        <v/>
      </c>
      <c r="J2019" s="179" t="n">
        <v>12475730568</v>
      </c>
      <c r="K2019" s="179" t="n">
        <v>24951461136</v>
      </c>
      <c r="L2019" s="179" t="n">
        <v>37427191705</v>
      </c>
    </row>
    <row r="2020" ht="15" customHeight="1" s="95">
      <c r="A2020" s="143" t="n">
        <v>45849</v>
      </c>
      <c r="B2020" s="146" t="n">
        <v>0.999806</v>
      </c>
      <c r="C2020" s="179" t="n">
        <v>62830227713</v>
      </c>
      <c r="D2020" s="179" t="n">
        <v>62842407540</v>
      </c>
      <c r="E2020" s="146" t="n">
        <v>1.00002</v>
      </c>
      <c r="F2020" s="179" t="n">
        <v>158789684206</v>
      </c>
      <c r="G2020" s="179" t="n">
        <v>158786452077</v>
      </c>
      <c r="H2020" s="179">
        <f>IFERROR(D2020+G2020,D2020)</f>
        <v/>
      </c>
      <c r="I2020" s="184">
        <f>IFERROR(D2020/H2020,"")</f>
        <v/>
      </c>
      <c r="J2020" s="179" t="n">
        <v>12568481508</v>
      </c>
      <c r="K2020" s="179" t="n">
        <v>25136963016</v>
      </c>
      <c r="L2020" s="179" t="n">
        <v>37705444524</v>
      </c>
    </row>
    <row r="2021" ht="15" customHeight="1" s="95">
      <c r="A2021" s="143" t="n">
        <v>45850</v>
      </c>
      <c r="B2021" s="146" t="n">
        <v>0.9999440000000001</v>
      </c>
      <c r="C2021" s="179" t="n">
        <v>63513728765</v>
      </c>
      <c r="D2021" s="179" t="n">
        <v>63517267010</v>
      </c>
      <c r="E2021" s="146" t="n">
        <v>1.000238</v>
      </c>
      <c r="F2021" s="179" t="n">
        <v>159124450417</v>
      </c>
      <c r="G2021" s="179" t="n">
        <v>159086599310</v>
      </c>
      <c r="H2021" s="179">
        <f>IFERROR(D2021+G2021,D2021)</f>
        <v/>
      </c>
      <c r="I2021" s="184">
        <f>IFERROR(D2021/H2021,"")</f>
        <v/>
      </c>
      <c r="J2021" s="179" t="n">
        <v>12703453402</v>
      </c>
      <c r="K2021" s="179" t="n">
        <v>25406906804</v>
      </c>
      <c r="L2021" s="179" t="n">
        <v>38110360206</v>
      </c>
    </row>
    <row r="2022" ht="15" customHeight="1" s="95">
      <c r="A2022" s="143" t="n">
        <v>45851</v>
      </c>
      <c r="B2022" s="146" t="n">
        <v>0.999866</v>
      </c>
      <c r="C2022" s="179" t="n">
        <v>63624539540</v>
      </c>
      <c r="D2022" s="179" t="n">
        <v>63633072017</v>
      </c>
      <c r="E2022" s="146" t="n">
        <v>1.000219</v>
      </c>
      <c r="F2022" s="179" t="n">
        <v>159432153628</v>
      </c>
      <c r="G2022" s="179" t="n">
        <v>159397315597</v>
      </c>
      <c r="H2022" s="179">
        <f>IFERROR(D2022+G2022,D2022)</f>
        <v/>
      </c>
      <c r="I2022" s="184">
        <f>IFERROR(D2022/H2022,"")</f>
        <v/>
      </c>
      <c r="J2022" s="179" t="n">
        <v>12726614403</v>
      </c>
      <c r="K2022" s="179" t="n">
        <v>25453228807</v>
      </c>
      <c r="L2022" s="179" t="n">
        <v>38179843210</v>
      </c>
    </row>
    <row r="2023" ht="15" customHeight="1" s="95">
      <c r="A2023" s="143" t="n">
        <v>45852</v>
      </c>
      <c r="B2023" s="146" t="n">
        <v>0.999897</v>
      </c>
      <c r="C2023" s="179" t="n">
        <v>63645701670</v>
      </c>
      <c r="D2023" s="179" t="n">
        <v>63652284904</v>
      </c>
      <c r="E2023" s="146" t="n">
        <v>1.000298</v>
      </c>
      <c r="F2023" s="179" t="n">
        <v>159532935861</v>
      </c>
      <c r="G2023" s="179" t="n">
        <v>159485392071</v>
      </c>
      <c r="H2023" s="179">
        <f>IFERROR(D2023+G2023,D2023)</f>
        <v/>
      </c>
      <c r="I2023" s="184">
        <f>IFERROR(D2023/H2023,"")</f>
        <v/>
      </c>
      <c r="J2023" s="179" t="n">
        <v>12730456981</v>
      </c>
      <c r="K2023" s="179" t="n">
        <v>25460913962</v>
      </c>
      <c r="L2023" s="179" t="n">
        <v>38191370942</v>
      </c>
    </row>
    <row r="2024" ht="15" customHeight="1" s="95">
      <c r="A2024" s="143" t="n">
        <v>45853</v>
      </c>
      <c r="B2024" s="146" t="n">
        <v>0.999892</v>
      </c>
      <c r="C2024" s="179" t="n">
        <v>63390464631</v>
      </c>
      <c r="D2024" s="179" t="n">
        <v>63397311916</v>
      </c>
      <c r="E2024" s="146" t="n">
        <v>1.000119</v>
      </c>
      <c r="F2024" s="179" t="n">
        <v>159549816472</v>
      </c>
      <c r="G2024" s="179" t="n">
        <v>159530826015</v>
      </c>
      <c r="H2024" s="179">
        <f>IFERROR(D2024+G2024,D2024)</f>
        <v/>
      </c>
      <c r="I2024" s="184">
        <f>IFERROR(D2024/H2024,"")</f>
        <v/>
      </c>
      <c r="J2024" s="179" t="n">
        <v>12679462383</v>
      </c>
      <c r="K2024" s="179" t="n">
        <v>25358924766</v>
      </c>
      <c r="L2024" s="179" t="n">
        <v>38038387150</v>
      </c>
    </row>
    <row r="2025" ht="15" customHeight="1" s="95">
      <c r="A2025" s="143" t="n">
        <v>45854</v>
      </c>
      <c r="B2025" s="146" t="n">
        <v>0.999899</v>
      </c>
      <c r="C2025" s="179" t="n">
        <v>62402203816</v>
      </c>
      <c r="D2025" s="179" t="n">
        <v>62408508608</v>
      </c>
      <c r="E2025" s="146" t="n">
        <v>1.000032</v>
      </c>
      <c r="F2025" s="179" t="n">
        <v>159888845413</v>
      </c>
      <c r="G2025" s="179" t="n">
        <v>159883657585</v>
      </c>
      <c r="H2025" s="179">
        <f>IFERROR(D2025+G2025,D2025)</f>
        <v/>
      </c>
      <c r="I2025" s="184">
        <f>IFERROR(D2025/H2025,"")</f>
        <v/>
      </c>
      <c r="J2025" s="179" t="n">
        <v>12481701722</v>
      </c>
      <c r="K2025" s="179" t="n">
        <v>24963403443</v>
      </c>
      <c r="L2025" s="179" t="n">
        <v>37445105165</v>
      </c>
    </row>
    <row r="2026" ht="15" customHeight="1" s="95">
      <c r="A2026" s="143" t="n">
        <v>45855</v>
      </c>
      <c r="B2026" s="146" t="n">
        <v>0.99986</v>
      </c>
      <c r="C2026" s="179" t="n">
        <v>63483508990</v>
      </c>
      <c r="D2026" s="179" t="n">
        <v>63492415469</v>
      </c>
      <c r="E2026" s="146" t="n">
        <v>1.000413</v>
      </c>
      <c r="F2026" s="179" t="n">
        <v>160046475251</v>
      </c>
      <c r="G2026" s="179" t="n">
        <v>159980397905</v>
      </c>
      <c r="H2026" s="179">
        <f>IFERROR(D2026+G2026,D2026)</f>
        <v/>
      </c>
      <c r="I2026" s="184">
        <f>IFERROR(D2026/H2026,"")</f>
        <v/>
      </c>
      <c r="J2026" s="179" t="n">
        <v>12698483094</v>
      </c>
      <c r="K2026" s="179" t="n">
        <v>25396966188</v>
      </c>
      <c r="L2026" s="179" t="n">
        <v>38095449281</v>
      </c>
    </row>
    <row r="2027" ht="15" customHeight="1" s="95">
      <c r="A2027" s="143" t="n">
        <v>45856</v>
      </c>
      <c r="B2027" s="146" t="n">
        <v>0.999902</v>
      </c>
      <c r="C2027" s="179" t="n">
        <v>64720387308</v>
      </c>
      <c r="D2027" s="179" t="n">
        <v>64726700572</v>
      </c>
      <c r="E2027" s="146" t="n">
        <v>1.000595</v>
      </c>
      <c r="F2027" s="179" t="n">
        <v>160355259560</v>
      </c>
      <c r="G2027" s="179" t="n">
        <v>160259929137</v>
      </c>
      <c r="H2027" s="179">
        <f>IFERROR(D2027+G2027,D2027)</f>
        <v/>
      </c>
      <c r="I2027" s="184">
        <f>IFERROR(D2027/H2027,"")</f>
        <v/>
      </c>
      <c r="J2027" s="179" t="n">
        <v>12945340114</v>
      </c>
      <c r="K2027" s="179" t="n">
        <v>25890680229</v>
      </c>
      <c r="L2027" s="179" t="n">
        <v>38836020343</v>
      </c>
    </row>
    <row r="2028" ht="15" customHeight="1" s="95">
      <c r="A2028" s="143" t="n">
        <v>45857</v>
      </c>
      <c r="B2028" s="146" t="n">
        <v>0.9998320000000001</v>
      </c>
      <c r="C2028" s="179" t="n">
        <v>64791644135</v>
      </c>
      <c r="D2028" s="179" t="n">
        <v>64802539859</v>
      </c>
      <c r="E2028" s="146" t="n">
        <v>1.000512</v>
      </c>
      <c r="F2028" s="179" t="n">
        <v>160901686887</v>
      </c>
      <c r="G2028" s="179" t="n">
        <v>160819316268</v>
      </c>
      <c r="H2028" s="179">
        <f>IFERROR(D2028+G2028,D2028)</f>
        <v/>
      </c>
      <c r="I2028" s="184">
        <f>IFERROR(D2028/H2028,"")</f>
        <v/>
      </c>
      <c r="J2028" s="179" t="n">
        <v>12960507972</v>
      </c>
      <c r="K2028" s="179" t="n">
        <v>25921015944</v>
      </c>
      <c r="L2028" s="179" t="n">
        <v>38881523915</v>
      </c>
    </row>
    <row r="2029" ht="15" customHeight="1" s="95">
      <c r="A2029" s="143" t="n">
        <v>45858</v>
      </c>
      <c r="B2029" s="146" t="n">
        <v>0.999901</v>
      </c>
      <c r="C2029" s="179" t="n">
        <v>64595341290</v>
      </c>
      <c r="D2029" s="179" t="n">
        <v>64601768339</v>
      </c>
      <c r="E2029" s="146" t="n">
        <v>1.000443</v>
      </c>
      <c r="F2029" s="179" t="n">
        <v>161623516431</v>
      </c>
      <c r="G2029" s="179" t="n">
        <v>161551961498</v>
      </c>
      <c r="H2029" s="179">
        <f>IFERROR(D2029+G2029,D2029)</f>
        <v/>
      </c>
      <c r="I2029" s="184">
        <f>IFERROR(D2029/H2029,"")</f>
        <v/>
      </c>
      <c r="J2029" s="179" t="n">
        <v>12920353668</v>
      </c>
      <c r="K2029" s="179" t="n">
        <v>25840707336</v>
      </c>
      <c r="L2029" s="179" t="n">
        <v>38761061003</v>
      </c>
    </row>
    <row r="2030" ht="15" customHeight="1" s="95">
      <c r="A2030" s="143" t="n">
        <v>45859</v>
      </c>
      <c r="B2030" s="146" t="n">
        <v>0.999899</v>
      </c>
      <c r="C2030" s="179" t="n">
        <v>64467724533</v>
      </c>
      <c r="D2030" s="179" t="n">
        <v>64474224396</v>
      </c>
      <c r="E2030" s="146" t="n">
        <v>1.000398</v>
      </c>
      <c r="F2030" s="179" t="n">
        <v>161657924155</v>
      </c>
      <c r="G2030" s="179" t="n">
        <v>161593562225</v>
      </c>
      <c r="H2030" s="179">
        <f>IFERROR(D2030+G2030,D2030)</f>
        <v/>
      </c>
      <c r="I2030" s="184">
        <f>IFERROR(D2030/H2030,"")</f>
        <v/>
      </c>
      <c r="J2030" s="179" t="n">
        <v>12894844879</v>
      </c>
      <c r="K2030" s="179" t="n">
        <v>25789689758</v>
      </c>
      <c r="L2030" s="179" t="n">
        <v>38684534638</v>
      </c>
    </row>
    <row r="2031" ht="15" customHeight="1" s="95">
      <c r="A2031" s="143" t="n">
        <v>45860</v>
      </c>
      <c r="B2031" s="146" t="n">
        <v>0.999883</v>
      </c>
      <c r="C2031" s="179" t="n">
        <v>64758592638</v>
      </c>
      <c r="D2031" s="179" t="n">
        <v>64766169885</v>
      </c>
      <c r="E2031" s="146" t="n">
        <v>1.000325</v>
      </c>
      <c r="F2031" s="179" t="n">
        <v>161714313907</v>
      </c>
      <c r="G2031" s="179" t="n">
        <v>161661718717</v>
      </c>
      <c r="H2031" s="179">
        <f>IFERROR(D2031+G2031,D2031)</f>
        <v/>
      </c>
      <c r="I2031" s="184">
        <f>IFERROR(D2031/H2031,"")</f>
        <v/>
      </c>
      <c r="J2031" s="179" t="n">
        <v>12953233977</v>
      </c>
      <c r="K2031" s="179" t="n">
        <v>25906467954</v>
      </c>
      <c r="L2031" s="179" t="n">
        <v>38859701931</v>
      </c>
    </row>
    <row r="2032" ht="15" customHeight="1" s="95">
      <c r="A2032" s="143" t="n">
        <v>45861</v>
      </c>
      <c r="B2032" s="146" t="n">
        <v>0.999904</v>
      </c>
      <c r="C2032" s="179" t="n">
        <v>64754306762</v>
      </c>
      <c r="D2032" s="179" t="n">
        <v>64760552968</v>
      </c>
      <c r="E2032" s="146" t="n">
        <v>1.000368</v>
      </c>
      <c r="F2032" s="179" t="n">
        <v>161998859726</v>
      </c>
      <c r="G2032" s="179" t="n">
        <v>161939204442</v>
      </c>
      <c r="H2032" s="179">
        <f>IFERROR(D2032+G2032,D2032)</f>
        <v/>
      </c>
      <c r="I2032" s="184">
        <f>IFERROR(D2032/H2032,"")</f>
        <v/>
      </c>
      <c r="J2032" s="179" t="n">
        <v>12952110594</v>
      </c>
      <c r="K2032" s="179" t="n">
        <v>25904221187</v>
      </c>
      <c r="L2032" s="179" t="n">
        <v>38856331781</v>
      </c>
    </row>
    <row r="2033" ht="15" customHeight="1" s="95">
      <c r="A2033" s="143" t="n">
        <v>45862</v>
      </c>
      <c r="B2033" s="146" t="n">
        <v>0.999806</v>
      </c>
      <c r="C2033" s="179" t="n">
        <v>64663762024</v>
      </c>
      <c r="D2033" s="179" t="n">
        <v>64676313088</v>
      </c>
      <c r="E2033" s="146" t="n">
        <v>1.000367</v>
      </c>
      <c r="F2033" s="179" t="n">
        <v>162001064184</v>
      </c>
      <c r="G2033" s="179" t="n">
        <v>161941698232</v>
      </c>
      <c r="H2033" s="179">
        <f>IFERROR(D2033+G2033,D2033)</f>
        <v/>
      </c>
      <c r="I2033" s="184">
        <f>IFERROR(D2033/H2033,"")</f>
        <v/>
      </c>
      <c r="J2033" s="179" t="n">
        <v>12935262618</v>
      </c>
      <c r="K2033" s="179" t="n">
        <v>25870525235</v>
      </c>
      <c r="L2033" s="179" t="n">
        <v>38805787853</v>
      </c>
    </row>
    <row r="2034" ht="15" customHeight="1" s="95">
      <c r="A2034" s="143" t="n">
        <v>45863</v>
      </c>
      <c r="B2034" s="146" t="n">
        <v>0.999811</v>
      </c>
      <c r="C2034" s="179" t="n">
        <v>65119884120</v>
      </c>
      <c r="D2034" s="179" t="n">
        <v>65132203201</v>
      </c>
      <c r="E2034" s="146" t="n">
        <v>1.000405</v>
      </c>
      <c r="F2034" s="179" t="n">
        <v>162581045547</v>
      </c>
      <c r="G2034" s="179" t="n">
        <v>162515161157</v>
      </c>
      <c r="H2034" s="179">
        <f>IFERROR(D2034+G2034,D2034)</f>
        <v/>
      </c>
      <c r="I2034" s="184">
        <f>IFERROR(D2034/H2034,"")</f>
        <v/>
      </c>
      <c r="J2034" s="179" t="n">
        <v>13026440640</v>
      </c>
      <c r="K2034" s="179" t="n">
        <v>26052881280</v>
      </c>
      <c r="L2034" s="179" t="n">
        <v>39079321921</v>
      </c>
    </row>
    <row r="2035" ht="15" customHeight="1" s="95">
      <c r="A2035" s="143" t="n">
        <v>45864</v>
      </c>
      <c r="B2035" s="146" t="n">
        <v>0.999814</v>
      </c>
      <c r="C2035" s="179" t="n">
        <v>64024850565</v>
      </c>
      <c r="D2035" s="179" t="n">
        <v>64036729850</v>
      </c>
      <c r="E2035" s="146" t="n">
        <v>1.000019</v>
      </c>
      <c r="F2035" s="179" t="n">
        <v>163050890399</v>
      </c>
      <c r="G2035" s="179" t="n">
        <v>163047862048</v>
      </c>
      <c r="H2035" s="179">
        <f>IFERROR(D2035+G2035,D2035)</f>
        <v/>
      </c>
      <c r="I2035" s="184">
        <f>IFERROR(D2035/H2035,"")</f>
        <v/>
      </c>
      <c r="J2035" s="179" t="n">
        <v>12807345970</v>
      </c>
      <c r="K2035" s="179" t="n">
        <v>25614691940</v>
      </c>
      <c r="L2035" s="179" t="n">
        <v>38422037910</v>
      </c>
    </row>
    <row r="2036" ht="15" customHeight="1" s="95">
      <c r="A2036" s="143" t="n">
        <v>45865</v>
      </c>
      <c r="B2036" s="146" t="n">
        <v>0.999813</v>
      </c>
      <c r="C2036" s="179" t="n">
        <v>64270649511</v>
      </c>
      <c r="D2036" s="179" t="n">
        <v>64282669260</v>
      </c>
      <c r="E2036" s="146" t="n">
        <v>1.00023</v>
      </c>
      <c r="F2036" s="179" t="n">
        <v>163335949202</v>
      </c>
      <c r="G2036" s="179" t="n">
        <v>163298311883</v>
      </c>
      <c r="H2036" s="179">
        <f>IFERROR(D2036+G2036,D2036)</f>
        <v/>
      </c>
      <c r="I2036" s="184">
        <f>IFERROR(D2036/H2036,"")</f>
        <v/>
      </c>
      <c r="J2036" s="179" t="n">
        <v>12856533852</v>
      </c>
      <c r="K2036" s="179" t="n">
        <v>25713067704</v>
      </c>
      <c r="L2036" s="179" t="n">
        <v>38569601556</v>
      </c>
    </row>
    <row r="2037" ht="15" customHeight="1" s="95">
      <c r="A2037" s="143" t="n">
        <v>45866</v>
      </c>
      <c r="B2037" s="146" t="n">
        <v>0.999826</v>
      </c>
      <c r="C2037" s="179" t="n">
        <v>64285647872</v>
      </c>
      <c r="D2037" s="179" t="n">
        <v>64296838818</v>
      </c>
      <c r="E2037" s="146" t="n">
        <v>1.000249</v>
      </c>
      <c r="F2037" s="179" t="n">
        <v>163611552679</v>
      </c>
      <c r="G2037" s="179" t="n">
        <v>163570815040</v>
      </c>
      <c r="H2037" s="179">
        <f>IFERROR(D2037+G2037,D2037)</f>
        <v/>
      </c>
      <c r="I2037" s="184">
        <f>IFERROR(D2037/H2037,"")</f>
        <v/>
      </c>
      <c r="J2037" s="179" t="n">
        <v>12859367764</v>
      </c>
      <c r="K2037" s="179" t="n">
        <v>25718735527</v>
      </c>
      <c r="L2037" s="179" t="n">
        <v>38578103291</v>
      </c>
    </row>
    <row r="2038" ht="15" customHeight="1" s="95">
      <c r="A2038" s="143" t="n">
        <v>45867</v>
      </c>
      <c r="B2038" s="146" t="n">
        <v>0.999756</v>
      </c>
      <c r="C2038" s="179" t="n">
        <v>63880072658</v>
      </c>
      <c r="D2038" s="179" t="n">
        <v>63895638888</v>
      </c>
      <c r="E2038" s="146" t="n">
        <v>0.999939</v>
      </c>
      <c r="F2038" s="179" t="n">
        <v>163590746762</v>
      </c>
      <c r="G2038" s="179" t="n">
        <v>163600688776</v>
      </c>
      <c r="H2038" s="179">
        <f>IFERROR(D2038+G2038,D2038)</f>
        <v/>
      </c>
      <c r="I2038" s="184">
        <f>IFERROR(D2038/H2038,"")</f>
        <v/>
      </c>
      <c r="J2038" s="179" t="n">
        <v>12779127778</v>
      </c>
      <c r="K2038" s="179" t="n">
        <v>25558255555</v>
      </c>
      <c r="L2038" s="179" t="n">
        <v>38337383333</v>
      </c>
    </row>
    <row r="2039" ht="15" customHeight="1" s="95">
      <c r="A2039" s="143" t="n">
        <v>45868</v>
      </c>
      <c r="B2039" s="146" t="n">
        <v>0.999789</v>
      </c>
      <c r="C2039" s="179" t="n">
        <v>63804337172</v>
      </c>
      <c r="D2039" s="179" t="n">
        <v>63817824756</v>
      </c>
      <c r="E2039" s="146" t="n">
        <v>0.999785</v>
      </c>
      <c r="F2039" s="179" t="n">
        <v>163622824216</v>
      </c>
      <c r="G2039" s="179" t="n">
        <v>163657997987</v>
      </c>
      <c r="H2039" s="179">
        <f>IFERROR(D2039+G2039,D2039)</f>
        <v/>
      </c>
      <c r="I2039" s="184">
        <f>IFERROR(D2039/H2039,"")</f>
        <v/>
      </c>
      <c r="J2039" s="179" t="n">
        <v>12763564951</v>
      </c>
      <c r="K2039" s="179" t="n">
        <v>25527129902</v>
      </c>
      <c r="L2039" s="179" t="n">
        <v>38290694854</v>
      </c>
    </row>
    <row r="2040" ht="15" customHeight="1" s="95">
      <c r="A2040" s="143" t="n">
        <v>45869</v>
      </c>
      <c r="B2040" s="146" t="n">
        <v>0.9998280000000001</v>
      </c>
      <c r="C2040" s="179" t="n">
        <v>64003380358</v>
      </c>
      <c r="D2040" s="179" t="n">
        <v>64014396886</v>
      </c>
      <c r="E2040" s="146" t="n">
        <v>0.999902</v>
      </c>
      <c r="F2040" s="179" t="n">
        <v>163743255734</v>
      </c>
      <c r="G2040" s="179" t="n">
        <v>163759332531</v>
      </c>
      <c r="H2040" s="179">
        <f>IFERROR(D2040+G2040,D2040)</f>
        <v/>
      </c>
      <c r="I2040" s="184">
        <f>IFERROR(D2040/H2040,"")</f>
        <v/>
      </c>
      <c r="J2040" s="179" t="n">
        <v>12802879377</v>
      </c>
      <c r="K2040" s="179" t="n">
        <v>25605758754</v>
      </c>
      <c r="L2040" s="179" t="n">
        <v>38408638132</v>
      </c>
    </row>
    <row r="2041" ht="15" customHeight="1" s="95">
      <c r="A2041" s="143" t="n">
        <v>45870</v>
      </c>
      <c r="B2041" s="146" t="n">
        <v>0.999802</v>
      </c>
      <c r="C2041" s="179" t="n">
        <v>64024628286</v>
      </c>
      <c r="D2041" s="179" t="n">
        <v>64037294731</v>
      </c>
      <c r="E2041" s="146" t="n">
        <v>0.999854</v>
      </c>
      <c r="F2041" s="179" t="n">
        <v>163726923788</v>
      </c>
      <c r="G2041" s="179" t="n">
        <v>163750836596</v>
      </c>
      <c r="H2041" s="179">
        <f>IFERROR(D2041+G2041,D2041)</f>
        <v/>
      </c>
      <c r="I2041" s="184">
        <f>IFERROR(D2041/H2041,"")</f>
        <v/>
      </c>
      <c r="J2041" s="179" t="n">
        <v>12807458946</v>
      </c>
      <c r="K2041" s="179" t="n">
        <v>25614917892</v>
      </c>
      <c r="L2041" s="179" t="n">
        <v>38422376839</v>
      </c>
    </row>
    <row r="2042" ht="15" customHeight="1" s="95">
      <c r="A2042" s="143" t="n">
        <v>45871</v>
      </c>
      <c r="B2042" s="146" t="n">
        <v>0.999757</v>
      </c>
      <c r="C2042" s="179" t="n">
        <v>64250322579</v>
      </c>
      <c r="D2042" s="179" t="n">
        <v>64265908023</v>
      </c>
      <c r="E2042" s="146" t="n">
        <v>0.999557</v>
      </c>
      <c r="F2042" s="179" t="n">
        <v>163828186245</v>
      </c>
      <c r="G2042" s="179" t="n">
        <v>163900821378</v>
      </c>
      <c r="H2042" s="179">
        <f>IFERROR(D2042+G2042,D2042)</f>
        <v/>
      </c>
      <c r="I2042" s="184">
        <f>IFERROR(D2042/H2042,"")</f>
        <v/>
      </c>
      <c r="J2042" s="179" t="n">
        <v>12853181605</v>
      </c>
      <c r="K2042" s="179" t="n">
        <v>25706363209</v>
      </c>
      <c r="L2042" s="179" t="n">
        <v>38559544814</v>
      </c>
    </row>
    <row r="2043" ht="15" customHeight="1" s="95">
      <c r="A2043" s="143" t="n">
        <v>45872</v>
      </c>
      <c r="B2043" s="146" t="n">
        <v>0.999723</v>
      </c>
      <c r="C2043" s="179" t="n">
        <v>64188824575</v>
      </c>
      <c r="D2043" s="179" t="n">
        <v>64206640847</v>
      </c>
      <c r="E2043" s="146" t="n">
        <v>0.999752</v>
      </c>
      <c r="F2043" s="179" t="n">
        <v>163859964337</v>
      </c>
      <c r="G2043" s="179" t="n">
        <v>163900559091</v>
      </c>
      <c r="H2043" s="179">
        <f>IFERROR(D2043+G2043,D2043)</f>
        <v/>
      </c>
      <c r="I2043" s="184">
        <f>IFERROR(D2043/H2043,"")</f>
        <v/>
      </c>
      <c r="J2043" s="179" t="n">
        <v>12841328169</v>
      </c>
      <c r="K2043" s="179" t="n">
        <v>25682656339</v>
      </c>
      <c r="L2043" s="179" t="n">
        <v>38523984508</v>
      </c>
    </row>
    <row r="2044" ht="15" customHeight="1" s="95">
      <c r="A2044" s="143" t="n">
        <v>45873</v>
      </c>
      <c r="B2044" s="146" t="n">
        <v>0.999702</v>
      </c>
      <c r="C2044" s="179" t="n">
        <v>64165551880</v>
      </c>
      <c r="D2044" s="179" t="n">
        <v>64184682555</v>
      </c>
      <c r="E2044" s="146" t="n">
        <v>1.000027</v>
      </c>
      <c r="F2044" s="179" t="n">
        <v>163898336148</v>
      </c>
      <c r="G2044" s="179" t="n">
        <v>163893968171</v>
      </c>
      <c r="H2044" s="179">
        <f>IFERROR(D2044+G2044,D2044)</f>
        <v/>
      </c>
      <c r="I2044" s="184">
        <f>IFERROR(D2044/H2044,"")</f>
        <v/>
      </c>
      <c r="J2044" s="179" t="n">
        <v>12836936511</v>
      </c>
      <c r="K2044" s="179" t="n">
        <v>25673873022</v>
      </c>
      <c r="L2044" s="179" t="n">
        <v>38510809533</v>
      </c>
    </row>
    <row r="2045" ht="15" customHeight="1" s="95">
      <c r="A2045" s="143" t="n">
        <v>45874</v>
      </c>
      <c r="B2045" s="146" t="n">
        <v>0.999711</v>
      </c>
      <c r="C2045" s="179" t="n">
        <v>64362866856</v>
      </c>
      <c r="D2045" s="179" t="n">
        <v>64381468913</v>
      </c>
      <c r="E2045" s="146" t="n">
        <v>0.999918</v>
      </c>
      <c r="F2045" s="179" t="n">
        <v>163892973829</v>
      </c>
      <c r="G2045" s="179" t="n">
        <v>163906396561</v>
      </c>
      <c r="H2045" s="179">
        <f>IFERROR(D2045+G2045,D2045)</f>
        <v/>
      </c>
      <c r="I2045" s="184">
        <f>IFERROR(D2045/H2045,"")</f>
        <v/>
      </c>
      <c r="J2045" s="179" t="n">
        <v>12876293783</v>
      </c>
      <c r="K2045" s="179" t="n">
        <v>25752587565</v>
      </c>
      <c r="L2045" s="179" t="n">
        <v>38628881348</v>
      </c>
    </row>
    <row r="2046" ht="15" customHeight="1" s="95">
      <c r="A2046" s="143" t="n">
        <v>45875</v>
      </c>
      <c r="B2046" s="146" t="n">
        <v>0.999803</v>
      </c>
      <c r="C2046" s="179" t="n">
        <v>64571350833</v>
      </c>
      <c r="D2046" s="179" t="n">
        <v>64584102462</v>
      </c>
      <c r="E2046" s="146" t="n">
        <v>0.9999169999999999</v>
      </c>
      <c r="F2046" s="179" t="n">
        <v>163881457760</v>
      </c>
      <c r="G2046" s="179" t="n">
        <v>163895049165</v>
      </c>
      <c r="H2046" s="179">
        <f>IFERROR(D2046+G2046,D2046)</f>
        <v/>
      </c>
      <c r="I2046" s="184">
        <f>IFERROR(D2046/H2046,"")</f>
        <v/>
      </c>
      <c r="J2046" s="179" t="n">
        <v>12916820492</v>
      </c>
      <c r="K2046" s="179" t="n">
        <v>25833640985</v>
      </c>
      <c r="L2046" s="179" t="n">
        <v>38750461477</v>
      </c>
    </row>
    <row r="2047" ht="15" customHeight="1" s="95">
      <c r="A2047" s="143" t="n">
        <v>45876</v>
      </c>
      <c r="B2047" s="146" t="n">
        <v>0.9998050000000001</v>
      </c>
      <c r="C2047" s="179" t="n">
        <v>64649513857</v>
      </c>
      <c r="D2047" s="179" t="n">
        <v>64662132521</v>
      </c>
      <c r="E2047" s="146" t="n">
        <v>1.00018</v>
      </c>
      <c r="F2047" s="179" t="n">
        <v>163849751258</v>
      </c>
      <c r="G2047" s="179" t="n">
        <v>163820301057</v>
      </c>
      <c r="H2047" s="179">
        <f>IFERROR(D2047+G2047,D2047)</f>
        <v/>
      </c>
      <c r="I2047" s="184">
        <f>IFERROR(D2047/H2047,"")</f>
        <v/>
      </c>
      <c r="J2047" s="179" t="n">
        <v>12932426504</v>
      </c>
      <c r="K2047" s="179" t="n">
        <v>25864853008</v>
      </c>
      <c r="L2047" s="179" t="n">
        <v>38797279513</v>
      </c>
    </row>
    <row r="2048" ht="15" customHeight="1" s="95">
      <c r="A2048" s="143" t="n">
        <v>45877</v>
      </c>
      <c r="B2048" s="146" t="n">
        <v>0.999802</v>
      </c>
      <c r="C2048" s="179" t="n">
        <v>64762663626</v>
      </c>
      <c r="D2048" s="179" t="n">
        <v>64775494732</v>
      </c>
      <c r="E2048" s="146" t="n">
        <v>1.000139</v>
      </c>
      <c r="F2048" s="179" t="n">
        <v>164062882581</v>
      </c>
      <c r="G2048" s="179" t="n">
        <v>164040090533</v>
      </c>
      <c r="H2048" s="179">
        <f>IFERROR(D2048+G2048,D2048)</f>
        <v/>
      </c>
      <c r="I2048" s="184">
        <f>IFERROR(D2048/H2048,"")</f>
        <v/>
      </c>
      <c r="J2048" s="179" t="n">
        <v>12955098946</v>
      </c>
      <c r="K2048" s="179" t="n">
        <v>25910197893</v>
      </c>
      <c r="L2048" s="179" t="n">
        <v>38865296839</v>
      </c>
    </row>
    <row r="2049" ht="15" customHeight="1" s="95">
      <c r="A2049" s="143" t="n">
        <v>45878</v>
      </c>
      <c r="B2049" s="146" t="n">
        <v>0.999706</v>
      </c>
      <c r="C2049" s="179" t="n">
        <v>65267428113</v>
      </c>
      <c r="D2049" s="179" t="n">
        <v>65286604202</v>
      </c>
      <c r="E2049" s="146" t="n">
        <v>1.000031</v>
      </c>
      <c r="F2049" s="179" t="n">
        <v>164348036577</v>
      </c>
      <c r="G2049" s="179" t="n">
        <v>164342943220</v>
      </c>
      <c r="H2049" s="179">
        <f>IFERROR(D2049+G2049,D2049)</f>
        <v/>
      </c>
      <c r="I2049" s="184">
        <f>IFERROR(D2049/H2049,"")</f>
        <v/>
      </c>
      <c r="J2049" s="179" t="n">
        <v>13057320840</v>
      </c>
      <c r="K2049" s="179" t="n">
        <v>26114641681</v>
      </c>
      <c r="L2049" s="179" t="n">
        <v>39171962521</v>
      </c>
    </row>
    <row r="2050" ht="15" customHeight="1" s="95">
      <c r="A2050" s="143" t="n">
        <v>45879</v>
      </c>
      <c r="B2050" s="146" t="n">
        <v>0.999773</v>
      </c>
      <c r="C2050" s="179" t="n">
        <v>65279194197</v>
      </c>
      <c r="D2050" s="179" t="n">
        <v>65293993942</v>
      </c>
      <c r="E2050" s="146" t="n">
        <v>1.000169</v>
      </c>
      <c r="F2050" s="179" t="n">
        <v>164510960910</v>
      </c>
      <c r="G2050" s="179" t="n">
        <v>164483197107</v>
      </c>
      <c r="H2050" s="179">
        <f>IFERROR(D2050+G2050,D2050)</f>
        <v/>
      </c>
      <c r="I2050" s="184">
        <f>IFERROR(D2050/H2050,"")</f>
        <v/>
      </c>
      <c r="J2050" s="179" t="n">
        <v>13058798788</v>
      </c>
      <c r="K2050" s="179" t="n">
        <v>26117597577</v>
      </c>
      <c r="L2050" s="179" t="n">
        <v>39176396365</v>
      </c>
    </row>
    <row r="2051" ht="15" customHeight="1" s="95">
      <c r="A2051" s="143" t="n">
        <v>45880</v>
      </c>
      <c r="B2051" s="146" t="n">
        <v>0.999794</v>
      </c>
      <c r="C2051" s="179" t="n">
        <v>65200159668</v>
      </c>
      <c r="D2051" s="179" t="n">
        <v>65213598365</v>
      </c>
      <c r="E2051" s="146" t="n">
        <v>1.00006</v>
      </c>
      <c r="F2051" s="179" t="n">
        <v>164514579394</v>
      </c>
      <c r="G2051" s="179" t="n">
        <v>164504666494</v>
      </c>
      <c r="H2051" s="179">
        <f>IFERROR(D2051+G2051,D2051)</f>
        <v/>
      </c>
      <c r="I2051" s="184">
        <f>IFERROR(D2051/H2051,"")</f>
        <v/>
      </c>
      <c r="J2051" s="179" t="n">
        <v>13042719673</v>
      </c>
      <c r="K2051" s="179" t="n">
        <v>26085439346</v>
      </c>
      <c r="L2051" s="179" t="n">
        <v>39128159019</v>
      </c>
    </row>
    <row r="2052" ht="15" customHeight="1" s="95">
      <c r="A2052" s="143" t="n">
        <v>45881</v>
      </c>
      <c r="B2052" s="146" t="n">
        <v>0.999833</v>
      </c>
      <c r="C2052" s="179" t="n">
        <v>65582516791</v>
      </c>
      <c r="D2052" s="179" t="n">
        <v>65593438183</v>
      </c>
      <c r="E2052" s="146" t="n">
        <v>0.999983</v>
      </c>
      <c r="F2052" s="179" t="n">
        <v>164531428220</v>
      </c>
      <c r="G2052" s="179" t="n">
        <v>164534227450</v>
      </c>
      <c r="H2052" s="179">
        <f>IFERROR(D2052+G2052,D2052)</f>
        <v/>
      </c>
      <c r="I2052" s="184">
        <f>IFERROR(D2052/H2052,"")</f>
        <v/>
      </c>
      <c r="J2052" s="179" t="n">
        <v>13118687637</v>
      </c>
      <c r="K2052" s="179" t="n">
        <v>26237375273</v>
      </c>
      <c r="L2052" s="179" t="n">
        <v>39356062910</v>
      </c>
    </row>
    <row r="2053" ht="15" customHeight="1" s="95">
      <c r="A2053" s="143" t="n">
        <v>45882</v>
      </c>
      <c r="B2053" s="146" t="n">
        <v>0.99979</v>
      </c>
      <c r="C2053" s="179" t="n">
        <v>65600277949</v>
      </c>
      <c r="D2053" s="179" t="n">
        <v>65614042008</v>
      </c>
      <c r="E2053" s="146" t="n">
        <v>0.99973</v>
      </c>
      <c r="F2053" s="179" t="n">
        <v>164582366980</v>
      </c>
      <c r="G2053" s="179" t="n">
        <v>164626881255</v>
      </c>
      <c r="H2053" s="179">
        <f>IFERROR(D2053+G2053,D2053)</f>
        <v/>
      </c>
      <c r="I2053" s="184">
        <f>IFERROR(D2053/H2053,"")</f>
        <v/>
      </c>
      <c r="J2053" s="179" t="n">
        <v>13122808402</v>
      </c>
      <c r="K2053" s="179" t="n">
        <v>26245616803</v>
      </c>
      <c r="L2053" s="179" t="n">
        <v>39368425205</v>
      </c>
    </row>
    <row r="2054" ht="15" customHeight="1" s="95">
      <c r="A2054" s="143" t="n">
        <v>45883</v>
      </c>
      <c r="B2054" s="146" t="n">
        <v>0.999807</v>
      </c>
      <c r="C2054" s="179" t="n">
        <v>66411009283</v>
      </c>
      <c r="D2054" s="179" t="n">
        <v>66423802081</v>
      </c>
      <c r="E2054" s="146" t="n">
        <v>1.000244</v>
      </c>
      <c r="F2054" s="179" t="n">
        <v>165067250309</v>
      </c>
      <c r="G2054" s="179" t="n">
        <v>165026970193</v>
      </c>
      <c r="H2054" s="179">
        <f>IFERROR(D2054+G2054,D2054)</f>
        <v/>
      </c>
      <c r="I2054" s="184">
        <f>IFERROR(D2054/H2054,"")</f>
        <v/>
      </c>
      <c r="J2054" s="179" t="n">
        <v>13284760416</v>
      </c>
      <c r="K2054" s="179" t="n">
        <v>26569520832</v>
      </c>
      <c r="L2054" s="179" t="n">
        <v>39854281249</v>
      </c>
    </row>
    <row r="2055" ht="15" customHeight="1" s="95">
      <c r="A2055" s="143" t="n">
        <v>45884</v>
      </c>
      <c r="B2055" s="146" t="n">
        <v>0.999807</v>
      </c>
      <c r="C2055" s="179" t="n">
        <v>67666316828</v>
      </c>
      <c r="D2055" s="179" t="n">
        <v>67679385196</v>
      </c>
      <c r="E2055" s="146" t="n">
        <v>1.00067</v>
      </c>
      <c r="F2055" s="179" t="n">
        <v>165136555130</v>
      </c>
      <c r="G2055" s="179" t="n">
        <v>165026051744</v>
      </c>
      <c r="H2055" s="179">
        <f>IFERROR(D2055+G2055,D2055)</f>
        <v/>
      </c>
      <c r="I2055" s="184">
        <f>IFERROR(D2055/H2055,"")</f>
        <v/>
      </c>
      <c r="J2055" s="179" t="n">
        <v>13535877039</v>
      </c>
      <c r="K2055" s="179" t="n">
        <v>27071754078</v>
      </c>
      <c r="L2055" s="179" t="n">
        <v>40607631118</v>
      </c>
    </row>
    <row r="2056" ht="15" customHeight="1" s="95">
      <c r="A2056" s="143" t="n">
        <v>45885</v>
      </c>
      <c r="B2056" s="146" t="n">
        <v>0.999807</v>
      </c>
      <c r="C2056" s="179" t="n">
        <v>68162345082</v>
      </c>
      <c r="D2056" s="179" t="n">
        <v>68175536536</v>
      </c>
      <c r="E2056" s="146" t="n">
        <v>1.000653</v>
      </c>
      <c r="F2056" s="179" t="n">
        <v>165965167893</v>
      </c>
      <c r="G2056" s="179" t="n">
        <v>165856798063</v>
      </c>
      <c r="H2056" s="179">
        <f>IFERROR(D2056+G2056,D2056)</f>
        <v/>
      </c>
      <c r="I2056" s="184">
        <f>IFERROR(D2056/H2056,"")</f>
        <v/>
      </c>
      <c r="J2056" s="179" t="n">
        <v>13635107307</v>
      </c>
      <c r="K2056" s="179" t="n">
        <v>27270214614</v>
      </c>
      <c r="L2056" s="179" t="n">
        <v>40905321922</v>
      </c>
    </row>
    <row r="2057" ht="15" customHeight="1" s="95">
      <c r="A2057" s="143" t="n">
        <v>45886</v>
      </c>
      <c r="B2057" s="146" t="n">
        <v>0.999903</v>
      </c>
      <c r="C2057" s="179" t="n">
        <v>68175449428</v>
      </c>
      <c r="D2057" s="179" t="n">
        <v>68182060240</v>
      </c>
      <c r="E2057" s="146" t="n">
        <v>1.000592</v>
      </c>
      <c r="F2057" s="179" t="n">
        <v>166492984191</v>
      </c>
      <c r="G2057" s="179" t="n">
        <v>166394469462</v>
      </c>
      <c r="H2057" s="179">
        <f>IFERROR(D2057+G2057,D2057)</f>
        <v/>
      </c>
      <c r="I2057" s="184">
        <f>IFERROR(D2057/H2057,"")</f>
        <v/>
      </c>
      <c r="J2057" s="179" t="n">
        <v>13636412048</v>
      </c>
      <c r="K2057" s="179" t="n">
        <v>27272824096</v>
      </c>
      <c r="L2057" s="179" t="n">
        <v>40909236144</v>
      </c>
    </row>
    <row r="2058" ht="15" customHeight="1" s="95">
      <c r="A2058" s="143" t="n">
        <v>45887</v>
      </c>
      <c r="B2058" s="146" t="n">
        <v>0.999901</v>
      </c>
      <c r="C2058" s="179" t="n">
        <v>68158258982</v>
      </c>
      <c r="D2058" s="179" t="n">
        <v>68165035688</v>
      </c>
      <c r="E2058" s="146" t="n">
        <v>1.000641</v>
      </c>
      <c r="F2058" s="179" t="n">
        <v>166762498064</v>
      </c>
      <c r="G2058" s="179" t="n">
        <v>166655669577</v>
      </c>
      <c r="H2058" s="179">
        <f>IFERROR(D2058+G2058,D2058)</f>
        <v/>
      </c>
      <c r="I2058" s="184">
        <f>IFERROR(D2058/H2058,"")</f>
        <v/>
      </c>
      <c r="J2058" s="179" t="n">
        <v>13633007138</v>
      </c>
      <c r="K2058" s="179" t="n">
        <v>27266014275</v>
      </c>
      <c r="L2058" s="179" t="n">
        <v>40899021413</v>
      </c>
    </row>
    <row r="2059" ht="15" customHeight="1" s="95">
      <c r="A2059" s="143" t="n">
        <v>45888</v>
      </c>
      <c r="B2059" s="146" t="n">
        <v>0.999812</v>
      </c>
      <c r="C2059" s="179" t="n">
        <v>68278690130</v>
      </c>
      <c r="D2059" s="179" t="n">
        <v>68291547405</v>
      </c>
      <c r="E2059" s="146" t="n">
        <v>1.000443</v>
      </c>
      <c r="F2059" s="179" t="n">
        <v>166805473910</v>
      </c>
      <c r="G2059" s="179" t="n">
        <v>166731636619</v>
      </c>
      <c r="H2059" s="179">
        <f>IFERROR(D2059+G2059,D2059)</f>
        <v/>
      </c>
      <c r="I2059" s="184">
        <f>IFERROR(D2059/H2059,"")</f>
        <v/>
      </c>
      <c r="J2059" s="179" t="n">
        <v>13658309481</v>
      </c>
      <c r="K2059" s="179" t="n">
        <v>27316618962</v>
      </c>
      <c r="L2059" s="179" t="n">
        <v>40974928443</v>
      </c>
    </row>
    <row r="2060" ht="15" customHeight="1" s="95">
      <c r="A2060" s="143" t="n">
        <v>45889</v>
      </c>
      <c r="B2060" s="146" t="n">
        <v>0.999804</v>
      </c>
      <c r="C2060" s="179" t="n">
        <v>67919335078</v>
      </c>
      <c r="D2060" s="179" t="n">
        <v>67932632983</v>
      </c>
      <c r="E2060" s="146" t="n">
        <v>0.999895</v>
      </c>
      <c r="F2060" s="179" t="n">
        <v>167025249464</v>
      </c>
      <c r="G2060" s="179" t="n">
        <v>167042866484</v>
      </c>
      <c r="H2060" s="179">
        <f>IFERROR(D2060+G2060,D2060)</f>
        <v/>
      </c>
      <c r="I2060" s="184">
        <f>IFERROR(D2060/H2060,"")</f>
        <v/>
      </c>
      <c r="J2060" s="179" t="n">
        <v>13586526597</v>
      </c>
      <c r="K2060" s="179" t="n">
        <v>27173053193</v>
      </c>
      <c r="L2060" s="179" t="n">
        <v>40759579790</v>
      </c>
    </row>
    <row r="2061" ht="15" customHeight="1" s="95">
      <c r="A2061" s="143" t="n">
        <v>45890</v>
      </c>
      <c r="B2061" s="146" t="n">
        <v>0.9997819999999999</v>
      </c>
      <c r="C2061" s="179" t="n">
        <v>67501312728</v>
      </c>
      <c r="D2061" s="179" t="n">
        <v>67516046327</v>
      </c>
      <c r="E2061" s="146" t="n">
        <v>1.000079</v>
      </c>
      <c r="F2061" s="179" t="n">
        <v>167022764187</v>
      </c>
      <c r="G2061" s="179" t="n">
        <v>167009596405</v>
      </c>
      <c r="H2061" s="179">
        <f>IFERROR(D2061+G2061,D2061)</f>
        <v/>
      </c>
      <c r="I2061" s="184">
        <f>IFERROR(D2061/H2061,"")</f>
        <v/>
      </c>
      <c r="J2061" s="179" t="n">
        <v>13503209265</v>
      </c>
      <c r="K2061" s="179" t="n">
        <v>27006418531</v>
      </c>
      <c r="L2061" s="179" t="n">
        <v>40509627796</v>
      </c>
    </row>
    <row r="2062" ht="15" customHeight="1" s="95">
      <c r="A2062" s="143" t="n">
        <v>45891</v>
      </c>
      <c r="B2062" s="146" t="n">
        <v>0.999795</v>
      </c>
      <c r="C2062" s="179" t="n">
        <v>67141855554</v>
      </c>
      <c r="D2062" s="179" t="n">
        <v>67155607825</v>
      </c>
      <c r="E2062" s="146" t="n">
        <v>0.999776</v>
      </c>
      <c r="F2062" s="179" t="n">
        <v>167022463443</v>
      </c>
      <c r="G2062" s="179" t="n">
        <v>167059856559</v>
      </c>
      <c r="H2062" s="179">
        <f>IFERROR(D2062+G2062,D2062)</f>
        <v/>
      </c>
      <c r="I2062" s="184">
        <f>IFERROR(D2062/H2062,"")</f>
        <v/>
      </c>
      <c r="J2062" s="179" t="n">
        <v>13431121565</v>
      </c>
      <c r="K2062" s="179" t="n">
        <v>26862243130</v>
      </c>
      <c r="L2062" s="179" t="n">
        <v>40293364695</v>
      </c>
    </row>
    <row r="2063" ht="15" customHeight="1" s="95">
      <c r="A2063" s="143" t="n">
        <v>45892</v>
      </c>
      <c r="B2063" s="146" t="n">
        <v>0.999704</v>
      </c>
      <c r="C2063" s="179" t="n">
        <v>67542011449</v>
      </c>
      <c r="D2063" s="179" t="n">
        <v>67561982539</v>
      </c>
      <c r="E2063" s="146" t="n">
        <v>0.999689</v>
      </c>
      <c r="F2063" s="179" t="n">
        <v>167015858355</v>
      </c>
      <c r="G2063" s="179" t="n">
        <v>167067775557</v>
      </c>
      <c r="H2063" s="179">
        <f>IFERROR(D2063+G2063,D2063)</f>
        <v/>
      </c>
      <c r="I2063" s="184">
        <f>IFERROR(D2063/H2063,"")</f>
        <v/>
      </c>
      <c r="J2063" s="179" t="n">
        <v>13512396508</v>
      </c>
      <c r="K2063" s="179" t="n">
        <v>27024793016</v>
      </c>
      <c r="L2063" s="179" t="n">
        <v>40537189523</v>
      </c>
    </row>
    <row r="2064" ht="15" customHeight="1" s="95">
      <c r="A2064" s="143" t="n">
        <v>45893</v>
      </c>
      <c r="B2064" s="146" t="n">
        <v>0.999808</v>
      </c>
      <c r="C2064" s="179" t="n">
        <v>67542228476</v>
      </c>
      <c r="D2064" s="179" t="n">
        <v>67555173753</v>
      </c>
      <c r="E2064" s="146" t="n">
        <v>0.99964</v>
      </c>
      <c r="F2064" s="179" t="n">
        <v>167091079556</v>
      </c>
      <c r="G2064" s="179" t="n">
        <v>167151229209</v>
      </c>
      <c r="H2064" s="179">
        <f>IFERROR(D2064+G2064,D2064)</f>
        <v/>
      </c>
      <c r="I2064" s="184">
        <f>IFERROR(D2064/H2064,"")</f>
        <v/>
      </c>
      <c r="J2064" s="179" t="n">
        <v>13511034751</v>
      </c>
      <c r="K2064" s="179" t="n">
        <v>27022069501</v>
      </c>
      <c r="L2064" s="179" t="n">
        <v>40533104252</v>
      </c>
    </row>
    <row r="2065" ht="15" customHeight="1" s="95">
      <c r="A2065" s="143" t="n">
        <v>45894</v>
      </c>
      <c r="B2065" s="146" t="n">
        <v>0.999793</v>
      </c>
      <c r="C2065" s="179" t="n">
        <v>67454609360</v>
      </c>
      <c r="D2065" s="179" t="n">
        <v>67468578265</v>
      </c>
      <c r="E2065" s="146" t="n">
        <v>0.999939</v>
      </c>
      <c r="F2065" s="179" t="n">
        <v>167139162109</v>
      </c>
      <c r="G2065" s="179" t="n">
        <v>167149346824</v>
      </c>
      <c r="H2065" s="179">
        <f>IFERROR(D2065+G2065,D2065)</f>
        <v/>
      </c>
      <c r="I2065" s="184">
        <f>IFERROR(D2065/H2065,"")</f>
        <v/>
      </c>
      <c r="J2065" s="179" t="n">
        <v>13493715653</v>
      </c>
      <c r="K2065" s="179" t="n">
        <v>26987431306</v>
      </c>
      <c r="L2065" s="179" t="n">
        <v>40481146959</v>
      </c>
    </row>
    <row r="2066" ht="15" customHeight="1" s="95">
      <c r="A2066" s="143" t="n">
        <v>45895</v>
      </c>
      <c r="B2066" s="146" t="n">
        <v>0.99976</v>
      </c>
      <c r="C2066" s="179" t="n">
        <v>68044691544</v>
      </c>
      <c r="D2066" s="179" t="n">
        <v>68061008112</v>
      </c>
      <c r="E2066" s="146" t="n">
        <v>1.000187</v>
      </c>
      <c r="F2066" s="179" t="n">
        <v>167189640747</v>
      </c>
      <c r="G2066" s="179" t="n">
        <v>167158357487</v>
      </c>
      <c r="H2066" s="179">
        <f>IFERROR(D2066+G2066,D2066)</f>
        <v/>
      </c>
      <c r="I2066" s="184">
        <f>IFERROR(D2066/H2066,"")</f>
        <v/>
      </c>
      <c r="J2066" s="179" t="n">
        <v>13612201622</v>
      </c>
      <c r="K2066" s="179" t="n">
        <v>27224403245</v>
      </c>
      <c r="L2066" s="179" t="n">
        <v>40836604867</v>
      </c>
    </row>
    <row r="2067" ht="15" customHeight="1" s="95">
      <c r="A2067" s="143" t="n">
        <v>45896</v>
      </c>
      <c r="B2067" s="146" t="n">
        <v>0.999814</v>
      </c>
      <c r="C2067" s="179" t="n">
        <v>69011841841</v>
      </c>
      <c r="D2067" s="179" t="n">
        <v>69024676174</v>
      </c>
      <c r="E2067" s="146" t="n">
        <v>1.000189</v>
      </c>
      <c r="F2067" s="179" t="n">
        <v>167227656284</v>
      </c>
      <c r="G2067" s="179" t="n">
        <v>167196026110</v>
      </c>
      <c r="H2067" s="179">
        <f>IFERROR(D2067+G2067,D2067)</f>
        <v/>
      </c>
      <c r="I2067" s="184">
        <f>IFERROR(D2067/H2067,"")</f>
        <v/>
      </c>
      <c r="J2067" s="179" t="n">
        <v>13804935235</v>
      </c>
      <c r="K2067" s="179" t="n">
        <v>27609870470</v>
      </c>
      <c r="L2067" s="179" t="n">
        <v>41414805704</v>
      </c>
    </row>
    <row r="2068" ht="15" customHeight="1" s="95">
      <c r="A2068" s="143" t="n">
        <v>45897</v>
      </c>
      <c r="B2068" s="146" t="n">
        <v>0.999903</v>
      </c>
      <c r="C2068" s="179" t="n">
        <v>69340394517</v>
      </c>
      <c r="D2068" s="179" t="n">
        <v>69347154823</v>
      </c>
      <c r="E2068" s="146" t="n">
        <v>1.000105</v>
      </c>
      <c r="F2068" s="179" t="n">
        <v>167227040389</v>
      </c>
      <c r="G2068" s="179" t="n">
        <v>167209403741</v>
      </c>
      <c r="H2068" s="179">
        <f>IFERROR(D2068+G2068,D2068)</f>
        <v/>
      </c>
      <c r="I2068" s="184">
        <f>IFERROR(D2068/H2068,"")</f>
        <v/>
      </c>
      <c r="J2068" s="179" t="n">
        <v>13869430965</v>
      </c>
      <c r="K2068" s="179" t="n">
        <v>27738861929</v>
      </c>
      <c r="L2068" s="179" t="n">
        <v>41608292894</v>
      </c>
    </row>
    <row r="2069" ht="15" customHeight="1" s="95">
      <c r="A2069" s="143" t="n">
        <v>45898</v>
      </c>
      <c r="B2069" s="146" t="n">
        <v>0.999811</v>
      </c>
      <c r="C2069" s="179" t="n">
        <v>70620028285</v>
      </c>
      <c r="D2069" s="179" t="n">
        <v>70633375730</v>
      </c>
      <c r="E2069" s="146" t="n">
        <v>1.000118</v>
      </c>
      <c r="F2069" s="179" t="n">
        <v>167350893321</v>
      </c>
      <c r="G2069" s="179" t="n">
        <v>167331198662</v>
      </c>
      <c r="H2069" s="179">
        <f>IFERROR(D2069+G2069,D2069)</f>
        <v/>
      </c>
      <c r="I2069" s="184">
        <f>IFERROR(D2069/H2069,"")</f>
        <v/>
      </c>
      <c r="J2069" s="179" t="n">
        <v>14126675146</v>
      </c>
      <c r="K2069" s="179" t="n">
        <v>28253350292</v>
      </c>
      <c r="L2069" s="179" t="n">
        <v>42380025438</v>
      </c>
    </row>
    <row r="2070" ht="15" customHeight="1" s="95">
      <c r="A2070" s="143" t="n">
        <v>45899</v>
      </c>
      <c r="B2070" s="146" t="n">
        <v>0.99981</v>
      </c>
      <c r="C2070" s="179" t="n">
        <v>71541280531</v>
      </c>
      <c r="D2070" s="179" t="n">
        <v>71554856192</v>
      </c>
      <c r="E2070" s="146" t="n">
        <v>1.000218</v>
      </c>
      <c r="F2070" s="179" t="n">
        <v>167393291686</v>
      </c>
      <c r="G2070" s="179" t="n">
        <v>167356792518</v>
      </c>
      <c r="H2070" s="179">
        <f>IFERROR(D2070+G2070,D2070)</f>
        <v/>
      </c>
      <c r="I2070" s="184">
        <f>IFERROR(D2070/H2070,"")</f>
        <v/>
      </c>
      <c r="J2070" s="179" t="n">
        <v>14310971238</v>
      </c>
      <c r="K2070" s="179" t="n">
        <v>28621942477</v>
      </c>
      <c r="L2070" s="179" t="n">
        <v>42932913715</v>
      </c>
    </row>
    <row r="2071" ht="15" customHeight="1" s="95">
      <c r="A2071" s="143" t="n">
        <v>45900</v>
      </c>
      <c r="B2071" s="146" t="n">
        <v>0.9998010000000001</v>
      </c>
      <c r="C2071" s="179" t="n">
        <v>71538548184</v>
      </c>
      <c r="D2071" s="179" t="n">
        <v>71552766526</v>
      </c>
      <c r="E2071" s="146" t="n">
        <v>1.000211</v>
      </c>
      <c r="F2071" s="179" t="n">
        <v>167623030177</v>
      </c>
      <c r="G2071" s="179" t="n">
        <v>167587718268</v>
      </c>
      <c r="H2071" s="179">
        <f>IFERROR(D2071+G2071,D2071)</f>
        <v/>
      </c>
      <c r="I2071" s="184">
        <f>IFERROR(D2071/H2071,"")</f>
        <v/>
      </c>
      <c r="J2071" s="179" t="n">
        <v>14310553305</v>
      </c>
      <c r="K2071" s="179" t="n">
        <v>28621106610</v>
      </c>
      <c r="L2071" s="179" t="n">
        <v>42931659916</v>
      </c>
    </row>
    <row r="2072" ht="15" customHeight="1" s="95">
      <c r="A2072" s="143" t="n">
        <v>45901</v>
      </c>
      <c r="B2072" s="146" t="n">
        <v>0.999808</v>
      </c>
      <c r="C2072" s="179" t="n">
        <v>71549491496</v>
      </c>
      <c r="D2072" s="179" t="n">
        <v>71563259021</v>
      </c>
      <c r="E2072" s="146" t="n">
        <v>1.00016</v>
      </c>
      <c r="F2072" s="179" t="n">
        <v>168033937030</v>
      </c>
      <c r="G2072" s="179" t="n">
        <v>168007097617</v>
      </c>
      <c r="H2072" s="179">
        <f>IFERROR(D2072+G2072,D2072)</f>
        <v/>
      </c>
      <c r="I2072" s="184">
        <f>IFERROR(D2072/H2072,"")</f>
        <v/>
      </c>
      <c r="J2072" s="179" t="n">
        <v>14312651804</v>
      </c>
      <c r="K2072" s="179" t="n">
        <v>28625303608</v>
      </c>
      <c r="L2072" s="179" t="n">
        <v>42937955413</v>
      </c>
    </row>
    <row r="2073" ht="15" customHeight="1" s="95">
      <c r="A2073" s="143" t="n">
        <v>45902</v>
      </c>
      <c r="B2073" s="146" t="n">
        <v>0.999803</v>
      </c>
      <c r="C2073" s="179" t="n">
        <v>71513530485</v>
      </c>
      <c r="D2073" s="179" t="n">
        <v>71527633537</v>
      </c>
      <c r="E2073" s="146" t="n">
        <v>1.000081</v>
      </c>
      <c r="F2073" s="179" t="n">
        <v>168042730226</v>
      </c>
      <c r="G2073" s="179" t="n">
        <v>168029181012</v>
      </c>
      <c r="H2073" s="179">
        <f>IFERROR(D2073+G2073,D2073)</f>
        <v/>
      </c>
      <c r="I2073" s="184">
        <f>IFERROR(D2073/H2073,"")</f>
        <v/>
      </c>
      <c r="J2073" s="179" t="n">
        <v>14305526707</v>
      </c>
      <c r="K2073" s="179" t="n">
        <v>28611053415</v>
      </c>
      <c r="L2073" s="179" t="n">
        <v>42916580122</v>
      </c>
    </row>
    <row r="2074" ht="15" customHeight="1" s="95">
      <c r="A2074" s="143" t="n">
        <v>45903</v>
      </c>
      <c r="B2074" s="146" t="n">
        <v>0.999715</v>
      </c>
      <c r="C2074" s="179" t="n">
        <v>72146971879</v>
      </c>
      <c r="D2074" s="179" t="n">
        <v>72167524498</v>
      </c>
      <c r="E2074" s="146" t="n">
        <v>1.000017</v>
      </c>
      <c r="F2074" s="179" t="n">
        <v>168030536519</v>
      </c>
      <c r="G2074" s="179" t="n">
        <v>168027701339</v>
      </c>
      <c r="H2074" s="179">
        <f>IFERROR(D2074+G2074,D2074)</f>
        <v/>
      </c>
      <c r="I2074" s="184">
        <f>IFERROR(D2074/H2074,"")</f>
        <v/>
      </c>
      <c r="J2074" s="179" t="n">
        <v>14433504900</v>
      </c>
      <c r="K2074" s="179" t="n">
        <v>28867009799</v>
      </c>
      <c r="L2074" s="179" t="n">
        <v>43300514699</v>
      </c>
    </row>
    <row r="2075" ht="15" customHeight="1" s="95">
      <c r="A2075" s="143" t="n">
        <v>45904</v>
      </c>
      <c r="B2075" s="146" t="n">
        <v>0.999802</v>
      </c>
      <c r="C2075" s="179" t="n">
        <v>72672911069</v>
      </c>
      <c r="D2075" s="179" t="n">
        <v>72687300395</v>
      </c>
      <c r="E2075" s="146" t="n">
        <v>1.000382</v>
      </c>
      <c r="F2075" s="179" t="n">
        <v>168208879799</v>
      </c>
      <c r="G2075" s="179" t="n">
        <v>168144592797</v>
      </c>
      <c r="H2075" s="179">
        <f>IFERROR(D2075+G2075,D2075)</f>
        <v/>
      </c>
      <c r="I2075" s="184">
        <f>IFERROR(D2075/H2075,"")</f>
        <v/>
      </c>
      <c r="J2075" s="179" t="n">
        <v>14537460079</v>
      </c>
      <c r="K2075" s="179" t="n">
        <v>29074920158</v>
      </c>
      <c r="L2075" s="179" t="n">
        <v>43612380237</v>
      </c>
    </row>
    <row r="2076" ht="15" customHeight="1" s="95">
      <c r="A2076" s="143" t="n">
        <v>45905</v>
      </c>
      <c r="B2076" s="146" t="n">
        <v>0.99981</v>
      </c>
      <c r="C2076" s="179" t="n">
        <v>72570847322</v>
      </c>
      <c r="D2076" s="179" t="n">
        <v>72584612732</v>
      </c>
      <c r="E2076" s="146" t="n">
        <v>1.000135</v>
      </c>
      <c r="F2076" s="179" t="n">
        <v>168341103332</v>
      </c>
      <c r="G2076" s="179" t="n">
        <v>168318404731</v>
      </c>
      <c r="H2076" s="179">
        <f>IFERROR(D2076+G2076,D2076)</f>
        <v/>
      </c>
      <c r="I2076" s="184">
        <f>IFERROR(D2076/H2076,"")</f>
        <v/>
      </c>
      <c r="J2076" s="179" t="n">
        <v>14516922546</v>
      </c>
      <c r="K2076" s="179" t="n">
        <v>29033845093</v>
      </c>
      <c r="L2076" s="179" t="n">
        <v>43550767639</v>
      </c>
    </row>
    <row r="2077" ht="15" customHeight="1" s="95">
      <c r="A2077" s="143" t="n">
        <v>45906</v>
      </c>
      <c r="B2077" s="146" t="n">
        <v>0.999806</v>
      </c>
      <c r="C2077" s="179" t="n">
        <v>72464557041</v>
      </c>
      <c r="D2077" s="179" t="n">
        <v>72478633637</v>
      </c>
      <c r="E2077" s="146" t="n">
        <v>1.000183</v>
      </c>
      <c r="F2077" s="179" t="n">
        <v>168571448655</v>
      </c>
      <c r="G2077" s="179" t="n">
        <v>168540542481</v>
      </c>
      <c r="H2077" s="179">
        <f>IFERROR(D2077+G2077,D2077)</f>
        <v/>
      </c>
      <c r="I2077" s="184">
        <f>IFERROR(D2077/H2077,"")</f>
        <v/>
      </c>
      <c r="J2077" s="179" t="n">
        <v>14495726727</v>
      </c>
      <c r="K2077" s="179" t="n">
        <v>28991453455</v>
      </c>
      <c r="L2077" s="179" t="n">
        <v>43487180182</v>
      </c>
    </row>
    <row r="2078" ht="15" customHeight="1" s="95">
      <c r="A2078" s="143" t="n">
        <v>45907</v>
      </c>
      <c r="B2078" s="146" t="n">
        <v>0.999843</v>
      </c>
      <c r="C2078" s="179" t="n">
        <v>72547699909</v>
      </c>
      <c r="D2078" s="179" t="n">
        <v>72559123877</v>
      </c>
      <c r="E2078" s="146" t="n">
        <v>1.000378</v>
      </c>
      <c r="F2078" s="179" t="n">
        <v>168935354719</v>
      </c>
      <c r="G2078" s="179" t="n">
        <v>168871529307</v>
      </c>
      <c r="H2078" s="179">
        <f>IFERROR(D2078+G2078,D2078)</f>
        <v/>
      </c>
      <c r="I2078" s="184">
        <f>IFERROR(D2078/H2078,"")</f>
        <v/>
      </c>
      <c r="J2078" s="179" t="n">
        <v>14511824775</v>
      </c>
      <c r="K2078" s="179" t="n">
        <v>29023649551</v>
      </c>
      <c r="L2078" s="179" t="n">
        <v>43535474326</v>
      </c>
    </row>
    <row r="2079" ht="15" customHeight="1" s="95">
      <c r="A2079" s="143" t="n">
        <v>45908</v>
      </c>
      <c r="B2079" s="146" t="n">
        <v>0.999803</v>
      </c>
      <c r="C2079" s="179" t="n">
        <v>72499319914</v>
      </c>
      <c r="D2079" s="179" t="n">
        <v>72513612811</v>
      </c>
      <c r="E2079" s="146" t="n">
        <v>1.000022</v>
      </c>
      <c r="F2079" s="179" t="n">
        <v>168873494952</v>
      </c>
      <c r="G2079" s="179" t="n">
        <v>168869782462</v>
      </c>
      <c r="H2079" s="179">
        <f>IFERROR(D2079+G2079,D2079)</f>
        <v/>
      </c>
      <c r="I2079" s="184">
        <f>IFERROR(D2079/H2079,"")</f>
        <v/>
      </c>
      <c r="J2079" s="179" t="n">
        <v>14502722562</v>
      </c>
      <c r="K2079" s="179" t="n">
        <v>29005445124</v>
      </c>
      <c r="L2079" s="179" t="n">
        <v>43508167687</v>
      </c>
    </row>
    <row r="2080" ht="15" customHeight="1" s="95">
      <c r="A2080" s="143" t="n">
        <v>45909</v>
      </c>
      <c r="B2080" s="146" t="n">
        <v>0.999802</v>
      </c>
      <c r="C2080" s="179" t="n">
        <v>72425624280</v>
      </c>
      <c r="D2080" s="179" t="n">
        <v>72439957510</v>
      </c>
      <c r="E2080" s="146" t="n">
        <v>1.000058</v>
      </c>
      <c r="F2080" s="179" t="n">
        <v>168888299256</v>
      </c>
      <c r="G2080" s="179" t="n">
        <v>168878516240</v>
      </c>
      <c r="H2080" s="179">
        <f>IFERROR(D2080+G2080,D2080)</f>
        <v/>
      </c>
      <c r="I2080" s="184">
        <f>IFERROR(D2080/H2080,"")</f>
        <v/>
      </c>
      <c r="J2080" s="179" t="n">
        <v>14487991502</v>
      </c>
      <c r="K2080" s="179" t="n">
        <v>28975983004</v>
      </c>
      <c r="L2080" s="179" t="n">
        <v>43463974506</v>
      </c>
    </row>
    <row r="2081" ht="15" customHeight="1" s="95">
      <c r="A2081" s="143" t="n">
        <v>45910</v>
      </c>
      <c r="B2081" s="146" t="n">
        <v>0.999706</v>
      </c>
      <c r="C2081" s="179" t="n">
        <v>72661309825</v>
      </c>
      <c r="D2081" s="179" t="n">
        <v>72682661155</v>
      </c>
      <c r="E2081" s="146" t="n">
        <v>1.000054</v>
      </c>
      <c r="F2081" s="179" t="n">
        <v>168935638241</v>
      </c>
      <c r="G2081" s="179" t="n">
        <v>168926574279</v>
      </c>
      <c r="H2081" s="179">
        <f>IFERROR(D2081+G2081,D2081)</f>
        <v/>
      </c>
      <c r="I2081" s="184">
        <f>IFERROR(D2081/H2081,"")</f>
        <v/>
      </c>
      <c r="J2081" s="179" t="n">
        <v>14536532231</v>
      </c>
      <c r="K2081" s="179" t="n">
        <v>29073064462</v>
      </c>
      <c r="L2081" s="179" t="n">
        <v>43609596693</v>
      </c>
    </row>
    <row r="2082" ht="15" customHeight="1" s="95">
      <c r="A2082" s="143" t="n">
        <v>45911</v>
      </c>
      <c r="B2082" s="146" t="n">
        <v>0.999798</v>
      </c>
      <c r="C2082" s="179" t="n">
        <v>72353022867</v>
      </c>
      <c r="D2082" s="179" t="n">
        <v>72367631169</v>
      </c>
      <c r="E2082" s="146" t="n">
        <v>1.000297</v>
      </c>
      <c r="F2082" s="179" t="n">
        <v>169143657795</v>
      </c>
      <c r="G2082" s="179" t="n">
        <v>169093417792</v>
      </c>
      <c r="H2082" s="179">
        <f>IFERROR(D2082+G2082,D2082)</f>
        <v/>
      </c>
      <c r="I2082" s="184">
        <f>IFERROR(D2082/H2082,"")</f>
        <v/>
      </c>
      <c r="J2082" s="179" t="n">
        <v>14473526234</v>
      </c>
      <c r="K2082" s="179" t="n">
        <v>28947052468</v>
      </c>
      <c r="L2082" s="179" t="n">
        <v>43420578701</v>
      </c>
    </row>
    <row r="2083" ht="15" customHeight="1" s="95">
      <c r="A2083" s="143" t="n">
        <v>45912</v>
      </c>
      <c r="B2083" s="146" t="n">
        <v>0.999783</v>
      </c>
      <c r="C2083" s="179" t="n">
        <v>72437004729</v>
      </c>
      <c r="D2083" s="179" t="n">
        <v>72452729537</v>
      </c>
      <c r="E2083" s="146" t="n">
        <v>1.000373</v>
      </c>
      <c r="F2083" s="179" t="n">
        <v>169443595938</v>
      </c>
      <c r="G2083" s="179" t="n">
        <v>169380394369</v>
      </c>
      <c r="H2083" s="179">
        <f>IFERROR(D2083+G2083,D2083)</f>
        <v/>
      </c>
      <c r="I2083" s="184">
        <f>IFERROR(D2083/H2083,"")</f>
        <v/>
      </c>
      <c r="J2083" s="179" t="n">
        <v>14490545907</v>
      </c>
      <c r="K2083" s="179" t="n">
        <v>28981091815</v>
      </c>
      <c r="L2083" s="179" t="n">
        <v>43471637722</v>
      </c>
    </row>
    <row r="2084" ht="15" customHeight="1" s="95">
      <c r="A2084" s="143" t="n">
        <v>45913</v>
      </c>
      <c r="B2084" s="146" t="n">
        <v>0.999753</v>
      </c>
      <c r="C2084" s="179" t="n">
        <v>72975110549</v>
      </c>
      <c r="D2084" s="179" t="n">
        <v>72993112893</v>
      </c>
      <c r="E2084" s="146" t="n">
        <v>1.000655</v>
      </c>
      <c r="F2084" s="179" t="n">
        <v>169647322430</v>
      </c>
      <c r="G2084" s="179" t="n">
        <v>169536235784</v>
      </c>
      <c r="H2084" s="179">
        <f>IFERROR(D2084+G2084,D2084)</f>
        <v/>
      </c>
      <c r="I2084" s="184">
        <f>IFERROR(D2084/H2084,"")</f>
        <v/>
      </c>
      <c r="J2084" s="179" t="n">
        <v>14598622579</v>
      </c>
      <c r="K2084" s="179" t="n">
        <v>29197245157</v>
      </c>
      <c r="L2084" s="179" t="n">
        <v>43795867736</v>
      </c>
    </row>
    <row r="2085" ht="15" customHeight="1" s="95">
      <c r="A2085" s="143" t="n">
        <v>45914</v>
      </c>
      <c r="B2085" s="146" t="n">
        <v>0.999802</v>
      </c>
      <c r="C2085" s="179" t="n">
        <v>73169475841</v>
      </c>
      <c r="D2085" s="179" t="n">
        <v>73183932961</v>
      </c>
      <c r="E2085" s="146" t="n">
        <v>1.00057</v>
      </c>
      <c r="F2085" s="179" t="n">
        <v>170091547144</v>
      </c>
      <c r="G2085" s="179" t="n">
        <v>169994582589</v>
      </c>
      <c r="H2085" s="179">
        <f>IFERROR(D2085+G2085,D2085)</f>
        <v/>
      </c>
      <c r="I2085" s="184">
        <f>IFERROR(D2085/H2085,"")</f>
        <v/>
      </c>
      <c r="J2085" s="179" t="n">
        <v>14636786592</v>
      </c>
      <c r="K2085" s="179" t="n">
        <v>29273573184</v>
      </c>
      <c r="L2085" s="179" t="n">
        <v>43910359777</v>
      </c>
    </row>
    <row r="2086" ht="15" customHeight="1" s="95">
      <c r="A2086" s="143" t="n">
        <v>45915</v>
      </c>
      <c r="B2086" s="146" t="n">
        <v>0.999764</v>
      </c>
      <c r="C2086" s="179" t="n">
        <v>73194785399</v>
      </c>
      <c r="D2086" s="179" t="n">
        <v>73212036995</v>
      </c>
      <c r="E2086" s="146" t="n">
        <v>1.000652</v>
      </c>
      <c r="F2086" s="179" t="n">
        <v>170336524837</v>
      </c>
      <c r="G2086" s="179" t="n">
        <v>170225499954</v>
      </c>
      <c r="H2086" s="179">
        <f>IFERROR(D2086+G2086,D2086)</f>
        <v/>
      </c>
      <c r="I2086" s="184">
        <f>IFERROR(D2086/H2086,"")</f>
        <v/>
      </c>
      <c r="J2086" s="179" t="n">
        <v>14642407399</v>
      </c>
      <c r="K2086" s="179" t="n">
        <v>29284814798</v>
      </c>
      <c r="L2086" s="179" t="n">
        <v>43927222197</v>
      </c>
    </row>
    <row r="2087" ht="15" customHeight="1" s="95">
      <c r="A2087" s="143" t="n">
        <v>45916</v>
      </c>
      <c r="B2087" s="146" t="n">
        <v>0.999783</v>
      </c>
      <c r="C2087" s="179" t="n">
        <v>73194539085</v>
      </c>
      <c r="D2087" s="179" t="n">
        <v>73210423289</v>
      </c>
      <c r="E2087" s="146" t="n">
        <v>1.000307</v>
      </c>
      <c r="F2087" s="179" t="n">
        <v>170303334835</v>
      </c>
      <c r="G2087" s="179" t="n">
        <v>170251126403</v>
      </c>
      <c r="H2087" s="179">
        <f>IFERROR(D2087+G2087,D2087)</f>
        <v/>
      </c>
      <c r="I2087" s="184">
        <f>IFERROR(D2087/H2087,"")</f>
        <v/>
      </c>
      <c r="J2087" s="179" t="n">
        <v>14642084658</v>
      </c>
      <c r="K2087" s="179" t="n">
        <v>29284169316</v>
      </c>
      <c r="L2087" s="179" t="n">
        <v>43926253973</v>
      </c>
    </row>
    <row r="2088" ht="15" customHeight="1" s="95">
      <c r="A2088" s="143" t="n">
        <v>45917</v>
      </c>
      <c r="B2088" s="146" t="n">
        <v>0.9997819999999999</v>
      </c>
      <c r="C2088" s="179" t="n">
        <v>73610319439</v>
      </c>
      <c r="D2088" s="179" t="n">
        <v>73626395057</v>
      </c>
      <c r="E2088" s="146" t="n">
        <v>1.000303</v>
      </c>
      <c r="F2088" s="179" t="n">
        <v>170858172815</v>
      </c>
      <c r="G2088" s="179" t="n">
        <v>170806367356</v>
      </c>
      <c r="H2088" s="179">
        <f>IFERROR(D2088+G2088,D2088)</f>
        <v/>
      </c>
      <c r="I2088" s="184">
        <f>IFERROR(D2088/H2088,"")</f>
        <v/>
      </c>
      <c r="J2088" s="179" t="n">
        <v>14725279011</v>
      </c>
      <c r="K2088" s="179" t="n">
        <v>29450558023</v>
      </c>
      <c r="L2088" s="179" t="n">
        <v>44175837034</v>
      </c>
    </row>
    <row r="2089" ht="15" customHeight="1" s="95">
      <c r="A2089" s="143" t="n">
        <v>45918</v>
      </c>
      <c r="B2089" s="146" t="n">
        <v>0.999708</v>
      </c>
      <c r="C2089" s="179" t="n">
        <v>73594450402</v>
      </c>
      <c r="D2089" s="179" t="n">
        <v>73615974061</v>
      </c>
      <c r="E2089" s="146" t="n">
        <v>1.000328</v>
      </c>
      <c r="F2089" s="179" t="n">
        <v>171006848211</v>
      </c>
      <c r="G2089" s="179" t="n">
        <v>170950787711</v>
      </c>
      <c r="H2089" s="179">
        <f>IFERROR(D2089+G2089,D2089)</f>
        <v/>
      </c>
      <c r="I2089" s="184">
        <f>IFERROR(D2089/H2089,"")</f>
        <v/>
      </c>
      <c r="J2089" s="179" t="n">
        <v>14723194812</v>
      </c>
      <c r="K2089" s="179" t="n">
        <v>29446389624</v>
      </c>
      <c r="L2089" s="179" t="n">
        <v>44169584437</v>
      </c>
    </row>
    <row r="2090" ht="15" customHeight="1" s="95">
      <c r="A2090" s="143" t="n">
        <v>45919</v>
      </c>
      <c r="B2090" s="146" t="n">
        <v>0.999729</v>
      </c>
      <c r="C2090" s="179" t="n">
        <v>74338680585</v>
      </c>
      <c r="D2090" s="179" t="n">
        <v>74358860969</v>
      </c>
      <c r="E2090" s="146" t="n">
        <v>1.000346</v>
      </c>
      <c r="F2090" s="179" t="n">
        <v>171181401557</v>
      </c>
      <c r="G2090" s="179" t="n">
        <v>171122223831</v>
      </c>
      <c r="H2090" s="179">
        <f>IFERROR(D2090+G2090,D2090)</f>
        <v/>
      </c>
      <c r="I2090" s="184">
        <f>IFERROR(D2090/H2090,"")</f>
        <v/>
      </c>
      <c r="J2090" s="179" t="n">
        <v>14871772194</v>
      </c>
      <c r="K2090" s="179" t="n">
        <v>29743544388</v>
      </c>
      <c r="L2090" s="179" t="n">
        <v>44615316581</v>
      </c>
    </row>
    <row r="2091" ht="15" customHeight="1" s="95">
      <c r="A2091" s="143" t="n">
        <v>45920</v>
      </c>
      <c r="B2091" s="146" t="n">
        <v>0.99971</v>
      </c>
      <c r="C2091" s="179" t="n">
        <v>74163618655</v>
      </c>
      <c r="D2091" s="179" t="n">
        <v>74185111408</v>
      </c>
      <c r="E2091" s="146" t="n">
        <v>1.000439</v>
      </c>
      <c r="F2091" s="179" t="n">
        <v>171519427516</v>
      </c>
      <c r="G2091" s="179" t="n">
        <v>171444172853</v>
      </c>
      <c r="H2091" s="179">
        <f>IFERROR(D2091+G2091,D2091)</f>
        <v/>
      </c>
      <c r="I2091" s="184">
        <f>IFERROR(D2091/H2091,"")</f>
        <v/>
      </c>
      <c r="J2091" s="179" t="n">
        <v>14837022282</v>
      </c>
      <c r="K2091" s="179" t="n">
        <v>29674044563</v>
      </c>
      <c r="L2091" s="179" t="n">
        <v>44511066845</v>
      </c>
    </row>
    <row r="2092" ht="15" customHeight="1" s="95">
      <c r="A2092" s="143" t="n">
        <v>45921</v>
      </c>
      <c r="B2092" s="146" t="n">
        <v>0.999703</v>
      </c>
      <c r="C2092" s="179" t="n">
        <v>73976208429</v>
      </c>
      <c r="D2092" s="179" t="n">
        <v>73998217815</v>
      </c>
      <c r="E2092" s="146" t="n">
        <v>1.000452</v>
      </c>
      <c r="F2092" s="179" t="n">
        <v>171511067457</v>
      </c>
      <c r="G2092" s="179" t="n">
        <v>171433592618</v>
      </c>
      <c r="H2092" s="179">
        <f>IFERROR(D2092+G2092,D2092)</f>
        <v/>
      </c>
      <c r="I2092" s="184">
        <f>IFERROR(D2092/H2092,"")</f>
        <v/>
      </c>
      <c r="J2092" s="179" t="n">
        <v>14799643563</v>
      </c>
      <c r="K2092" s="179" t="n">
        <v>29599287126</v>
      </c>
      <c r="L2092" s="179" t="n">
        <v>44398930689</v>
      </c>
    </row>
    <row r="2093" ht="15" customHeight="1" s="95">
      <c r="A2093" s="143" t="n">
        <v>45922</v>
      </c>
      <c r="B2093" s="146" t="n">
        <v>0.999702</v>
      </c>
      <c r="C2093" s="179" t="n">
        <v>73960703749</v>
      </c>
      <c r="D2093" s="179" t="n">
        <v>73982747938</v>
      </c>
      <c r="E2093" s="146" t="n">
        <v>1.0004</v>
      </c>
      <c r="F2093" s="179" t="n">
        <v>172005777812</v>
      </c>
      <c r="G2093" s="179" t="n">
        <v>171937054596</v>
      </c>
      <c r="H2093" s="179">
        <f>IFERROR(D2093+G2093,D2093)</f>
        <v/>
      </c>
      <c r="I2093" s="184">
        <f>IFERROR(D2093/H2093,"")</f>
        <v/>
      </c>
      <c r="J2093" s="179" t="n">
        <v>14796549588</v>
      </c>
      <c r="K2093" s="179" t="n">
        <v>29593099175</v>
      </c>
      <c r="L2093" s="179" t="n">
        <v>44389648763</v>
      </c>
    </row>
    <row r="2094" ht="15" customHeight="1" s="95">
      <c r="A2094" s="143" t="n">
        <v>45923</v>
      </c>
      <c r="B2094" s="146" t="n">
        <v>0.999706</v>
      </c>
      <c r="C2094" s="179" t="n">
        <v>74131793688</v>
      </c>
      <c r="D2094" s="179" t="n">
        <v>74153617290</v>
      </c>
      <c r="E2094" s="146" t="n">
        <v>1.000815</v>
      </c>
      <c r="F2094" s="179" t="n">
        <v>172157397166</v>
      </c>
      <c r="G2094" s="179" t="n">
        <v>172017213990</v>
      </c>
      <c r="H2094" s="179">
        <f>IFERROR(D2094+G2094,D2094)</f>
        <v/>
      </c>
      <c r="I2094" s="184">
        <f>IFERROR(D2094/H2094,"")</f>
        <v/>
      </c>
      <c r="J2094" s="179" t="n">
        <v>14830723458</v>
      </c>
      <c r="K2094" s="179" t="n">
        <v>29661446916</v>
      </c>
      <c r="L2094" s="179" t="n">
        <v>44492170374</v>
      </c>
    </row>
    <row r="2095" ht="15" customHeight="1" s="95">
      <c r="A2095" s="143" t="n">
        <v>45924</v>
      </c>
      <c r="B2095" s="146" t="n">
        <v>0.999604</v>
      </c>
      <c r="C2095" s="179" t="n">
        <v>73979784471</v>
      </c>
      <c r="D2095" s="179" t="n">
        <v>74009078276</v>
      </c>
      <c r="E2095" s="146" t="n">
        <v>1.000206</v>
      </c>
      <c r="F2095" s="179" t="n">
        <v>172785885820</v>
      </c>
      <c r="G2095" s="179" t="n">
        <v>172750259693</v>
      </c>
      <c r="H2095" s="179">
        <f>IFERROR(D2095+G2095,D2095)</f>
        <v/>
      </c>
      <c r="I2095" s="184">
        <f>IFERROR(D2095/H2095,"")</f>
        <v/>
      </c>
      <c r="J2095" s="179" t="n">
        <v>14801815655</v>
      </c>
      <c r="K2095" s="179" t="n">
        <v>29603631310</v>
      </c>
      <c r="L2095" s="179" t="n">
        <v>44405446966</v>
      </c>
    </row>
    <row r="2096" ht="15" customHeight="1" s="95">
      <c r="A2096" s="143" t="n">
        <v>45925</v>
      </c>
      <c r="B2096" s="146" t="n">
        <v>0.999705</v>
      </c>
      <c r="C2096" s="179" t="n">
        <v>74153783390</v>
      </c>
      <c r="D2096" s="179" t="n">
        <v>74175659818</v>
      </c>
      <c r="E2096" s="146" t="n">
        <v>1.000336</v>
      </c>
      <c r="F2096" s="179" t="n">
        <v>173101417753</v>
      </c>
      <c r="G2096" s="179" t="n">
        <v>173043252167</v>
      </c>
      <c r="H2096" s="179">
        <f>IFERROR(D2096+G2096,D2096)</f>
        <v/>
      </c>
      <c r="I2096" s="184">
        <f>IFERROR(D2096/H2096,"")</f>
        <v/>
      </c>
      <c r="J2096" s="179" t="n">
        <v>14835131964</v>
      </c>
      <c r="K2096" s="179" t="n">
        <v>29670263927</v>
      </c>
      <c r="L2096" s="179" t="n">
        <v>44505395891</v>
      </c>
    </row>
    <row r="2097" ht="15" customHeight="1" s="95">
      <c r="A2097" s="143" t="n">
        <v>45926</v>
      </c>
      <c r="B2097" s="146" t="n">
        <v>0.999706</v>
      </c>
      <c r="C2097" s="179" t="n">
        <v>73967925897</v>
      </c>
      <c r="D2097" s="179" t="n">
        <v>73989666997</v>
      </c>
      <c r="E2097" s="146" t="n">
        <v>1.000461</v>
      </c>
      <c r="F2097" s="179" t="n">
        <v>173523720973</v>
      </c>
      <c r="G2097" s="179" t="n">
        <v>173443802285</v>
      </c>
      <c r="H2097" s="179">
        <f>IFERROR(D2097+G2097,D2097)</f>
        <v/>
      </c>
      <c r="I2097" s="184">
        <f>IFERROR(D2097/H2097,"")</f>
        <v/>
      </c>
      <c r="J2097" s="179" t="n">
        <v>14797933399</v>
      </c>
      <c r="K2097" s="179" t="n">
        <v>29595866799</v>
      </c>
      <c r="L2097" s="179" t="n">
        <v>44393800198</v>
      </c>
    </row>
    <row r="2098" ht="15" customHeight="1" s="95">
      <c r="A2098" s="143" t="n">
        <v>45927</v>
      </c>
      <c r="B2098" s="146" t="n">
        <v>0.999699</v>
      </c>
      <c r="C2098" s="179" t="n">
        <v>73769508933</v>
      </c>
      <c r="D2098" s="179" t="n">
        <v>73791747078</v>
      </c>
      <c r="E2098" s="146" t="n">
        <v>1.000554</v>
      </c>
      <c r="F2098" s="179" t="n">
        <v>173535663991</v>
      </c>
      <c r="G2098" s="179" t="n">
        <v>173439522755</v>
      </c>
      <c r="H2098" s="179">
        <f>IFERROR(D2098+G2098,D2098)</f>
        <v/>
      </c>
      <c r="I2098" s="184">
        <f>IFERROR(D2098/H2098,"")</f>
        <v/>
      </c>
      <c r="J2098" s="179" t="n">
        <v>14758349416</v>
      </c>
      <c r="K2098" s="179" t="n">
        <v>29516698831</v>
      </c>
      <c r="L2098" s="179" t="n">
        <v>44275048247</v>
      </c>
    </row>
    <row r="2099" ht="15" customHeight="1" s="95">
      <c r="A2099" s="143" t="n">
        <v>45928</v>
      </c>
      <c r="B2099" s="146" t="n">
        <v>0.999619</v>
      </c>
      <c r="C2099" s="179" t="n">
        <v>73723140848</v>
      </c>
      <c r="D2099" s="179" t="n">
        <v>73751245213</v>
      </c>
      <c r="E2099" s="146" t="n">
        <v>1.000449</v>
      </c>
      <c r="F2099" s="179" t="n">
        <v>174270349818</v>
      </c>
      <c r="G2099" s="179" t="n">
        <v>174192104788</v>
      </c>
      <c r="H2099" s="179">
        <f>IFERROR(D2099+G2099,D2099)</f>
        <v/>
      </c>
      <c r="I2099" s="184">
        <f>IFERROR(D2099/H2099,"")</f>
        <v/>
      </c>
      <c r="J2099" s="179" t="n">
        <v>14750249043</v>
      </c>
      <c r="K2099" s="179" t="n">
        <v>29500498085</v>
      </c>
      <c r="L2099" s="179" t="n">
        <v>44250747128</v>
      </c>
    </row>
    <row r="2100" ht="15" customHeight="1" s="95">
      <c r="A2100" s="143" t="n">
        <v>45929</v>
      </c>
      <c r="B2100" s="146" t="n">
        <v>0.999706</v>
      </c>
      <c r="C2100" s="179" t="n">
        <v>73668158839</v>
      </c>
      <c r="D2100" s="179" t="n">
        <v>73689858238</v>
      </c>
      <c r="E2100" s="146" t="n">
        <v>1.00032</v>
      </c>
      <c r="F2100" s="179" t="n">
        <v>174425533712</v>
      </c>
      <c r="G2100" s="179" t="n">
        <v>174369766451</v>
      </c>
      <c r="H2100" s="179">
        <f>IFERROR(D2100+G2100,D2100)</f>
        <v/>
      </c>
      <c r="I2100" s="184">
        <f>IFERROR(D2100/H2100,"")</f>
        <v/>
      </c>
      <c r="J2100" s="179" t="n">
        <v>14737971648</v>
      </c>
      <c r="K2100" s="179" t="n">
        <v>29475943295</v>
      </c>
      <c r="L2100" s="179" t="n">
        <v>44213914943</v>
      </c>
    </row>
    <row r="2101" ht="15" customHeight="1" s="95">
      <c r="A2101" s="143" t="n">
        <v>45930</v>
      </c>
      <c r="B2101" s="146" t="n">
        <v>0.9996119999999999</v>
      </c>
      <c r="C2101" s="179" t="n">
        <v>73503911954</v>
      </c>
      <c r="D2101" s="179" t="n">
        <v>73532458796</v>
      </c>
      <c r="E2101" s="146" t="n">
        <v>1.000501</v>
      </c>
      <c r="F2101" s="179" t="n">
        <v>174459824720</v>
      </c>
      <c r="G2101" s="179" t="n">
        <v>174372455051</v>
      </c>
      <c r="H2101" s="179">
        <f>IFERROR(D2101+G2101,D2101)</f>
        <v/>
      </c>
      <c r="I2101" s="184">
        <f>IFERROR(D2101/H2101,"")</f>
        <v/>
      </c>
      <c r="J2101" s="179" t="n">
        <v>14706491759</v>
      </c>
      <c r="K2101" s="179" t="n">
        <v>29412983518</v>
      </c>
      <c r="L2101" s="179" t="n">
        <v>44119475278</v>
      </c>
    </row>
    <row r="2102" ht="15" customHeight="1" s="95">
      <c r="A2102" s="143" t="n">
        <v>45931</v>
      </c>
      <c r="B2102" s="146" t="n">
        <v>0.999705</v>
      </c>
      <c r="C2102" s="179" t="n">
        <v>73395860021</v>
      </c>
      <c r="D2102" s="179" t="n">
        <v>73417546497</v>
      </c>
      <c r="E2102" s="146" t="n">
        <v>1.000019</v>
      </c>
      <c r="F2102" s="179" t="n">
        <v>174690086251</v>
      </c>
      <c r="G2102" s="179" t="n">
        <v>174686824240</v>
      </c>
      <c r="H2102" s="179">
        <f>IFERROR(D2102+G2102,D2102)</f>
        <v/>
      </c>
      <c r="I2102" s="184">
        <f>IFERROR(D2102/H2102,"")</f>
        <v/>
      </c>
      <c r="J2102" s="179" t="n">
        <v>14683509299</v>
      </c>
      <c r="K2102" s="179" t="n">
        <v>29367018599</v>
      </c>
      <c r="L2102" s="179" t="n">
        <v>44050527898</v>
      </c>
    </row>
    <row r="2103" ht="15" customHeight="1" s="95">
      <c r="A2103" s="143" t="n">
        <v>45932</v>
      </c>
      <c r="B2103" s="146" t="n">
        <v>0.9998050000000001</v>
      </c>
      <c r="C2103" s="179" t="n">
        <v>73936203902</v>
      </c>
      <c r="D2103" s="179" t="n">
        <v>73950653953</v>
      </c>
      <c r="E2103" s="146" t="n">
        <v>1.000462</v>
      </c>
      <c r="F2103" s="179" t="n">
        <v>174999290965</v>
      </c>
      <c r="G2103" s="179" t="n">
        <v>174918400209</v>
      </c>
      <c r="H2103" s="179">
        <f>IFERROR(D2103+G2103,D2103)</f>
        <v/>
      </c>
      <c r="I2103" s="184">
        <f>IFERROR(D2103/H2103,"")</f>
        <v/>
      </c>
      <c r="J2103" s="179" t="n">
        <v>14790130791</v>
      </c>
      <c r="K2103" s="179" t="n">
        <v>29580261581</v>
      </c>
      <c r="L2103" s="179" t="n">
        <v>44370392372</v>
      </c>
    </row>
    <row r="2104" ht="15" customHeight="1" s="95">
      <c r="A2104" s="143" t="n">
        <v>45933</v>
      </c>
      <c r="B2104" s="146" t="n">
        <v>0.999781</v>
      </c>
      <c r="C2104" s="179" t="n">
        <v>74303858028</v>
      </c>
      <c r="D2104" s="179" t="n">
        <v>74320100187</v>
      </c>
      <c r="E2104" s="146" t="n">
        <v>1.000504</v>
      </c>
      <c r="F2104" s="179" t="n">
        <v>175816608503</v>
      </c>
      <c r="G2104" s="179" t="n">
        <v>175728128790</v>
      </c>
      <c r="H2104" s="179">
        <f>IFERROR(D2104+G2104,D2104)</f>
        <v/>
      </c>
      <c r="I2104" s="184">
        <f>IFERROR(D2104/H2104,"")</f>
        <v/>
      </c>
      <c r="J2104" s="179" t="n">
        <v>14864020037</v>
      </c>
      <c r="K2104" s="179" t="n">
        <v>29728040075</v>
      </c>
      <c r="L2104" s="179" t="n">
        <v>44592060112</v>
      </c>
    </row>
    <row r="2105" ht="15" customHeight="1" s="95">
      <c r="A2105" s="143" t="n">
        <v>45934</v>
      </c>
      <c r="B2105" s="146" t="n">
        <v>0.999843</v>
      </c>
      <c r="C2105" s="179" t="n">
        <v>75402867504</v>
      </c>
      <c r="D2105" s="179" t="n">
        <v>75414676947</v>
      </c>
      <c r="E2105" s="146" t="n">
        <v>1.000544</v>
      </c>
      <c r="F2105" s="179" t="n">
        <v>176335566592</v>
      </c>
      <c r="G2105" s="179" t="n">
        <v>176239692056</v>
      </c>
      <c r="H2105" s="179">
        <f>IFERROR(D2105+G2105,D2105)</f>
        <v/>
      </c>
      <c r="I2105" s="184">
        <f>IFERROR(D2105/H2105,"")</f>
        <v/>
      </c>
      <c r="J2105" s="179" t="n">
        <v>15082935389</v>
      </c>
      <c r="K2105" s="179" t="n">
        <v>30165870779</v>
      </c>
      <c r="L2105" s="179" t="n">
        <v>45248806168</v>
      </c>
    </row>
    <row r="2106" ht="15" customHeight="1" s="95">
      <c r="A2106" s="143" t="n">
        <v>45935</v>
      </c>
      <c r="B2106" s="146" t="n">
        <v>0.9997</v>
      </c>
      <c r="C2106" s="179" t="n">
        <v>75340591581</v>
      </c>
      <c r="D2106" s="179" t="n">
        <v>75363178057</v>
      </c>
      <c r="E2106" s="146" t="n">
        <v>1.000346</v>
      </c>
      <c r="F2106" s="179" t="n">
        <v>176304224855</v>
      </c>
      <c r="G2106" s="179" t="n">
        <v>176243180532</v>
      </c>
      <c r="H2106" s="179">
        <f>IFERROR(D2106+G2106,D2106)</f>
        <v/>
      </c>
      <c r="I2106" s="184">
        <f>IFERROR(D2106/H2106,"")</f>
        <v/>
      </c>
      <c r="J2106" s="179" t="n">
        <v>15072635611</v>
      </c>
      <c r="K2106" s="179" t="n">
        <v>30145271223</v>
      </c>
      <c r="L2106" s="179" t="n">
        <v>45217906834</v>
      </c>
    </row>
    <row r="2107" ht="15" customHeight="1" s="95">
      <c r="A2107" s="143" t="n">
        <v>45936</v>
      </c>
      <c r="B2107" s="146" t="n">
        <v>0.999703</v>
      </c>
      <c r="C2107" s="179" t="n">
        <v>75216551271</v>
      </c>
      <c r="D2107" s="179" t="n">
        <v>75238884316</v>
      </c>
      <c r="E2107" s="146" t="n">
        <v>1.000206</v>
      </c>
      <c r="F2107" s="179" t="n">
        <v>177067514950</v>
      </c>
      <c r="G2107" s="179" t="n">
        <v>177030985934</v>
      </c>
      <c r="H2107" s="179">
        <f>IFERROR(D2107+G2107,D2107)</f>
        <v/>
      </c>
      <c r="I2107" s="184">
        <f>IFERROR(D2107/H2107,"")</f>
        <v/>
      </c>
      <c r="J2107" s="179" t="n">
        <v>15047776863</v>
      </c>
      <c r="K2107" s="179" t="n">
        <v>30095553726</v>
      </c>
      <c r="L2107" s="179" t="n">
        <v>45143330590</v>
      </c>
    </row>
    <row r="2108" ht="15" customHeight="1" s="95">
      <c r="A2108" s="143" t="n">
        <v>45937</v>
      </c>
      <c r="B2108" s="146" t="n">
        <v>0.999741</v>
      </c>
      <c r="C2108" s="179" t="n">
        <v>75490408399</v>
      </c>
      <c r="D2108" s="179" t="n">
        <v>75509934771</v>
      </c>
      <c r="E2108" s="146" t="n">
        <v>1.000319</v>
      </c>
      <c r="F2108" s="179" t="n">
        <v>177079964922</v>
      </c>
      <c r="G2108" s="179" t="n">
        <v>177023412062</v>
      </c>
      <c r="H2108" s="179">
        <f>IFERROR(D2108+G2108,D2108)</f>
        <v/>
      </c>
      <c r="I2108" s="184">
        <f>IFERROR(D2108/H2108,"")</f>
        <v/>
      </c>
      <c r="J2108" s="179" t="n">
        <v>15101986954</v>
      </c>
      <c r="K2108" s="179" t="n">
        <v>30203973908</v>
      </c>
      <c r="L2108" s="179" t="n">
        <v>45305960863</v>
      </c>
    </row>
    <row r="2109" ht="15" customHeight="1" s="95">
      <c r="A2109" s="143" t="n">
        <v>45938</v>
      </c>
      <c r="B2109" s="146" t="n">
        <v>0.999626</v>
      </c>
      <c r="C2109" s="179" t="n">
        <v>75582405046</v>
      </c>
      <c r="D2109" s="179" t="n">
        <v>75610713555</v>
      </c>
      <c r="E2109" s="146" t="n">
        <v>1.000389</v>
      </c>
      <c r="F2109" s="179" t="n">
        <v>177494668064</v>
      </c>
      <c r="G2109" s="179" t="n">
        <v>177425682001</v>
      </c>
      <c r="H2109" s="179">
        <f>IFERROR(D2109+G2109,D2109)</f>
        <v/>
      </c>
      <c r="I2109" s="184">
        <f>IFERROR(D2109/H2109,"")</f>
        <v/>
      </c>
      <c r="J2109" s="179" t="n">
        <v>15122142711</v>
      </c>
      <c r="K2109" s="179" t="n">
        <v>30244285422</v>
      </c>
      <c r="L2109" s="179" t="n">
        <v>45366428133</v>
      </c>
    </row>
    <row r="2110" ht="15" customHeight="1" s="95">
      <c r="A2110" s="143" t="n">
        <v>45939</v>
      </c>
      <c r="B2110" s="146" t="n">
        <v>0.999698</v>
      </c>
      <c r="C2110" s="179" t="n">
        <v>75665318341</v>
      </c>
      <c r="D2110" s="179" t="n">
        <v>75688212473</v>
      </c>
      <c r="E2110" s="146" t="n">
        <v>1.000224</v>
      </c>
      <c r="F2110" s="179" t="n">
        <v>177950841608</v>
      </c>
      <c r="G2110" s="179" t="n">
        <v>177911035117</v>
      </c>
      <c r="H2110" s="179">
        <f>IFERROR(D2110+G2110,D2110)</f>
        <v/>
      </c>
      <c r="I2110" s="184">
        <f>IFERROR(D2110/H2110,"")</f>
        <v/>
      </c>
      <c r="J2110" s="179" t="n">
        <v>15137642495</v>
      </c>
      <c r="K2110" s="179" t="n">
        <v>30275284989</v>
      </c>
      <c r="L2110" s="179" t="n">
        <v>45412927484</v>
      </c>
    </row>
    <row r="2111" ht="15" customHeight="1" s="95">
      <c r="A2111" s="143" t="n">
        <v>45940</v>
      </c>
      <c r="B2111" s="146" t="n">
        <v>0.9998010000000001</v>
      </c>
      <c r="C2111" s="179" t="n">
        <v>75574178484</v>
      </c>
      <c r="D2111" s="179" t="n">
        <v>75589225653</v>
      </c>
      <c r="E2111" s="146" t="n">
        <v>1.000533</v>
      </c>
      <c r="F2111" s="179" t="n">
        <v>178429389762</v>
      </c>
      <c r="G2111" s="179" t="n">
        <v>178334402548</v>
      </c>
      <c r="H2111" s="179">
        <f>IFERROR(D2111+G2111,D2111)</f>
        <v/>
      </c>
      <c r="I2111" s="184">
        <f>IFERROR(D2111/H2111,"")</f>
        <v/>
      </c>
      <c r="J2111" s="179" t="n">
        <v>15117845131</v>
      </c>
      <c r="K2111" s="179" t="n">
        <v>30235690261</v>
      </c>
      <c r="L2111" s="179" t="n">
        <v>45353535392</v>
      </c>
    </row>
    <row r="2112" ht="15" customHeight="1" s="95">
      <c r="A2112" s="143" t="n">
        <v>45941</v>
      </c>
      <c r="B2112" s="146" t="n">
        <v>0.999785</v>
      </c>
      <c r="C2112" s="179" t="n">
        <v>75026867754</v>
      </c>
      <c r="D2112" s="179" t="n">
        <v>75042964977</v>
      </c>
      <c r="E2112" s="146" t="n">
        <v>1.001698</v>
      </c>
      <c r="F2112" s="179" t="n">
        <v>178990649162</v>
      </c>
      <c r="G2112" s="179" t="n">
        <v>178687236190</v>
      </c>
      <c r="H2112" s="179">
        <f>IFERROR(D2112+G2112,D2112)</f>
        <v/>
      </c>
      <c r="I2112" s="184">
        <f>IFERROR(D2112/H2112,"")</f>
        <v/>
      </c>
      <c r="J2112" s="179" t="n">
        <v>15008592995</v>
      </c>
      <c r="K2112" s="179" t="n">
        <v>30017185991</v>
      </c>
      <c r="L2112" s="179" t="n">
        <v>45025778986</v>
      </c>
    </row>
    <row r="2113" ht="15" customHeight="1" s="95">
      <c r="A2113" s="143" t="n">
        <v>45942</v>
      </c>
      <c r="B2113" s="146" t="n">
        <v>0.999873</v>
      </c>
      <c r="C2113" s="179" t="n">
        <v>75382187140</v>
      </c>
      <c r="D2113" s="179" t="n">
        <v>75391760015</v>
      </c>
      <c r="E2113" s="146" t="n">
        <v>1.001591</v>
      </c>
      <c r="F2113" s="179" t="n">
        <v>179446718177</v>
      </c>
      <c r="G2113" s="179" t="n">
        <v>179161654953</v>
      </c>
      <c r="H2113" s="179">
        <f>IFERROR(D2113+G2113,D2113)</f>
        <v/>
      </c>
      <c r="I2113" s="184">
        <f>IFERROR(D2113/H2113,"")</f>
        <v/>
      </c>
      <c r="J2113" s="179" t="n">
        <v>15078352003</v>
      </c>
      <c r="K2113" s="179" t="n">
        <v>30156704006</v>
      </c>
      <c r="L2113" s="179" t="n">
        <v>45235056009</v>
      </c>
    </row>
    <row r="2114" ht="15" customHeight="1" s="95">
      <c r="A2114" s="143" t="n">
        <v>45943</v>
      </c>
      <c r="B2114" s="146" t="n">
        <v>0.999924</v>
      </c>
      <c r="C2114" s="179" t="n">
        <v>75639712687</v>
      </c>
      <c r="D2114" s="179" t="n">
        <v>75645442698</v>
      </c>
      <c r="E2114" s="146" t="n">
        <v>1.001206</v>
      </c>
      <c r="F2114" s="179" t="n">
        <v>180012440570</v>
      </c>
      <c r="G2114" s="179" t="n">
        <v>179795529123</v>
      </c>
      <c r="H2114" s="179">
        <f>IFERROR(D2114+G2114,D2114)</f>
        <v/>
      </c>
      <c r="I2114" s="184">
        <f>IFERROR(D2114/H2114,"")</f>
        <v/>
      </c>
      <c r="J2114" s="179" t="n">
        <v>15129088540</v>
      </c>
      <c r="K2114" s="179" t="n">
        <v>30258177079</v>
      </c>
      <c r="L2114" s="179" t="n">
        <v>45387265619</v>
      </c>
    </row>
    <row r="2115" ht="15" customHeight="1" s="95">
      <c r="A2115" s="143" t="n">
        <v>45944</v>
      </c>
      <c r="B2115" s="146" t="n">
        <v>0.999996</v>
      </c>
      <c r="C2115" s="179" t="n">
        <v>75821593638</v>
      </c>
      <c r="D2115" s="179" t="n">
        <v>75821862333</v>
      </c>
      <c r="E2115" s="146" t="n">
        <v>1.001045</v>
      </c>
      <c r="F2115" s="179" t="n">
        <v>179968076038</v>
      </c>
      <c r="G2115" s="179" t="n">
        <v>179780238830</v>
      </c>
      <c r="H2115" s="179">
        <f>IFERROR(D2115+G2115,D2115)</f>
        <v/>
      </c>
      <c r="I2115" s="184">
        <f>IFERROR(D2115/H2115,"")</f>
        <v/>
      </c>
      <c r="J2115" s="179" t="n">
        <v>15164372467</v>
      </c>
      <c r="K2115" s="179" t="n">
        <v>30328744933</v>
      </c>
      <c r="L2115" s="179" t="n">
        <v>45493117400</v>
      </c>
    </row>
    <row r="2116" ht="15" customHeight="1" s="95">
      <c r="A2116" s="143" t="n">
        <v>45945</v>
      </c>
      <c r="B2116" s="146" t="n">
        <v>0.999902</v>
      </c>
      <c r="C2116" s="179" t="n">
        <v>76219878474</v>
      </c>
      <c r="D2116" s="179" t="n">
        <v>76227368221</v>
      </c>
      <c r="E2116" s="146" t="n">
        <v>1.000663</v>
      </c>
      <c r="F2116" s="179" t="n">
        <v>180724457715</v>
      </c>
      <c r="G2116" s="179" t="n">
        <v>180604709747</v>
      </c>
      <c r="H2116" s="179">
        <f>IFERROR(D2116+G2116,D2116)</f>
        <v/>
      </c>
      <c r="I2116" s="184">
        <f>IFERROR(D2116/H2116,"")</f>
        <v/>
      </c>
      <c r="J2116" s="179" t="n">
        <v>15245473644</v>
      </c>
      <c r="K2116" s="179" t="n">
        <v>30490947288</v>
      </c>
      <c r="L2116" s="179" t="n">
        <v>45736420933</v>
      </c>
    </row>
    <row r="2117" ht="15" customHeight="1" s="95">
      <c r="A2117" s="143" t="n">
        <v>45946</v>
      </c>
      <c r="B2117" s="146" t="n">
        <v>0.999802</v>
      </c>
      <c r="C2117" s="179" t="n">
        <v>76066936940</v>
      </c>
      <c r="D2117" s="179" t="n">
        <v>76082036028</v>
      </c>
      <c r="E2117" s="146" t="n">
        <v>1.000749</v>
      </c>
      <c r="F2117" s="179" t="n">
        <v>180746576093</v>
      </c>
      <c r="G2117" s="179" t="n">
        <v>180611226366</v>
      </c>
      <c r="H2117" s="179">
        <f>IFERROR(D2117+G2117,D2117)</f>
        <v/>
      </c>
      <c r="I2117" s="184">
        <f>IFERROR(D2117/H2117,"")</f>
        <v/>
      </c>
      <c r="J2117" s="179" t="n">
        <v>15216407206</v>
      </c>
      <c r="K2117" s="179" t="n">
        <v>30432814411</v>
      </c>
      <c r="L2117" s="179" t="n">
        <v>45649221617</v>
      </c>
    </row>
    <row r="2118" ht="15" customHeight="1" s="95">
      <c r="A2118" s="143" t="n">
        <v>45947</v>
      </c>
      <c r="B2118" s="146" t="n">
        <v>0.999802</v>
      </c>
      <c r="C2118" s="179" t="n">
        <v>75948741220</v>
      </c>
      <c r="D2118" s="179" t="n">
        <v>75963799994</v>
      </c>
      <c r="E2118" s="146" t="n">
        <v>1.000447</v>
      </c>
      <c r="F2118" s="179" t="n">
        <v>181409776329</v>
      </c>
      <c r="G2118" s="179" t="n">
        <v>181328754626</v>
      </c>
      <c r="H2118" s="179">
        <f>IFERROR(D2118+G2118,D2118)</f>
        <v/>
      </c>
      <c r="I2118" s="184">
        <f>IFERROR(D2118/H2118,"")</f>
        <v/>
      </c>
      <c r="J2118" s="179" t="n">
        <v>15192759999</v>
      </c>
      <c r="K2118" s="179" t="n">
        <v>30385519998</v>
      </c>
      <c r="L2118" s="179" t="n">
        <v>45578279996</v>
      </c>
    </row>
    <row r="2119" ht="15" customHeight="1" s="95">
      <c r="A2119" s="143" t="n">
        <v>45948</v>
      </c>
      <c r="B2119" s="146" t="n">
        <v>0.9999</v>
      </c>
      <c r="C2119" s="179" t="n">
        <v>76033638109</v>
      </c>
      <c r="D2119" s="179" t="n">
        <v>76041228231</v>
      </c>
      <c r="E2119" s="146" t="n">
        <v>1.000745</v>
      </c>
      <c r="F2119" s="179" t="n">
        <v>181690604096</v>
      </c>
      <c r="G2119" s="179" t="n">
        <v>181555390711</v>
      </c>
      <c r="H2119" s="179">
        <f>IFERROR(D2119+G2119,D2119)</f>
        <v/>
      </c>
      <c r="I2119" s="184">
        <f>IFERROR(D2119/H2119,"")</f>
        <v/>
      </c>
      <c r="J2119" s="179" t="n">
        <v>15208245646</v>
      </c>
      <c r="K2119" s="179" t="n">
        <v>30416491292</v>
      </c>
      <c r="L2119" s="179" t="n">
        <v>45624736939</v>
      </c>
    </row>
    <row r="2120" ht="15" customHeight="1" s="95">
      <c r="A2120" s="143" t="n">
        <v>45949</v>
      </c>
      <c r="B2120" s="146" t="n">
        <v>0.999804</v>
      </c>
      <c r="C2120" s="179" t="n">
        <v>75939549186</v>
      </c>
      <c r="D2120" s="179" t="n">
        <v>75954441048</v>
      </c>
      <c r="E2120" s="146" t="n">
        <v>1.000616</v>
      </c>
      <c r="F2120" s="179" t="n">
        <v>181974341826</v>
      </c>
      <c r="G2120" s="179" t="n">
        <v>181862398842</v>
      </c>
      <c r="H2120" s="179">
        <f>IFERROR(D2120+G2120,D2120)</f>
        <v/>
      </c>
      <c r="I2120" s="184">
        <f>IFERROR(D2120/H2120,"")</f>
        <v/>
      </c>
      <c r="J2120" s="179" t="n">
        <v>15190888210</v>
      </c>
      <c r="K2120" s="179" t="n">
        <v>30381776419</v>
      </c>
      <c r="L2120" s="179" t="n">
        <v>45572664629</v>
      </c>
    </row>
    <row r="2121" ht="15" customHeight="1" s="95">
      <c r="A2121" s="143" t="n">
        <v>45950</v>
      </c>
      <c r="B2121" s="146" t="n">
        <v>0.99982</v>
      </c>
      <c r="C2121" s="179" t="n">
        <v>75939618382</v>
      </c>
      <c r="D2121" s="179" t="n">
        <v>75953269404</v>
      </c>
      <c r="E2121" s="146" t="n">
        <v>1.000579</v>
      </c>
      <c r="F2121" s="179" t="n">
        <v>181983632002</v>
      </c>
      <c r="G2121" s="179" t="n">
        <v>181878383957</v>
      </c>
      <c r="H2121" s="179">
        <f>IFERROR(D2121+G2121,D2121)</f>
        <v/>
      </c>
      <c r="I2121" s="184">
        <f>IFERROR(D2121/H2121,"")</f>
        <v/>
      </c>
      <c r="J2121" s="179" t="n">
        <v>15190653881</v>
      </c>
      <c r="K2121" s="179" t="n">
        <v>30381307762</v>
      </c>
      <c r="L2121" s="179" t="n">
        <v>45571961642</v>
      </c>
    </row>
    <row r="2122" ht="15" customHeight="1" s="95">
      <c r="A2122" s="143" t="n">
        <v>45951</v>
      </c>
      <c r="B2122" s="146" t="n">
        <v>0.9998010000000001</v>
      </c>
      <c r="C2122" s="179" t="n">
        <v>76201196395</v>
      </c>
      <c r="D2122" s="179" t="n">
        <v>76216385949</v>
      </c>
      <c r="E2122" s="146" t="n">
        <v>1.000521</v>
      </c>
      <c r="F2122" s="179" t="n">
        <v>181966466928</v>
      </c>
      <c r="G2122" s="179" t="n">
        <v>181871720079</v>
      </c>
      <c r="H2122" s="179">
        <f>IFERROR(D2122+G2122,D2122)</f>
        <v/>
      </c>
      <c r="I2122" s="184">
        <f>IFERROR(D2122/H2122,"")</f>
        <v/>
      </c>
      <c r="J2122" s="179" t="n">
        <v>15243277190</v>
      </c>
      <c r="K2122" s="179" t="n">
        <v>30486554380</v>
      </c>
      <c r="L2122" s="179" t="n">
        <v>45729831569</v>
      </c>
    </row>
    <row r="2123" ht="15" customHeight="1" s="95">
      <c r="A2123" s="143" t="n">
        <v>45952</v>
      </c>
      <c r="B2123" s="146" t="n">
        <v>0.999808</v>
      </c>
      <c r="C2123" s="179" t="n">
        <v>76780747878</v>
      </c>
      <c r="D2123" s="179" t="n">
        <v>76795513540</v>
      </c>
      <c r="E2123" s="146" t="n">
        <v>1.000538</v>
      </c>
      <c r="F2123" s="179" t="n">
        <v>182056845390</v>
      </c>
      <c r="G2123" s="179" t="n">
        <v>181959001335</v>
      </c>
      <c r="H2123" s="179">
        <f>IFERROR(D2123+G2123,D2123)</f>
        <v/>
      </c>
      <c r="I2123" s="184">
        <f>IFERROR(D2123/H2123,"")</f>
        <v/>
      </c>
      <c r="J2123" s="179" t="n">
        <v>15359102708</v>
      </c>
      <c r="K2123" s="179" t="n">
        <v>30718205416</v>
      </c>
      <c r="L2123" s="179" t="n">
        <v>46077308124</v>
      </c>
    </row>
    <row r="2124" ht="15" customHeight="1" s="95">
      <c r="A2124" s="143" t="n">
        <v>45953</v>
      </c>
      <c r="B2124" s="146" t="n">
        <v>0.999803</v>
      </c>
      <c r="C2124" s="179" t="n">
        <v>76534953556</v>
      </c>
      <c r="D2124" s="179" t="n">
        <v>76550031530</v>
      </c>
      <c r="E2124" s="146" t="n">
        <v>1.000354</v>
      </c>
      <c r="F2124" s="179" t="n">
        <v>182479294245</v>
      </c>
      <c r="G2124" s="179" t="n">
        <v>182414764259</v>
      </c>
      <c r="H2124" s="179">
        <f>IFERROR(D2124+G2124,D2124)</f>
        <v/>
      </c>
      <c r="I2124" s="184">
        <f>IFERROR(D2124/H2124,"")</f>
        <v/>
      </c>
      <c r="J2124" s="179" t="n">
        <v>15310006306</v>
      </c>
      <c r="K2124" s="179" t="n">
        <v>30620012612</v>
      </c>
      <c r="L2124" s="179" t="n">
        <v>45930018918</v>
      </c>
    </row>
    <row r="2125" ht="15" customHeight="1" s="95">
      <c r="A2125" s="143" t="n">
        <v>45954</v>
      </c>
      <c r="B2125" s="146" t="n">
        <v>0.99981</v>
      </c>
      <c r="C2125" s="179" t="n">
        <v>76493628580</v>
      </c>
      <c r="D2125" s="179" t="n">
        <v>76508173919</v>
      </c>
      <c r="E2125" s="146" t="n">
        <v>1.000437</v>
      </c>
      <c r="F2125" s="179" t="n">
        <v>182583812791</v>
      </c>
      <c r="G2125" s="179" t="n">
        <v>182503996036</v>
      </c>
      <c r="H2125" s="179">
        <f>IFERROR(D2125+G2125,D2125)</f>
        <v/>
      </c>
      <c r="I2125" s="184">
        <f>IFERROR(D2125/H2125,"")</f>
        <v/>
      </c>
      <c r="J2125" s="179" t="n">
        <v>15301634784</v>
      </c>
      <c r="K2125" s="179" t="n">
        <v>30603269568</v>
      </c>
      <c r="L2125" s="179" t="n">
        <v>45904904351</v>
      </c>
    </row>
    <row r="2126" ht="15" customHeight="1" s="95">
      <c r="A2126" s="143" t="n">
        <v>45955</v>
      </c>
      <c r="B2126" s="146" t="n">
        <v>0.999885</v>
      </c>
      <c r="C2126" s="179" t="n">
        <v>76326620231</v>
      </c>
      <c r="D2126" s="179" t="n">
        <v>76335362557</v>
      </c>
      <c r="E2126" s="146" t="n">
        <v>1.000399</v>
      </c>
      <c r="F2126" s="179" t="n">
        <v>182964141441</v>
      </c>
      <c r="G2126" s="179" t="n">
        <v>182891200314</v>
      </c>
      <c r="H2126" s="179">
        <f>IFERROR(D2126+G2126,D2126)</f>
        <v/>
      </c>
      <c r="I2126" s="184">
        <f>IFERROR(D2126/H2126,"")</f>
        <v/>
      </c>
      <c r="J2126" s="179" t="n">
        <v>15267072511</v>
      </c>
      <c r="K2126" s="179" t="n">
        <v>30534145023</v>
      </c>
      <c r="L2126" s="179" t="n">
        <v>45801217534</v>
      </c>
    </row>
    <row r="2127" ht="15" customHeight="1" s="95">
      <c r="A2127" s="143" t="n">
        <v>45956</v>
      </c>
      <c r="B2127" s="146" t="n">
        <v>0.999802</v>
      </c>
      <c r="C2127" s="179" t="n">
        <v>76278128433</v>
      </c>
      <c r="D2127" s="179" t="n">
        <v>76293238819</v>
      </c>
      <c r="E2127" s="146" t="n">
        <v>1.000377</v>
      </c>
      <c r="F2127" s="179" t="n">
        <v>182955826348</v>
      </c>
      <c r="G2127" s="179" t="n">
        <v>182886896437</v>
      </c>
      <c r="H2127" s="179">
        <f>IFERROR(D2127+G2127,D2127)</f>
        <v/>
      </c>
      <c r="I2127" s="184">
        <f>IFERROR(D2127/H2127,"")</f>
        <v/>
      </c>
      <c r="J2127" s="179" t="n">
        <v>15258647764</v>
      </c>
      <c r="K2127" s="179" t="n">
        <v>30517295528</v>
      </c>
      <c r="L2127" s="179" t="n">
        <v>45775943291</v>
      </c>
    </row>
    <row r="2128" ht="15" customHeight="1" s="95">
      <c r="A2128" s="143" t="n">
        <v>45957</v>
      </c>
      <c r="B2128" s="146" t="n">
        <v>0.999898</v>
      </c>
      <c r="C2128" s="179" t="n">
        <v>76236838551</v>
      </c>
      <c r="D2128" s="179" t="n">
        <v>76244634870</v>
      </c>
      <c r="E2128" s="146" t="n">
        <v>1.000176</v>
      </c>
      <c r="F2128" s="179" t="n">
        <v>183191897789</v>
      </c>
      <c r="G2128" s="179" t="n">
        <v>183159657931</v>
      </c>
      <c r="H2128" s="179">
        <f>IFERROR(D2128+G2128,D2128)</f>
        <v/>
      </c>
      <c r="I2128" s="184">
        <f>IFERROR(D2128/H2128,"")</f>
        <v/>
      </c>
      <c r="J2128" s="179" t="n">
        <v>15248926974</v>
      </c>
      <c r="K2128" s="179" t="n">
        <v>30497853948</v>
      </c>
      <c r="L2128" s="179" t="n">
        <v>45746780922</v>
      </c>
    </row>
    <row r="2129" ht="15" customHeight="1" s="95">
      <c r="A2129" s="143" t="n">
        <v>45958</v>
      </c>
      <c r="B2129" s="146" t="n">
        <v>0.999842</v>
      </c>
      <c r="C2129" s="179" t="n">
        <v>76159183452</v>
      </c>
      <c r="D2129" s="179" t="n">
        <v>76171204418</v>
      </c>
      <c r="E2129" s="146" t="n">
        <v>1.000153</v>
      </c>
      <c r="F2129" s="179" t="n">
        <v>183199468540</v>
      </c>
      <c r="G2129" s="179" t="n">
        <v>183171525446</v>
      </c>
      <c r="H2129" s="179">
        <f>IFERROR(D2129+G2129,D2129)</f>
        <v/>
      </c>
      <c r="I2129" s="184">
        <f>IFERROR(D2129/H2129,"")</f>
        <v/>
      </c>
      <c r="J2129" s="179" t="n">
        <v>15234240884</v>
      </c>
      <c r="K2129" s="179" t="n">
        <v>30468481767</v>
      </c>
      <c r="L2129" s="179" t="n">
        <v>45702722651</v>
      </c>
    </row>
    <row r="2130" ht="15" customHeight="1" s="95">
      <c r="A2130" s="143" t="n">
        <v>45959</v>
      </c>
      <c r="B2130" s="146" t="n">
        <v>0.999808</v>
      </c>
      <c r="C2130" s="179" t="n">
        <v>76198885072</v>
      </c>
      <c r="D2130" s="179" t="n">
        <v>76213556024</v>
      </c>
      <c r="E2130" s="146" t="n">
        <v>1.000326</v>
      </c>
      <c r="F2130" s="179" t="n">
        <v>183287874389</v>
      </c>
      <c r="G2130" s="179" t="n">
        <v>183228203608</v>
      </c>
      <c r="H2130" s="179">
        <f>IFERROR(D2130+G2130,D2130)</f>
        <v/>
      </c>
      <c r="I2130" s="184">
        <f>IFERROR(D2130/H2130,"")</f>
        <v/>
      </c>
      <c r="J2130" s="179" t="n">
        <v>15242711205</v>
      </c>
      <c r="K2130" s="179" t="n">
        <v>30485422410</v>
      </c>
      <c r="L2130" s="179" t="n">
        <v>45728133614</v>
      </c>
    </row>
    <row r="2131" ht="15" customHeight="1" s="95">
      <c r="A2131" s="143" t="n">
        <v>45960</v>
      </c>
      <c r="B2131" s="146" t="n">
        <v>0.999807</v>
      </c>
      <c r="C2131" s="179" t="n">
        <v>76301584814</v>
      </c>
      <c r="D2131" s="179" t="n">
        <v>76316291344</v>
      </c>
      <c r="E2131" s="146" t="n">
        <v>1.000296</v>
      </c>
      <c r="F2131" s="179" t="n">
        <v>183390521235</v>
      </c>
      <c r="G2131" s="179" t="n">
        <v>183336184745</v>
      </c>
      <c r="H2131" s="179">
        <f>IFERROR(D2131+G2131,D2131)</f>
        <v/>
      </c>
      <c r="I2131" s="184">
        <f>IFERROR(D2131/H2131,"")</f>
        <v/>
      </c>
      <c r="J2131" s="179" t="n">
        <v>15263258269</v>
      </c>
      <c r="K2131" s="179" t="n">
        <v>30526516538</v>
      </c>
      <c r="L2131" s="179" t="n">
        <v>45789774806</v>
      </c>
    </row>
    <row r="2132" ht="15" customHeight="1" s="95">
      <c r="A2132" s="143" t="n">
        <v>45961</v>
      </c>
      <c r="B2132" s="146" t="n">
        <v>0.9998</v>
      </c>
      <c r="C2132" s="179" t="n">
        <v>75950060281</v>
      </c>
      <c r="D2132" s="179" t="n">
        <v>75965216030</v>
      </c>
      <c r="E2132" s="146" t="n">
        <v>1.000145</v>
      </c>
      <c r="F2132" s="179" t="n">
        <v>183366211111</v>
      </c>
      <c r="G2132" s="179" t="n">
        <v>183339605401</v>
      </c>
      <c r="H2132" s="179">
        <f>IFERROR(D2132+G2132,D2132)</f>
        <v/>
      </c>
      <c r="I2132" s="184">
        <f>IFERROR(D2132/H2132,"")</f>
        <v/>
      </c>
      <c r="J2132" s="179" t="n">
        <v>15193043206</v>
      </c>
      <c r="K2132" s="179" t="n">
        <v>30386086412</v>
      </c>
      <c r="L2132" s="179" t="n">
        <v>45579129618</v>
      </c>
    </row>
    <row r="2133" ht="15" customHeight="1" s="95">
      <c r="A2133" s="143" t="n">
        <v>45962</v>
      </c>
      <c r="B2133" s="146" t="n">
        <v>0.999709</v>
      </c>
      <c r="C2133" s="179" t="n">
        <v>75912385027</v>
      </c>
      <c r="D2133" s="179" t="n">
        <v>75934511776</v>
      </c>
      <c r="E2133" s="146" t="n">
        <v>0.999761</v>
      </c>
      <c r="F2133" s="179" t="n">
        <v>183355571992</v>
      </c>
      <c r="G2133" s="179" t="n">
        <v>183399342147</v>
      </c>
      <c r="H2133" s="179">
        <f>IFERROR(D2133+G2133,D2133)</f>
        <v/>
      </c>
      <c r="I2133" s="184">
        <f>IFERROR(D2133/H2133,"")</f>
        <v/>
      </c>
      <c r="J2133" s="179" t="n">
        <v>15186902355</v>
      </c>
      <c r="K2133" s="179" t="n">
        <v>30373804710</v>
      </c>
      <c r="L2133" s="179" t="n">
        <v>45560707066</v>
      </c>
    </row>
    <row r="2134" ht="15" customHeight="1" s="95">
      <c r="A2134" s="143" t="n">
        <v>45963</v>
      </c>
      <c r="B2134" s="146" t="n">
        <v>0.99979</v>
      </c>
      <c r="C2134" s="179" t="n">
        <v>75855338093</v>
      </c>
      <c r="D2134" s="179" t="n">
        <v>75871271061</v>
      </c>
      <c r="E2134" s="146" t="n">
        <v>0.999882</v>
      </c>
      <c r="F2134" s="179" t="n">
        <v>183434428104</v>
      </c>
      <c r="G2134" s="179" t="n">
        <v>183456100882</v>
      </c>
      <c r="H2134" s="179">
        <f>IFERROR(D2134+G2134,D2134)</f>
        <v/>
      </c>
      <c r="I2134" s="184">
        <f>IFERROR(D2134/H2134,"")</f>
        <v/>
      </c>
      <c r="J2134" s="179" t="n">
        <v>15174254212</v>
      </c>
      <c r="K2134" s="179" t="n">
        <v>30348508424</v>
      </c>
      <c r="L2134" s="179" t="n">
        <v>45522762637</v>
      </c>
    </row>
    <row r="2135" ht="15" customHeight="1" s="95">
      <c r="A2135" s="143" t="n">
        <v>45964</v>
      </c>
      <c r="B2135" s="146" t="n">
        <v>0.9998089999999999</v>
      </c>
      <c r="C2135" s="179" t="n">
        <v>75797588536</v>
      </c>
      <c r="D2135" s="179" t="n">
        <v>75812071977</v>
      </c>
      <c r="E2135" s="146" t="n">
        <v>1.000051</v>
      </c>
      <c r="F2135" s="179" t="n">
        <v>183457006523</v>
      </c>
      <c r="G2135" s="179" t="n">
        <v>183447641162</v>
      </c>
      <c r="H2135" s="179">
        <f>IFERROR(D2135+G2135,D2135)</f>
        <v/>
      </c>
      <c r="I2135" s="184">
        <f>IFERROR(D2135/H2135,"")</f>
        <v/>
      </c>
      <c r="J2135" s="179" t="n">
        <v>15162414395</v>
      </c>
      <c r="K2135" s="179" t="n">
        <v>30324828791</v>
      </c>
      <c r="L2135" s="179" t="n">
        <v>45487243186</v>
      </c>
    </row>
    <row r="2136" ht="15" customHeight="1" s="95">
      <c r="A2136" s="143" t="n">
        <v>45965</v>
      </c>
      <c r="B2136" s="146" t="n">
        <v>0.999804</v>
      </c>
      <c r="C2136" s="179" t="n">
        <v>75556937074</v>
      </c>
      <c r="D2136" s="179" t="n">
        <v>75571727576</v>
      </c>
      <c r="E2136" s="146" t="n">
        <v>0.999931</v>
      </c>
      <c r="F2136" s="179" t="n">
        <v>183437646536</v>
      </c>
      <c r="G2136" s="179" t="n">
        <v>183450335511</v>
      </c>
      <c r="H2136" s="179">
        <f>IFERROR(D2136+G2136,D2136)</f>
        <v/>
      </c>
      <c r="I2136" s="184">
        <f>IFERROR(D2136/H2136,"")</f>
        <v/>
      </c>
      <c r="J2136" s="179" t="n">
        <v>15114345515</v>
      </c>
      <c r="K2136" s="179" t="n">
        <v>30228691030</v>
      </c>
      <c r="L2136" s="179" t="n">
        <v>45343036546</v>
      </c>
    </row>
    <row r="2137" ht="15" customHeight="1" s="95">
      <c r="A2137" s="143" t="n">
        <v>45966</v>
      </c>
      <c r="B2137" s="146" t="n">
        <v>0.999775</v>
      </c>
      <c r="C2137" s="179" t="n">
        <v>75145449692</v>
      </c>
      <c r="D2137" s="179" t="n">
        <v>75162328322</v>
      </c>
      <c r="E2137" s="146" t="n">
        <v>1.000018</v>
      </c>
      <c r="F2137" s="179" t="n">
        <v>183420827853</v>
      </c>
      <c r="G2137" s="179" t="n">
        <v>183417442671</v>
      </c>
      <c r="H2137" s="179">
        <f>IFERROR(D2137+G2137,D2137)</f>
        <v/>
      </c>
      <c r="I2137" s="184">
        <f>IFERROR(D2137/H2137,"")</f>
        <v/>
      </c>
      <c r="J2137" s="179" t="n">
        <v>15032465664</v>
      </c>
      <c r="K2137" s="179" t="n">
        <v>30064931329</v>
      </c>
      <c r="L2137" s="179" t="n">
        <v>45097396993</v>
      </c>
    </row>
    <row r="2138" ht="15" customHeight="1" s="95">
      <c r="A2138" s="143" t="n">
        <v>45967</v>
      </c>
      <c r="B2138" s="146" t="n">
        <v>0.999702</v>
      </c>
      <c r="C2138" s="179" t="n">
        <v>75296518973</v>
      </c>
      <c r="D2138" s="179" t="n">
        <v>75318929058</v>
      </c>
      <c r="E2138" s="146" t="n">
        <v>1.000062</v>
      </c>
      <c r="F2138" s="179" t="n">
        <v>183473350319</v>
      </c>
      <c r="G2138" s="179" t="n">
        <v>183461927483</v>
      </c>
      <c r="H2138" s="179">
        <f>IFERROR(D2138+G2138,D2138)</f>
        <v/>
      </c>
      <c r="I2138" s="184">
        <f>IFERROR(D2138/H2138,"")</f>
        <v/>
      </c>
      <c r="J2138" s="179" t="n">
        <v>15063785812</v>
      </c>
      <c r="K2138" s="179" t="n">
        <v>30127571623</v>
      </c>
      <c r="L2138" s="179" t="n">
        <v>45191357435</v>
      </c>
    </row>
    <row r="2139" ht="15" customHeight="1" s="95">
      <c r="A2139" s="143" t="n">
        <v>45968</v>
      </c>
      <c r="B2139" s="146" t="n">
        <v>0.999704</v>
      </c>
      <c r="C2139" s="179" t="n">
        <v>75451938946</v>
      </c>
      <c r="D2139" s="179" t="n">
        <v>75474316354</v>
      </c>
      <c r="E2139" s="146" t="n">
        <v>0.999602</v>
      </c>
      <c r="F2139" s="179" t="n">
        <v>183373529053</v>
      </c>
      <c r="G2139" s="179" t="n">
        <v>183446501739</v>
      </c>
      <c r="H2139" s="179">
        <f>IFERROR(D2139+G2139,D2139)</f>
        <v/>
      </c>
      <c r="I2139" s="184">
        <f>IFERROR(D2139/H2139,"")</f>
        <v/>
      </c>
      <c r="J2139" s="179" t="n">
        <v>15094863271</v>
      </c>
      <c r="K2139" s="179" t="n">
        <v>30189726542</v>
      </c>
      <c r="L2139" s="179" t="n">
        <v>45284589812</v>
      </c>
    </row>
    <row r="2140" ht="15" customHeight="1" s="95">
      <c r="A2140" s="143" t="n">
        <v>45969</v>
      </c>
      <c r="B2140" s="146" t="n">
        <v>1</v>
      </c>
      <c r="C2140" s="179" t="n">
        <v>75779329530</v>
      </c>
      <c r="D2140" s="179" t="n">
        <v>75779355992</v>
      </c>
      <c r="E2140" s="146" t="n">
        <v>0.999704</v>
      </c>
      <c r="F2140" s="179" t="n">
        <v>183390255204</v>
      </c>
      <c r="G2140" s="179" t="n">
        <v>183444575008</v>
      </c>
      <c r="H2140" s="179">
        <f>IFERROR(D2140+G2140,D2140)</f>
        <v/>
      </c>
      <c r="I2140" s="184">
        <f>IFERROR(D2140/H2140,"")</f>
        <v/>
      </c>
      <c r="J2140" s="179" t="n">
        <v>15155871198</v>
      </c>
      <c r="K2140" s="179" t="n">
        <v>30311742397</v>
      </c>
      <c r="L2140" s="179" t="n">
        <v>45467613595</v>
      </c>
    </row>
    <row r="2141" ht="15" customHeight="1" s="95">
      <c r="A2141" s="143" t="n">
        <v>45970</v>
      </c>
      <c r="B2141" s="146" t="n">
        <v>0.999802</v>
      </c>
      <c r="C2141" s="179" t="n">
        <v>75700645708</v>
      </c>
      <c r="D2141" s="179" t="n">
        <v>75715672660</v>
      </c>
      <c r="E2141" s="146" t="n">
        <v>0.9998050000000001</v>
      </c>
      <c r="F2141" s="179" t="n">
        <v>183418028030</v>
      </c>
      <c r="G2141" s="179" t="n">
        <v>183453724965</v>
      </c>
      <c r="H2141" s="179">
        <f>IFERROR(D2141+G2141,D2141)</f>
        <v/>
      </c>
      <c r="I2141" s="184">
        <f>IFERROR(D2141/H2141,"")</f>
        <v/>
      </c>
      <c r="J2141" s="179" t="n">
        <v>15143134532</v>
      </c>
      <c r="K2141" s="179" t="n">
        <v>30286269064</v>
      </c>
      <c r="L2141" s="179" t="n">
        <v>45429403596</v>
      </c>
    </row>
    <row r="2142" ht="15" customHeight="1" s="95">
      <c r="A2142" s="143" t="n">
        <v>45971</v>
      </c>
      <c r="B2142" s="146" t="n">
        <v>0.999706</v>
      </c>
      <c r="C2142" s="179" t="n">
        <v>75757366577</v>
      </c>
      <c r="D2142" s="179" t="n">
        <v>75779680361</v>
      </c>
      <c r="E2142" s="146" t="n">
        <v>0.999748</v>
      </c>
      <c r="F2142" s="179" t="n">
        <v>183426322660</v>
      </c>
      <c r="G2142" s="179" t="n">
        <v>183472477081</v>
      </c>
      <c r="H2142" s="179">
        <f>IFERROR(D2142+G2142,D2142)</f>
        <v/>
      </c>
      <c r="I2142" s="184">
        <f>IFERROR(D2142/H2142,"")</f>
        <v/>
      </c>
      <c r="J2142" s="179" t="n">
        <v>15155936072</v>
      </c>
      <c r="K2142" s="179" t="n">
        <v>30311872144</v>
      </c>
      <c r="L2142" s="179" t="n">
        <v>45467808217</v>
      </c>
    </row>
    <row r="2143" ht="15" customHeight="1" s="95">
      <c r="A2143" s="143" t="n">
        <v>45972</v>
      </c>
      <c r="B2143" s="146" t="n">
        <v>0.999802</v>
      </c>
      <c r="C2143" s="179" t="n">
        <v>76155747955</v>
      </c>
      <c r="D2143" s="179" t="n">
        <v>76170837487</v>
      </c>
      <c r="E2143" s="146" t="n">
        <v>0.999603</v>
      </c>
      <c r="F2143" s="179" t="n">
        <v>183465216167</v>
      </c>
      <c r="G2143" s="179" t="n">
        <v>183538067655</v>
      </c>
      <c r="H2143" s="179">
        <f>IFERROR(D2143+G2143,D2143)</f>
        <v/>
      </c>
      <c r="I2143" s="184">
        <f>IFERROR(D2143/H2143,"")</f>
        <v/>
      </c>
      <c r="J2143" s="179" t="n">
        <v>15234167497</v>
      </c>
      <c r="K2143" s="179" t="n">
        <v>30468334995</v>
      </c>
      <c r="L2143" s="179" t="n">
        <v>45702502492</v>
      </c>
    </row>
    <row r="2144" ht="15" customHeight="1" s="95">
      <c r="A2144" s="143" t="n">
        <v>45973</v>
      </c>
      <c r="B2144" s="146" t="n">
        <v>0.999704</v>
      </c>
      <c r="C2144" s="179" t="n">
        <v>75967424757</v>
      </c>
      <c r="D2144" s="179" t="n">
        <v>75989925658</v>
      </c>
      <c r="E2144" s="146" t="n">
        <v>0.999349</v>
      </c>
      <c r="F2144" s="179" t="n">
        <v>183429112491</v>
      </c>
      <c r="G2144" s="179" t="n">
        <v>183548544336</v>
      </c>
      <c r="H2144" s="179">
        <f>IFERROR(D2144+G2144,D2144)</f>
        <v/>
      </c>
      <c r="I2144" s="184">
        <f>IFERROR(D2144/H2144,"")</f>
        <v/>
      </c>
      <c r="J2144" s="179" t="n">
        <v>15197985132</v>
      </c>
      <c r="K2144" s="179" t="n">
        <v>30395970263</v>
      </c>
      <c r="L2144" s="179" t="n">
        <v>45593955395</v>
      </c>
    </row>
    <row r="2145" ht="15" customHeight="1" s="95">
      <c r="A2145" s="143" t="n">
        <v>45974</v>
      </c>
      <c r="B2145" s="146" t="n">
        <v>0.9998010000000001</v>
      </c>
      <c r="C2145" s="179" t="n">
        <v>76052521919</v>
      </c>
      <c r="D2145" s="179" t="n">
        <v>76067649299</v>
      </c>
      <c r="E2145" s="146" t="n">
        <v>0.999813</v>
      </c>
      <c r="F2145" s="179" t="n">
        <v>184005021987</v>
      </c>
      <c r="G2145" s="179" t="n">
        <v>184039431708</v>
      </c>
      <c r="H2145" s="179">
        <f>IFERROR(D2145+G2145,D2145)</f>
        <v/>
      </c>
      <c r="I2145" s="184">
        <f>IFERROR(D2145/H2145,"")</f>
        <v/>
      </c>
      <c r="J2145" s="179" t="n">
        <v>15213529860</v>
      </c>
      <c r="K2145" s="179" t="n">
        <v>30427059720</v>
      </c>
      <c r="L2145" s="179" t="n">
        <v>45640589579</v>
      </c>
    </row>
    <row r="2146" ht="15" customHeight="1" s="95">
      <c r="A2146" s="143" t="n">
        <v>45975</v>
      </c>
      <c r="B2146" s="146" t="n">
        <v>0.9997819999999999</v>
      </c>
      <c r="C2146" s="179" t="n">
        <v>75578542259</v>
      </c>
      <c r="D2146" s="179" t="n">
        <v>75595041812</v>
      </c>
      <c r="E2146" s="146" t="n">
        <v>0.999362</v>
      </c>
      <c r="F2146" s="179" t="n">
        <v>183904959047</v>
      </c>
      <c r="G2146" s="179" t="n">
        <v>184022401328</v>
      </c>
      <c r="H2146" s="179">
        <f>IFERROR(D2146+G2146,D2146)</f>
        <v/>
      </c>
      <c r="I2146" s="184">
        <f>IFERROR(D2146/H2146,"")</f>
        <v/>
      </c>
      <c r="J2146" s="179" t="n">
        <v>15119008362</v>
      </c>
      <c r="K2146" s="179" t="n">
        <v>30238016725</v>
      </c>
      <c r="L2146" s="179" t="n">
        <v>45357025087</v>
      </c>
    </row>
    <row r="2147" ht="15" customHeight="1" s="95">
      <c r="A2147" s="143" t="n">
        <v>45976</v>
      </c>
      <c r="B2147" s="146" t="n">
        <v>0.999794</v>
      </c>
      <c r="C2147" s="179" t="n">
        <v>74989995354</v>
      </c>
      <c r="D2147" s="179" t="n">
        <v>75005458224</v>
      </c>
      <c r="E2147" s="146" t="n">
        <v>0.999681</v>
      </c>
      <c r="F2147" s="179" t="n">
        <v>183909651707</v>
      </c>
      <c r="G2147" s="179" t="n">
        <v>183968345128</v>
      </c>
      <c r="H2147" s="179">
        <f>IFERROR(D2147+G2147,D2147)</f>
        <v/>
      </c>
      <c r="I2147" s="184">
        <f>IFERROR(D2147/H2147,"")</f>
        <v/>
      </c>
      <c r="J2147" s="179" t="n">
        <v>15001091645</v>
      </c>
      <c r="K2147" s="179" t="n">
        <v>30002183290</v>
      </c>
      <c r="L2147" s="179" t="n">
        <v>45003274934</v>
      </c>
    </row>
    <row r="2148" ht="15" customHeight="1" s="95">
      <c r="A2148" s="143" t="n">
        <v>45977</v>
      </c>
      <c r="B2148" s="146" t="n">
        <v>0.9998</v>
      </c>
      <c r="C2148" s="179" t="n">
        <v>74928978465</v>
      </c>
      <c r="D2148" s="179" t="n">
        <v>74943999519</v>
      </c>
      <c r="E2148" s="146" t="n">
        <v>0.999625</v>
      </c>
      <c r="F2148" s="179" t="n">
        <v>183963683697</v>
      </c>
      <c r="G2148" s="179" t="n">
        <v>184032767726</v>
      </c>
      <c r="H2148" s="179">
        <f>IFERROR(D2148+G2148,D2148)</f>
        <v/>
      </c>
      <c r="I2148" s="184">
        <f>IFERROR(D2148/H2148,"")</f>
        <v/>
      </c>
      <c r="J2148" s="179" t="n">
        <v>14988799904</v>
      </c>
      <c r="K2148" s="179" t="n">
        <v>29977599808</v>
      </c>
      <c r="L2148" s="179" t="n">
        <v>44966399711</v>
      </c>
    </row>
    <row r="2149" ht="15" customHeight="1" s="95">
      <c r="A2149" s="143" t="n">
        <v>45978</v>
      </c>
      <c r="B2149" s="146" t="n">
        <v>0.9998010000000001</v>
      </c>
      <c r="C2149" s="179" t="n">
        <v>74854938591</v>
      </c>
      <c r="D2149" s="179" t="n">
        <v>74869847532</v>
      </c>
      <c r="E2149" s="146" t="n">
        <v>0.999319</v>
      </c>
      <c r="F2149" s="179" t="n">
        <v>183926036215</v>
      </c>
      <c r="G2149" s="179" t="n">
        <v>184051369134</v>
      </c>
      <c r="H2149" s="179">
        <f>IFERROR(D2149+G2149,D2149)</f>
        <v/>
      </c>
      <c r="I2149" s="184">
        <f>IFERROR(D2149/H2149,"")</f>
        <v/>
      </c>
      <c r="J2149" s="179" t="n">
        <v>14973969506</v>
      </c>
      <c r="K2149" s="179" t="n">
        <v>29947939013</v>
      </c>
      <c r="L2149" s="179" t="n">
        <v>44921908519</v>
      </c>
    </row>
    <row r="2150" ht="15" customHeight="1" s="95">
      <c r="A2150" s="143" t="n">
        <v>45979</v>
      </c>
      <c r="B2150" s="146" t="n">
        <v>0.999802</v>
      </c>
      <c r="C2150" s="179" t="n">
        <v>74892956509</v>
      </c>
      <c r="D2150" s="179" t="n">
        <v>74907775276</v>
      </c>
      <c r="E2150" s="146" t="n">
        <v>0.998934</v>
      </c>
      <c r="F2150" s="179" t="n">
        <v>183853937016</v>
      </c>
      <c r="G2150" s="179" t="n">
        <v>184050111396</v>
      </c>
      <c r="H2150" s="179">
        <f>IFERROR(D2150+G2150,D2150)</f>
        <v/>
      </c>
      <c r="I2150" s="184">
        <f>IFERROR(D2150/H2150,"")</f>
        <v/>
      </c>
      <c r="J2150" s="179" t="n">
        <v>14981555055</v>
      </c>
      <c r="K2150" s="179" t="n">
        <v>29963110110</v>
      </c>
      <c r="L2150" s="179" t="n">
        <v>44944665166</v>
      </c>
    </row>
    <row r="2151" ht="15" customHeight="1" s="95">
      <c r="A2151" s="143" t="n">
        <v>45980</v>
      </c>
      <c r="B2151" s="146" t="n">
        <v>0.999804</v>
      </c>
      <c r="C2151" s="179" t="n">
        <v>74880488294</v>
      </c>
      <c r="D2151" s="179" t="n">
        <v>74895140342</v>
      </c>
      <c r="E2151" s="146" t="n">
        <v>0.999535</v>
      </c>
      <c r="F2151" s="179" t="n">
        <v>183762763572</v>
      </c>
      <c r="G2151" s="179" t="n">
        <v>183848181770</v>
      </c>
      <c r="H2151" s="179">
        <f>IFERROR(D2151+G2151,D2151)</f>
        <v/>
      </c>
      <c r="I2151" s="184">
        <f>IFERROR(D2151/H2151,"")</f>
        <v/>
      </c>
      <c r="J2151" s="179" t="n">
        <v>14979028068</v>
      </c>
      <c r="K2151" s="179" t="n">
        <v>29958056137</v>
      </c>
      <c r="L2151" s="179" t="n">
        <v>44937084205</v>
      </c>
    </row>
    <row r="2152" ht="15" customHeight="1" s="95">
      <c r="A2152" s="143" t="n">
        <v>45981</v>
      </c>
      <c r="B2152" s="146" t="n">
        <v>0.999632</v>
      </c>
      <c r="C2152" s="179" t="n">
        <v>74643339219</v>
      </c>
      <c r="D2152" s="179" t="n">
        <v>74670789544</v>
      </c>
      <c r="E2152" s="146" t="n">
        <v>0.999136</v>
      </c>
      <c r="F2152" s="179" t="n">
        <v>183700071934</v>
      </c>
      <c r="G2152" s="179" t="n">
        <v>183858993872</v>
      </c>
      <c r="H2152" s="179">
        <f>IFERROR(D2152+G2152,D2152)</f>
        <v/>
      </c>
      <c r="I2152" s="184">
        <f>IFERROR(D2152/H2152,"")</f>
        <v/>
      </c>
      <c r="J2152" s="179" t="n">
        <v>14934157909</v>
      </c>
      <c r="K2152" s="179" t="n">
        <v>29868315818</v>
      </c>
      <c r="L2152" s="179" t="n">
        <v>44802473726</v>
      </c>
    </row>
    <row r="2153" ht="15" customHeight="1" s="95">
      <c r="A2153" s="143" t="n">
        <v>45982</v>
      </c>
      <c r="B2153" s="146" t="n">
        <v>0.999703</v>
      </c>
      <c r="C2153" s="179" t="n">
        <v>73909788280</v>
      </c>
      <c r="D2153" s="179" t="n">
        <v>73931733208</v>
      </c>
      <c r="E2153" s="146" t="n">
        <v>0.998908</v>
      </c>
      <c r="F2153" s="179" t="n">
        <v>184591758908</v>
      </c>
      <c r="G2153" s="179" t="n">
        <v>184793470034</v>
      </c>
      <c r="H2153" s="179">
        <f>IFERROR(D2153+G2153,D2153)</f>
        <v/>
      </c>
      <c r="I2153" s="184">
        <f>IFERROR(D2153/H2153,"")</f>
        <v/>
      </c>
      <c r="J2153" s="179" t="n">
        <v>14786346642</v>
      </c>
      <c r="K2153" s="179" t="n">
        <v>29572693283</v>
      </c>
      <c r="L2153" s="179" t="n">
        <v>44359039925</v>
      </c>
    </row>
    <row r="2154" ht="15" customHeight="1" s="95">
      <c r="A2154" s="143" t="n">
        <v>45983</v>
      </c>
      <c r="B2154" s="146" t="n">
        <v>0.999711</v>
      </c>
      <c r="C2154" s="179" t="n">
        <v>74040826913</v>
      </c>
      <c r="D2154" s="179" t="n">
        <v>74062242956</v>
      </c>
      <c r="E2154" s="146" t="n">
        <v>0.999567</v>
      </c>
      <c r="F2154" s="179" t="n">
        <v>184703894075</v>
      </c>
      <c r="G2154" s="179" t="n">
        <v>184783949648</v>
      </c>
      <c r="H2154" s="179">
        <f>IFERROR(D2154+G2154,D2154)</f>
        <v/>
      </c>
      <c r="I2154" s="184">
        <f>IFERROR(D2154/H2154,"")</f>
        <v/>
      </c>
      <c r="J2154" s="179" t="n">
        <v>14812448591</v>
      </c>
      <c r="K2154" s="179" t="n">
        <v>29624897182</v>
      </c>
      <c r="L2154" s="179" t="n">
        <v>44437345774</v>
      </c>
    </row>
    <row r="2155" ht="15" customHeight="1" s="95">
      <c r="A2155" s="143" t="n">
        <v>45984</v>
      </c>
      <c r="B2155" s="146" t="n">
        <v>0.999704</v>
      </c>
      <c r="C2155" s="179" t="n">
        <v>74004667844</v>
      </c>
      <c r="D2155" s="179" t="n">
        <v>74026599462</v>
      </c>
      <c r="E2155" s="146" t="n">
        <v>0.999601</v>
      </c>
      <c r="F2155" s="179" t="n">
        <v>184513624922</v>
      </c>
      <c r="G2155" s="179" t="n">
        <v>184587250115</v>
      </c>
      <c r="H2155" s="179">
        <f>IFERROR(D2155+G2155,D2155)</f>
        <v/>
      </c>
      <c r="I2155" s="184">
        <f>IFERROR(D2155/H2155,"")</f>
        <v/>
      </c>
      <c r="J2155" s="179" t="n">
        <v>14805319892</v>
      </c>
      <c r="K2155" s="179" t="n">
        <v>29610639785</v>
      </c>
      <c r="L2155" s="179" t="n">
        <v>44415959677</v>
      </c>
    </row>
    <row r="2156" ht="15" customHeight="1" s="95">
      <c r="A2156" s="143" t="n">
        <v>45985</v>
      </c>
      <c r="B2156" s="146" t="n">
        <v>0.999703</v>
      </c>
      <c r="C2156" s="179" t="n">
        <v>74068748779</v>
      </c>
      <c r="D2156" s="179" t="n">
        <v>74090747736</v>
      </c>
      <c r="E2156" s="146" t="n">
        <v>0.999798</v>
      </c>
      <c r="F2156" s="179" t="n">
        <v>184450064025</v>
      </c>
      <c r="G2156" s="179" t="n">
        <v>184487322061</v>
      </c>
      <c r="H2156" s="179">
        <f>IFERROR(D2156+G2156,D2156)</f>
        <v/>
      </c>
      <c r="I2156" s="184">
        <f>IFERROR(D2156/H2156,"")</f>
        <v/>
      </c>
      <c r="J2156" s="179" t="n">
        <v>14818149547</v>
      </c>
      <c r="K2156" s="179" t="n">
        <v>29636299094</v>
      </c>
      <c r="L2156" s="179" t="n">
        <v>44454448642</v>
      </c>
    </row>
    <row r="2157" ht="15" customHeight="1" s="95">
      <c r="A2157" s="143" t="n">
        <v>45986</v>
      </c>
      <c r="B2157" s="146" t="n">
        <v>0.999683</v>
      </c>
      <c r="C2157" s="179" t="n">
        <v>74501543758</v>
      </c>
      <c r="D2157" s="179" t="n">
        <v>74525174101</v>
      </c>
      <c r="E2157" s="146" t="n">
        <v>0.999895</v>
      </c>
      <c r="F2157" s="179" t="n">
        <v>184364174120</v>
      </c>
      <c r="G2157" s="179" t="n">
        <v>184383536906</v>
      </c>
      <c r="H2157" s="179">
        <f>IFERROR(D2157+G2157,D2157)</f>
        <v/>
      </c>
      <c r="I2157" s="184">
        <f>IFERROR(D2157/H2157,"")</f>
        <v/>
      </c>
      <c r="J2157" s="179" t="n">
        <v>14905034820</v>
      </c>
      <c r="K2157" s="179" t="n">
        <v>29810069640</v>
      </c>
      <c r="L2157" s="179" t="n">
        <v>44715104461</v>
      </c>
    </row>
    <row r="2158" ht="15" customHeight="1" s="95">
      <c r="A2158" s="143" t="n">
        <v>45987</v>
      </c>
      <c r="B2158" s="146" t="n">
        <v>0.999682</v>
      </c>
      <c r="C2158" s="179" t="n">
        <v>75168587746</v>
      </c>
      <c r="D2158" s="179" t="n">
        <v>75192463376</v>
      </c>
      <c r="E2158" s="146" t="n">
        <v>0.999718</v>
      </c>
      <c r="F2158" s="179" t="n">
        <v>184483146090</v>
      </c>
      <c r="G2158" s="179" t="n">
        <v>184535209391</v>
      </c>
      <c r="H2158" s="179">
        <f>IFERROR(D2158+G2158,D2158)</f>
        <v/>
      </c>
      <c r="I2158" s="184">
        <f>IFERROR(D2158/H2158,"")</f>
        <v/>
      </c>
      <c r="J2158" s="179" t="n">
        <v>15038492675</v>
      </c>
      <c r="K2158" s="179" t="n">
        <v>30076985350</v>
      </c>
      <c r="L2158" s="179" t="n">
        <v>45115478026</v>
      </c>
    </row>
    <row r="2159" ht="15" customHeight="1" s="95">
      <c r="A2159" s="143" t="n">
        <v>45988</v>
      </c>
      <c r="B2159" s="146" t="n">
        <v>0.999797</v>
      </c>
      <c r="C2159" s="179" t="n">
        <v>75754672529</v>
      </c>
      <c r="D2159" s="179" t="n">
        <v>75770038512</v>
      </c>
      <c r="E2159" s="146" t="n">
        <v>0.999952</v>
      </c>
      <c r="F2159" s="179" t="n">
        <v>184558481141</v>
      </c>
      <c r="G2159" s="179" t="n">
        <v>184567369751</v>
      </c>
      <c r="H2159" s="179">
        <f>IFERROR(D2159+G2159,D2159)</f>
        <v/>
      </c>
      <c r="I2159" s="184">
        <f>IFERROR(D2159/H2159,"")</f>
        <v/>
      </c>
      <c r="J2159" s="179" t="n">
        <v>15154007702</v>
      </c>
      <c r="K2159" s="179" t="n">
        <v>30308015405</v>
      </c>
      <c r="L2159" s="179" t="n">
        <v>45462023107</v>
      </c>
    </row>
    <row r="2160" ht="15" customHeight="1" s="95">
      <c r="A2160" s="143" t="n">
        <v>45989</v>
      </c>
      <c r="B2160" s="146" t="n">
        <v>0.999703</v>
      </c>
      <c r="C2160" s="179" t="n">
        <v>76024535653</v>
      </c>
      <c r="D2160" s="179" t="n">
        <v>76047120431</v>
      </c>
      <c r="E2160" s="146" t="n">
        <v>0.999999</v>
      </c>
      <c r="F2160" s="179" t="n">
        <v>184564207381</v>
      </c>
      <c r="G2160" s="179" t="n">
        <v>184564370905</v>
      </c>
      <c r="H2160" s="179">
        <f>IFERROR(D2160+G2160,D2160)</f>
        <v/>
      </c>
      <c r="I2160" s="184">
        <f>IFERROR(D2160/H2160,"")</f>
        <v/>
      </c>
      <c r="J2160" s="179" t="n">
        <v>15209424086</v>
      </c>
      <c r="K2160" s="179" t="n">
        <v>30418848172</v>
      </c>
      <c r="L2160" s="179" t="n">
        <v>45628272259</v>
      </c>
    </row>
    <row r="2161" ht="15" customHeight="1" s="95">
      <c r="A2161" s="143" t="n">
        <v>45990</v>
      </c>
      <c r="B2161" s="146" t="n">
        <v>0.999703</v>
      </c>
      <c r="C2161" s="179" t="n">
        <v>76529002202</v>
      </c>
      <c r="D2161" s="179" t="n">
        <v>76551742508</v>
      </c>
      <c r="E2161" s="146" t="n">
        <v>1.000232</v>
      </c>
      <c r="F2161" s="179" t="n">
        <v>184659967249</v>
      </c>
      <c r="G2161" s="179" t="n">
        <v>184617165868</v>
      </c>
      <c r="H2161" s="179">
        <f>IFERROR(D2161+G2161,D2161)</f>
        <v/>
      </c>
      <c r="I2161" s="184">
        <f>IFERROR(D2161/H2161,"")</f>
        <v/>
      </c>
      <c r="J2161" s="179" t="n">
        <v>15310348502</v>
      </c>
      <c r="K2161" s="179" t="n">
        <v>30620697003</v>
      </c>
      <c r="L2161" s="179" t="n">
        <v>45931045505</v>
      </c>
    </row>
    <row r="2162" ht="15" customHeight="1" s="95">
      <c r="A2162" s="143" t="n">
        <v>45991</v>
      </c>
      <c r="B2162" s="146" t="n">
        <v>0.999823</v>
      </c>
      <c r="C2162" s="179" t="n">
        <v>76543535518</v>
      </c>
      <c r="D2162" s="179" t="n">
        <v>76557102325</v>
      </c>
      <c r="E2162" s="146" t="n">
        <v>1.000341</v>
      </c>
      <c r="F2162" s="179" t="n">
        <v>184678012913</v>
      </c>
      <c r="G2162" s="179" t="n">
        <v>184615076176</v>
      </c>
      <c r="H2162" s="179">
        <f>IFERROR(D2162+G2162,D2162)</f>
        <v/>
      </c>
      <c r="I2162" s="184">
        <f>IFERROR(D2162/H2162,"")</f>
        <v/>
      </c>
      <c r="J2162" s="179" t="n">
        <v>15311420465</v>
      </c>
      <c r="K2162" s="179" t="n">
        <v>30622840930</v>
      </c>
      <c r="L2162" s="179" t="n">
        <v>45934261395</v>
      </c>
    </row>
    <row r="2163" ht="15" customHeight="1" s="95">
      <c r="A2163" s="143" t="n">
        <v>45992</v>
      </c>
      <c r="B2163" s="146" t="n">
        <v>0.9998089999999999</v>
      </c>
      <c r="C2163" s="179" t="n">
        <v>76589515806</v>
      </c>
      <c r="D2163" s="179" t="n">
        <v>76604154459</v>
      </c>
      <c r="E2163" s="146" t="n">
        <v>1.000181</v>
      </c>
      <c r="F2163" s="179" t="n">
        <v>184642693214</v>
      </c>
      <c r="G2163" s="179" t="n">
        <v>184609222336</v>
      </c>
      <c r="H2163" s="179">
        <f>IFERROR(D2163+G2163,D2163)</f>
        <v/>
      </c>
      <c r="I2163" s="184">
        <f>IFERROR(D2163/H2163,"")</f>
        <v/>
      </c>
      <c r="J2163" s="179" t="n">
        <v>15320830892</v>
      </c>
      <c r="K2163" s="179" t="n">
        <v>30641661784</v>
      </c>
      <c r="L2163" s="179" t="n">
        <v>45962492675</v>
      </c>
    </row>
    <row r="2164" ht="15" customHeight="1" s="95">
      <c r="A2164" s="143" t="n">
        <v>45993</v>
      </c>
      <c r="B2164" s="146" t="n">
        <v>0.999802</v>
      </c>
      <c r="C2164" s="179" t="n">
        <v>77509820034</v>
      </c>
      <c r="D2164" s="179" t="n">
        <v>77525154749</v>
      </c>
      <c r="E2164" s="146" t="n">
        <v>1.000056</v>
      </c>
      <c r="F2164" s="179" t="n">
        <v>184606686821</v>
      </c>
      <c r="G2164" s="179" t="n">
        <v>184596377165</v>
      </c>
      <c r="H2164" s="179">
        <f>IFERROR(D2164+G2164,D2164)</f>
        <v/>
      </c>
      <c r="I2164" s="184">
        <f>IFERROR(D2164/H2164,"")</f>
        <v/>
      </c>
      <c r="J2164" s="179" t="n">
        <v>15505030950</v>
      </c>
      <c r="K2164" s="179" t="n">
        <v>31010061900</v>
      </c>
      <c r="L2164" s="179" t="n">
        <v>46515092849</v>
      </c>
    </row>
    <row r="2165" ht="15" customHeight="1" s="95">
      <c r="A2165" s="143" t="n">
        <v>45994</v>
      </c>
      <c r="B2165" s="146" t="n">
        <v>0.9999</v>
      </c>
      <c r="C2165" s="179" t="n">
        <v>77509490840</v>
      </c>
      <c r="D2165" s="179" t="n">
        <v>77517211341</v>
      </c>
      <c r="E2165" s="146" t="n">
        <v>1.000344</v>
      </c>
      <c r="F2165" s="179" t="n">
        <v>184651818638</v>
      </c>
      <c r="G2165" s="179" t="n">
        <v>184588310693</v>
      </c>
      <c r="H2165" s="179">
        <f>IFERROR(D2165+G2165,D2165)</f>
        <v/>
      </c>
      <c r="I2165" s="184">
        <f>IFERROR(D2165/H2165,"")</f>
        <v/>
      </c>
      <c r="J2165" s="179" t="n">
        <v>15503442268</v>
      </c>
      <c r="K2165" s="179" t="n">
        <v>31006884536</v>
      </c>
      <c r="L2165" s="179" t="n">
        <v>46510326805</v>
      </c>
    </row>
    <row r="2166" ht="15" customHeight="1" s="95">
      <c r="A2166" s="143" t="n">
        <v>45995</v>
      </c>
      <c r="B2166" s="146" t="n">
        <v>0.9999</v>
      </c>
      <c r="C2166" s="179" t="n">
        <v>77812656340</v>
      </c>
      <c r="D2166" s="179" t="n">
        <v>77820424663</v>
      </c>
      <c r="E2166" s="146" t="n">
        <v>1.000286</v>
      </c>
      <c r="F2166" s="179" t="n">
        <v>185357034454</v>
      </c>
      <c r="G2166" s="179" t="n">
        <v>185303955138</v>
      </c>
      <c r="H2166" s="179">
        <f>IFERROR(D2166+G2166,D2166)</f>
        <v/>
      </c>
      <c r="I2166" s="184">
        <f>IFERROR(D2166/H2166,"")</f>
        <v/>
      </c>
      <c r="J2166" s="179" t="n">
        <v>15564084933</v>
      </c>
      <c r="K2166" s="179" t="n">
        <v>31128169865</v>
      </c>
      <c r="L2166" s="179" t="n">
        <v>46692254798</v>
      </c>
    </row>
    <row r="2167" ht="15" customHeight="1" s="95">
      <c r="A2167" s="143" t="n">
        <v>45996</v>
      </c>
      <c r="B2167" s="146" t="n">
        <v>0.9998050000000001</v>
      </c>
      <c r="C2167" s="179" t="n">
        <v>78052939534</v>
      </c>
      <c r="D2167" s="179" t="n">
        <v>78068176149</v>
      </c>
      <c r="E2167" s="146" t="n">
        <v>1.000182</v>
      </c>
      <c r="F2167" s="179" t="n">
        <v>185551970438</v>
      </c>
      <c r="G2167" s="179" t="n">
        <v>185518182246</v>
      </c>
      <c r="H2167" s="179">
        <f>IFERROR(D2167+G2167,D2167)</f>
        <v/>
      </c>
      <c r="I2167" s="184">
        <f>IFERROR(D2167/H2167,"")</f>
        <v/>
      </c>
      <c r="J2167" s="179" t="n">
        <v>15613635230</v>
      </c>
      <c r="K2167" s="179" t="n">
        <v>31227270460</v>
      </c>
      <c r="L2167" s="179" t="n">
        <v>46840905689</v>
      </c>
    </row>
    <row r="2168" ht="15" customHeight="1" s="95">
      <c r="A2168" s="143" t="n">
        <v>45997</v>
      </c>
      <c r="B2168" s="146" t="n">
        <v>0.999706</v>
      </c>
      <c r="C2168" s="179" t="n">
        <v>78062265665</v>
      </c>
      <c r="D2168" s="179" t="n">
        <v>78085258398</v>
      </c>
      <c r="E2168" s="146" t="n">
        <v>1.00024</v>
      </c>
      <c r="F2168" s="179" t="n">
        <v>185563081663</v>
      </c>
      <c r="G2168" s="179" t="n">
        <v>185518571838</v>
      </c>
      <c r="H2168" s="179">
        <f>IFERROR(D2168+G2168,D2168)</f>
        <v/>
      </c>
      <c r="I2168" s="184">
        <f>IFERROR(D2168/H2168,"")</f>
        <v/>
      </c>
      <c r="J2168" s="179" t="n">
        <v>15617051680</v>
      </c>
      <c r="K2168" s="179" t="n">
        <v>31234103359</v>
      </c>
      <c r="L2168" s="179" t="n">
        <v>46851155039</v>
      </c>
    </row>
    <row r="2169" ht="15" customHeight="1" s="95">
      <c r="A2169" s="143" t="n">
        <v>45998</v>
      </c>
      <c r="B2169" s="146" t="n">
        <v>0.99979</v>
      </c>
      <c r="C2169" s="179" t="n">
        <v>78125782618</v>
      </c>
      <c r="D2169" s="179" t="n">
        <v>78142186781</v>
      </c>
      <c r="E2169" s="146" t="n">
        <v>1.000292</v>
      </c>
      <c r="F2169" s="179" t="n">
        <v>185686266932</v>
      </c>
      <c r="G2169" s="179" t="n">
        <v>185632101182</v>
      </c>
      <c r="H2169" s="179">
        <f>IFERROR(D2169+G2169,D2169)</f>
        <v/>
      </c>
      <c r="I2169" s="184">
        <f>IFERROR(D2169/H2169,"")</f>
        <v/>
      </c>
      <c r="J2169" s="179" t="n">
        <v>15628437356</v>
      </c>
      <c r="K2169" s="179" t="n">
        <v>31256874712</v>
      </c>
      <c r="L2169" s="179" t="n">
        <v>46885312069</v>
      </c>
    </row>
    <row r="2170" ht="15" customHeight="1" s="95">
      <c r="A2170" s="143" t="n">
        <v>45999</v>
      </c>
      <c r="B2170" s="146" t="n">
        <v>0.9998629999999999</v>
      </c>
      <c r="C2170" s="179" t="n">
        <v>78177215513</v>
      </c>
      <c r="D2170" s="179" t="n">
        <v>78187925716</v>
      </c>
      <c r="E2170" s="146" t="n">
        <v>1.000248</v>
      </c>
      <c r="F2170" s="179" t="n">
        <v>185692880290</v>
      </c>
      <c r="G2170" s="179" t="n">
        <v>185646926814</v>
      </c>
      <c r="H2170" s="179">
        <f>IFERROR(D2170+G2170,D2170)</f>
        <v/>
      </c>
      <c r="I2170" s="184">
        <f>IFERROR(D2170/H2170,"")</f>
        <v/>
      </c>
      <c r="J2170" s="179" t="n">
        <v>15637585143</v>
      </c>
      <c r="K2170" s="179" t="n">
        <v>31275170286</v>
      </c>
      <c r="L2170" s="179" t="n">
        <v>46912755430</v>
      </c>
    </row>
    <row r="2171" ht="15" customHeight="1" s="95">
      <c r="A2171" s="143" t="n">
        <v>46000</v>
      </c>
      <c r="B2171" s="146" t="n">
        <v>0.9998050000000001</v>
      </c>
      <c r="C2171" s="179" t="n">
        <v>78322005232</v>
      </c>
      <c r="D2171" s="179" t="n">
        <v>78337291937</v>
      </c>
      <c r="E2171" s="146" t="n">
        <v>1.000111</v>
      </c>
      <c r="F2171" s="179" t="n">
        <v>185671906870</v>
      </c>
      <c r="G2171" s="179" t="n">
        <v>185651346456</v>
      </c>
      <c r="H2171" s="179">
        <f>IFERROR(D2171+G2171,D2171)</f>
        <v/>
      </c>
      <c r="I2171" s="184">
        <f>IFERROR(D2171/H2171,"")</f>
        <v/>
      </c>
      <c r="J2171" s="179" t="n">
        <v>15667458387</v>
      </c>
      <c r="K2171" s="179" t="n">
        <v>31334916775</v>
      </c>
      <c r="L2171" s="179" t="n">
        <v>47002375162</v>
      </c>
    </row>
    <row r="2172" ht="15" customHeight="1" s="95">
      <c r="A2172" s="143" t="n">
        <v>46001</v>
      </c>
      <c r="B2172" s="146" t="n">
        <v>0.9998010000000001</v>
      </c>
      <c r="C2172" s="179" t="n">
        <v>78461039498</v>
      </c>
      <c r="D2172" s="179" t="n">
        <v>78476633710</v>
      </c>
      <c r="E2172" s="146" t="n">
        <v>1.000085</v>
      </c>
      <c r="F2172" s="179" t="n">
        <v>185738221203</v>
      </c>
      <c r="G2172" s="179" t="n">
        <v>185722457084</v>
      </c>
      <c r="H2172" s="179">
        <f>IFERROR(D2172+G2172,D2172)</f>
        <v/>
      </c>
      <c r="I2172" s="184">
        <f>IFERROR(D2172/H2172,"")</f>
        <v/>
      </c>
      <c r="J2172" s="179" t="n">
        <v>15695326742</v>
      </c>
      <c r="K2172" s="179" t="n">
        <v>31390653484</v>
      </c>
      <c r="L2172" s="179" t="n">
        <v>47085980226</v>
      </c>
    </row>
    <row r="2173" ht="15" customHeight="1" s="95">
      <c r="A2173" s="143" t="n">
        <v>46002</v>
      </c>
      <c r="B2173" s="146" t="n">
        <v>0.998798</v>
      </c>
      <c r="C2173" s="179" t="n">
        <v>78247279770</v>
      </c>
      <c r="D2173" s="179" t="n">
        <v>78341456125</v>
      </c>
      <c r="E2173" s="146" t="n">
        <v>1.000207</v>
      </c>
      <c r="F2173" s="179" t="n">
        <v>186094769376</v>
      </c>
      <c r="G2173" s="179" t="n">
        <v>186056243047</v>
      </c>
      <c r="H2173" s="179">
        <f>IFERROR(D2173+G2173,D2173)</f>
        <v/>
      </c>
      <c r="I2173" s="184">
        <f>IFERROR(D2173/H2173,"")</f>
        <v/>
      </c>
      <c r="J2173" s="179" t="n">
        <v>15668291225</v>
      </c>
      <c r="K2173" s="179" t="n">
        <v>31336582450</v>
      </c>
      <c r="L2173" s="179" t="n">
        <v>47004873675</v>
      </c>
    </row>
    <row r="2174" ht="15" customHeight="1" s="95">
      <c r="A2174" s="143" t="n">
        <v>46003</v>
      </c>
      <c r="B2174" s="146" t="n">
        <v>0.999902</v>
      </c>
      <c r="C2174" s="179" t="n">
        <v>78273133759</v>
      </c>
      <c r="D2174" s="179" t="n">
        <v>78280832634</v>
      </c>
      <c r="E2174" s="146" t="n">
        <v>1.000195</v>
      </c>
      <c r="F2174" s="179" t="n">
        <v>186188230590</v>
      </c>
      <c r="G2174" s="179" t="n">
        <v>186152006560</v>
      </c>
      <c r="H2174" s="179">
        <f>IFERROR(D2174+G2174,D2174)</f>
        <v/>
      </c>
      <c r="I2174" s="184">
        <f>IFERROR(D2174/H2174,"")</f>
        <v/>
      </c>
      <c r="J2174" s="179" t="n">
        <v>15656166527</v>
      </c>
      <c r="K2174" s="179" t="n">
        <v>31312333054</v>
      </c>
      <c r="L2174" s="179" t="n">
        <v>46968499580</v>
      </c>
    </row>
    <row r="2175" ht="15" customHeight="1" s="95">
      <c r="A2175" s="143" t="n">
        <v>46004</v>
      </c>
      <c r="B2175" s="146" t="n">
        <v>0.999885</v>
      </c>
      <c r="C2175" s="179" t="n">
        <v>78479111692</v>
      </c>
      <c r="D2175" s="179" t="n">
        <v>78488128305</v>
      </c>
      <c r="E2175" s="146" t="n">
        <v>1.000185</v>
      </c>
      <c r="F2175" s="179" t="n">
        <v>186249151423</v>
      </c>
      <c r="G2175" s="179" t="n">
        <v>186214611163</v>
      </c>
      <c r="H2175" s="179">
        <f>IFERROR(D2175+G2175,D2175)</f>
        <v/>
      </c>
      <c r="I2175" s="184">
        <f>IFERROR(D2175/H2175,"")</f>
        <v/>
      </c>
      <c r="J2175" s="179" t="n">
        <v>15697625661</v>
      </c>
      <c r="K2175" s="179" t="n">
        <v>31395251322</v>
      </c>
      <c r="L2175" s="179" t="n">
        <v>47092876983</v>
      </c>
    </row>
    <row r="2176" ht="15" customHeight="1" s="95">
      <c r="A2176" s="143" t="n">
        <v>46005</v>
      </c>
      <c r="B2176" s="146" t="n">
        <v>0.999965</v>
      </c>
      <c r="C2176" s="179" t="n">
        <v>78424700012</v>
      </c>
      <c r="D2176" s="179" t="n">
        <v>78427432363</v>
      </c>
      <c r="E2176" s="146" t="n">
        <v>1.000161</v>
      </c>
      <c r="F2176" s="179" t="n">
        <v>186242557114</v>
      </c>
      <c r="G2176" s="179" t="n">
        <v>186212655298</v>
      </c>
      <c r="H2176" s="179">
        <f>IFERROR(D2176+G2176,D2176)</f>
        <v/>
      </c>
      <c r="I2176" s="184">
        <f>IFERROR(D2176/H2176,"")</f>
        <v/>
      </c>
      <c r="J2176" s="179" t="n">
        <v>15685486473</v>
      </c>
      <c r="K2176" s="179" t="n">
        <v>31370972945</v>
      </c>
      <c r="L2176" s="179" t="n">
        <v>47056459418</v>
      </c>
    </row>
    <row r="2177" ht="15" customHeight="1" s="95">
      <c r="A2177" s="143" t="n">
        <v>46006</v>
      </c>
      <c r="B2177" s="146" t="n">
        <v>1.000036</v>
      </c>
      <c r="C2177" s="179" t="n">
        <v>78400153698</v>
      </c>
      <c r="D2177" s="179" t="n">
        <v>78397348154</v>
      </c>
      <c r="E2177" s="146" t="n">
        <v>1.000185</v>
      </c>
      <c r="F2177" s="179" t="n">
        <v>186286668583</v>
      </c>
      <c r="G2177" s="179" t="n">
        <v>186252192927</v>
      </c>
      <c r="H2177" s="179">
        <f>IFERROR(D2177+G2177,D2177)</f>
        <v/>
      </c>
      <c r="I2177" s="184">
        <f>IFERROR(D2177/H2177,"")</f>
        <v/>
      </c>
      <c r="J2177" s="179" t="n">
        <v>15679469631</v>
      </c>
      <c r="K2177" s="179" t="n">
        <v>31358939262</v>
      </c>
      <c r="L2177" s="179" t="n">
        <v>47038408892</v>
      </c>
    </row>
    <row r="2178" ht="15" customHeight="1" s="95">
      <c r="A2178" s="143" t="n">
        <v>46007</v>
      </c>
      <c r="B2178" s="146" t="n">
        <v>1.000047</v>
      </c>
      <c r="C2178" s="179" t="n">
        <v>78445964850</v>
      </c>
      <c r="D2178" s="179" t="n">
        <v>78442305746</v>
      </c>
      <c r="E2178" s="146" t="n">
        <v>1.000086</v>
      </c>
      <c r="F2178" s="179" t="n">
        <v>186264086469</v>
      </c>
      <c r="G2178" s="179" t="n">
        <v>186248012378</v>
      </c>
      <c r="H2178" s="179">
        <f>IFERROR(D2178+G2178,D2178)</f>
        <v/>
      </c>
      <c r="I2178" s="184">
        <f>IFERROR(D2178/H2178,"")</f>
        <v/>
      </c>
      <c r="J2178" s="179" t="n">
        <v>15688461149</v>
      </c>
      <c r="K2178" s="179" t="n">
        <v>31376922298</v>
      </c>
      <c r="L2178" s="179" t="n">
        <v>47065383448</v>
      </c>
    </row>
    <row r="2179" ht="15" customHeight="1" s="95">
      <c r="A2179" s="143" t="n">
        <v>46008</v>
      </c>
      <c r="B2179" s="146" t="n">
        <v>1.000116</v>
      </c>
      <c r="C2179" s="179" t="n">
        <v>78315434993</v>
      </c>
      <c r="D2179" s="179" t="n">
        <v>78306382296</v>
      </c>
      <c r="E2179" s="146" t="n">
        <v>0.999895</v>
      </c>
      <c r="F2179" s="179" t="n">
        <v>186312032469</v>
      </c>
      <c r="G2179" s="179" t="n">
        <v>186331621066</v>
      </c>
      <c r="H2179" s="179">
        <f>IFERROR(D2179+G2179,D2179)</f>
        <v/>
      </c>
      <c r="I2179" s="184">
        <f>IFERROR(D2179/H2179,"")</f>
        <v/>
      </c>
      <c r="J2179" s="179" t="n">
        <v>15661276459</v>
      </c>
      <c r="K2179" s="179" t="n">
        <v>31322552918</v>
      </c>
      <c r="L2179" s="179" t="n">
        <v>46983829378</v>
      </c>
    </row>
    <row r="2180" ht="15" customHeight="1" s="95">
      <c r="A2180" s="143" t="n">
        <v>46009</v>
      </c>
      <c r="B2180" s="146" t="n">
        <v>0.99993</v>
      </c>
      <c r="C2180" s="179" t="n">
        <v>78042840696</v>
      </c>
      <c r="D2180" s="179" t="n">
        <v>78048285846</v>
      </c>
      <c r="E2180" s="146" t="n">
        <v>0.9998</v>
      </c>
      <c r="F2180" s="179" t="n">
        <v>186282760329</v>
      </c>
      <c r="G2180" s="179" t="n">
        <v>186320039328</v>
      </c>
      <c r="H2180" s="179">
        <f>IFERROR(D2180+G2180,D2180)</f>
        <v/>
      </c>
      <c r="I2180" s="184">
        <f>IFERROR(D2180/H2180,"")</f>
        <v/>
      </c>
      <c r="J2180" s="179" t="n">
        <v>15609657169</v>
      </c>
      <c r="K2180" s="179" t="n">
        <v>31219314338</v>
      </c>
      <c r="L2180" s="179" t="n">
        <v>46828971508</v>
      </c>
    </row>
    <row r="2181" ht="15" customHeight="1" s="95">
      <c r="A2181" s="143" t="n">
        <v>46010</v>
      </c>
      <c r="B2181" s="146" t="n">
        <v>0.999823</v>
      </c>
      <c r="C2181" s="179" t="n">
        <v>77331627180</v>
      </c>
      <c r="D2181" s="179" t="n">
        <v>77345285988</v>
      </c>
      <c r="E2181" s="146" t="n">
        <v>0.999611</v>
      </c>
      <c r="F2181" s="179" t="n">
        <v>186202092308</v>
      </c>
      <c r="G2181" s="179" t="n">
        <v>186274639537</v>
      </c>
      <c r="H2181" s="179">
        <f>IFERROR(D2181+G2181,D2181)</f>
        <v/>
      </c>
      <c r="I2181" s="184">
        <f>IFERROR(D2181/H2181,"")</f>
        <v/>
      </c>
      <c r="J2181" s="179" t="n">
        <v>15469057198</v>
      </c>
      <c r="K2181" s="179" t="n">
        <v>30938114395</v>
      </c>
      <c r="L2181" s="179" t="n">
        <v>46407171593</v>
      </c>
    </row>
    <row r="2182" ht="15" customHeight="1" s="95">
      <c r="A2182" s="143" t="n">
        <v>46011</v>
      </c>
      <c r="B2182" s="146" t="n">
        <v>0.999837</v>
      </c>
      <c r="C2182" s="179" t="n">
        <v>77093596994</v>
      </c>
      <c r="D2182" s="179" t="n">
        <v>77106187583</v>
      </c>
      <c r="E2182" s="146" t="n">
        <v>0.999472</v>
      </c>
      <c r="F2182" s="179" t="n">
        <v>186226677116</v>
      </c>
      <c r="G2182" s="179" t="n">
        <v>186325050447</v>
      </c>
      <c r="H2182" s="179">
        <f>IFERROR(D2182+G2182,D2182)</f>
        <v/>
      </c>
      <c r="I2182" s="184">
        <f>IFERROR(D2182/H2182,"")</f>
        <v/>
      </c>
      <c r="J2182" s="179" t="n">
        <v>15421237517</v>
      </c>
      <c r="K2182" s="179" t="n">
        <v>30842475033</v>
      </c>
      <c r="L2182" s="179" t="n">
        <v>46263712550</v>
      </c>
    </row>
    <row r="2183" ht="15" customHeight="1" s="95">
      <c r="A2183" s="143" t="n">
        <v>46012</v>
      </c>
      <c r="B2183" s="146" t="n">
        <v>1.000018</v>
      </c>
      <c r="C2183" s="179" t="n">
        <v>77077940358</v>
      </c>
      <c r="D2183" s="179" t="n">
        <v>77076589701</v>
      </c>
      <c r="E2183" s="146" t="n">
        <v>0.999731</v>
      </c>
      <c r="F2183" s="179" t="n">
        <v>186773632481</v>
      </c>
      <c r="G2183" s="179" t="n">
        <v>186823801143</v>
      </c>
      <c r="H2183" s="179">
        <f>IFERROR(D2183+G2183,D2183)</f>
        <v/>
      </c>
      <c r="I2183" s="184">
        <f>IFERROR(D2183/H2183,"")</f>
        <v/>
      </c>
      <c r="J2183" s="179" t="n">
        <v>15415317940</v>
      </c>
      <c r="K2183" s="179" t="n">
        <v>30830635880</v>
      </c>
      <c r="L2183" s="179" t="n">
        <v>46245953821</v>
      </c>
    </row>
    <row r="2184" ht="15" customHeight="1" s="95">
      <c r="A2184" s="143" t="n">
        <v>46013</v>
      </c>
      <c r="B2184" s="146" t="n">
        <v>1.000038</v>
      </c>
      <c r="C2184" s="179" t="n">
        <v>77107714886</v>
      </c>
      <c r="D2184" s="179" t="n">
        <v>77104820577</v>
      </c>
      <c r="E2184" s="146" t="n">
        <v>0.999788</v>
      </c>
      <c r="F2184" s="179" t="n">
        <v>186787106692</v>
      </c>
      <c r="G2184" s="179" t="n">
        <v>186826729576</v>
      </c>
      <c r="H2184" s="179">
        <f>IFERROR(D2184+G2184,D2184)</f>
        <v/>
      </c>
      <c r="I2184" s="184">
        <f>IFERROR(D2184/H2184,"")</f>
        <v/>
      </c>
      <c r="J2184" s="179" t="n">
        <v>15420964115</v>
      </c>
      <c r="K2184" s="179" t="n">
        <v>30841928231</v>
      </c>
      <c r="L2184" s="179" t="n">
        <v>46262892346</v>
      </c>
    </row>
    <row r="2185" ht="15" customHeight="1" s="95">
      <c r="A2185" s="143" t="n">
        <v>46014</v>
      </c>
      <c r="B2185" s="146" t="n">
        <v>0.999902</v>
      </c>
      <c r="C2185" s="179" t="n">
        <v>77107982651</v>
      </c>
      <c r="D2185" s="179" t="n">
        <v>77115576447</v>
      </c>
      <c r="E2185" s="146" t="n">
        <v>0.999544</v>
      </c>
      <c r="F2185" s="179" t="n">
        <v>186810914380</v>
      </c>
      <c r="G2185" s="179" t="n">
        <v>186896085565</v>
      </c>
      <c r="H2185" s="179">
        <f>IFERROR(D2185+G2185,D2185)</f>
        <v/>
      </c>
      <c r="I2185" s="184">
        <f>IFERROR(D2185/H2185,"")</f>
        <v/>
      </c>
      <c r="J2185" s="179" t="n">
        <v>15423115289</v>
      </c>
      <c r="K2185" s="179" t="n">
        <v>30846230579</v>
      </c>
      <c r="L2185" s="179" t="n">
        <v>46269345868</v>
      </c>
    </row>
    <row r="2186" ht="15" customHeight="1" s="95">
      <c r="A2186" s="143" t="n">
        <v>46015</v>
      </c>
      <c r="B2186" s="146" t="n">
        <v>0.9997549999999999</v>
      </c>
      <c r="C2186" s="179" t="n">
        <v>76915464264</v>
      </c>
      <c r="D2186" s="179" t="n">
        <v>76934311099</v>
      </c>
      <c r="E2186" s="146" t="n">
        <v>0.999486</v>
      </c>
      <c r="F2186" s="179" t="n">
        <v>186827189365</v>
      </c>
      <c r="G2186" s="179" t="n">
        <v>186923204133</v>
      </c>
      <c r="H2186" s="179">
        <f>IFERROR(D2186+G2186,D2186)</f>
        <v/>
      </c>
      <c r="I2186" s="184">
        <f>IFERROR(D2186/H2186,"")</f>
        <v/>
      </c>
      <c r="J2186" s="179" t="n">
        <v>15386862220</v>
      </c>
      <c r="K2186" s="179" t="n">
        <v>30773724440</v>
      </c>
      <c r="L2186" s="179" t="n">
        <v>46160586659</v>
      </c>
    </row>
    <row r="2187" ht="15" customHeight="1" s="95">
      <c r="A2187" s="143" t="n">
        <v>46016</v>
      </c>
      <c r="B2187" s="146" t="n">
        <v>1.000076</v>
      </c>
      <c r="C2187" s="179" t="n">
        <v>76591043824</v>
      </c>
      <c r="D2187" s="179" t="n">
        <v>76585213335</v>
      </c>
      <c r="E2187" s="146" t="n">
        <v>0.999519</v>
      </c>
      <c r="F2187" s="179" t="n">
        <v>186793465675</v>
      </c>
      <c r="G2187" s="179" t="n">
        <v>186883411713</v>
      </c>
      <c r="H2187" s="179">
        <f>IFERROR(D2187+G2187,D2187)</f>
        <v/>
      </c>
      <c r="I2187" s="184">
        <f>IFERROR(D2187/H2187,"")</f>
        <v/>
      </c>
      <c r="J2187" s="179" t="n">
        <v>15317042667</v>
      </c>
      <c r="K2187" s="179" t="n">
        <v>30634085334</v>
      </c>
      <c r="L2187" s="179" t="n">
        <v>45951128001</v>
      </c>
    </row>
    <row r="2188" ht="15" customHeight="1" s="95">
      <c r="A2188" s="143" t="n">
        <v>46017</v>
      </c>
      <c r="B2188" s="146" t="n">
        <v>0.999708</v>
      </c>
      <c r="C2188" s="179" t="n">
        <v>76476959213</v>
      </c>
      <c r="D2188" s="179" t="n">
        <v>76499285314</v>
      </c>
      <c r="E2188" s="146" t="n">
        <v>0.999519</v>
      </c>
      <c r="F2188" s="179" t="n">
        <v>186791970834</v>
      </c>
      <c r="G2188" s="179" t="n">
        <v>186881806223</v>
      </c>
      <c r="H2188" s="179">
        <f>IFERROR(D2188+G2188,D2188)</f>
        <v/>
      </c>
      <c r="I2188" s="184">
        <f>IFERROR(D2188/H2188,"")</f>
        <v/>
      </c>
      <c r="J2188" s="179" t="n">
        <v>15299857063</v>
      </c>
      <c r="K2188" s="179" t="n">
        <v>30599714126</v>
      </c>
      <c r="L2188" s="179" t="n">
        <v>45899571188</v>
      </c>
    </row>
    <row r="2189" ht="15" customHeight="1" s="95">
      <c r="A2189" s="143" t="n">
        <v>46018</v>
      </c>
      <c r="B2189" s="146" t="n">
        <v>0.999889</v>
      </c>
      <c r="C2189" s="179" t="n">
        <v>76517544120</v>
      </c>
      <c r="D2189" s="179" t="n">
        <v>76526020962</v>
      </c>
      <c r="E2189" s="146" t="n">
        <v>0.999367</v>
      </c>
      <c r="F2189" s="179" t="n">
        <v>186755060290</v>
      </c>
      <c r="G2189" s="179" t="n">
        <v>186873307685</v>
      </c>
      <c r="H2189" s="179">
        <f>IFERROR(D2189+G2189,D2189)</f>
        <v/>
      </c>
      <c r="I2189" s="184">
        <f>IFERROR(D2189/H2189,"")</f>
        <v/>
      </c>
      <c r="J2189" s="179" t="n">
        <v>15305204192</v>
      </c>
      <c r="K2189" s="179" t="n">
        <v>30610408385</v>
      </c>
      <c r="L2189" s="179" t="n">
        <v>45915612577</v>
      </c>
    </row>
    <row r="2190" ht="15" customHeight="1" s="95">
      <c r="A2190" s="143" t="n">
        <v>46019</v>
      </c>
      <c r="B2190" s="146" t="n">
        <v>1.000242</v>
      </c>
      <c r="C2190" s="179" t="n">
        <v>76474911697</v>
      </c>
      <c r="D2190" s="179" t="n">
        <v>76456424224</v>
      </c>
      <c r="E2190" s="146" t="n">
        <v>0.99947</v>
      </c>
      <c r="F2190" s="179" t="n">
        <v>186731617227</v>
      </c>
      <c r="G2190" s="179" t="n">
        <v>186830688074</v>
      </c>
      <c r="H2190" s="179">
        <f>IFERROR(D2190+G2190,D2190)</f>
        <v/>
      </c>
      <c r="I2190" s="184">
        <f>IFERROR(D2190/H2190,"")</f>
        <v/>
      </c>
      <c r="J2190" s="179" t="n">
        <v>15291284845</v>
      </c>
      <c r="K2190" s="179" t="n">
        <v>30582569690</v>
      </c>
      <c r="L2190" s="179" t="n">
        <v>45873854534</v>
      </c>
    </row>
    <row r="2191" ht="15" customHeight="1" s="95">
      <c r="A2191" s="143" t="n">
        <v>46020</v>
      </c>
      <c r="B2191" s="146" t="n">
        <v>1.000031</v>
      </c>
      <c r="C2191" s="179" t="n">
        <v>76384734230</v>
      </c>
      <c r="D2191" s="179" t="n">
        <v>76382346161</v>
      </c>
      <c r="E2191" s="146" t="n">
        <v>0.9993880000000001</v>
      </c>
      <c r="F2191" s="179" t="n">
        <v>186710944191</v>
      </c>
      <c r="G2191" s="179" t="n">
        <v>186825193313</v>
      </c>
      <c r="H2191" s="179">
        <f>IFERROR(D2191+G2191,D2191)</f>
        <v/>
      </c>
      <c r="I2191" s="184">
        <f>IFERROR(D2191/H2191,"")</f>
        <v/>
      </c>
      <c r="J2191" s="179" t="n">
        <v>15276469232</v>
      </c>
      <c r="K2191" s="179" t="n">
        <v>30552938464</v>
      </c>
      <c r="L2191" s="179" t="n">
        <v>45829407697</v>
      </c>
    </row>
    <row r="2192" ht="15" customHeight="1" s="95">
      <c r="A2192" s="143" t="n">
        <v>46021</v>
      </c>
      <c r="B2192" s="146" t="n">
        <v>0.999787</v>
      </c>
      <c r="C2192" s="179" t="n">
        <v>76016098863</v>
      </c>
      <c r="D2192" s="179" t="n">
        <v>76032326663</v>
      </c>
      <c r="E2192" s="146" t="n">
        <v>0.998916</v>
      </c>
      <c r="F2192" s="179" t="n">
        <v>186622402821</v>
      </c>
      <c r="G2192" s="179" t="n">
        <v>186824862055</v>
      </c>
      <c r="H2192" s="179">
        <f>IFERROR(D2192+G2192,D2192)</f>
        <v/>
      </c>
      <c r="I2192" s="184">
        <f>IFERROR(D2192/H2192,"")</f>
        <v/>
      </c>
      <c r="J2192" s="179" t="n">
        <v>15206465333</v>
      </c>
      <c r="K2192" s="179" t="n">
        <v>30412930665</v>
      </c>
      <c r="L2192" s="179" t="n">
        <v>45619395998</v>
      </c>
    </row>
    <row r="2193" ht="15" customHeight="1" s="95">
      <c r="A2193" s="143" t="n">
        <v>46022</v>
      </c>
      <c r="B2193" s="146" t="n">
        <v>0.999874</v>
      </c>
      <c r="C2193" s="179" t="n">
        <v>76008223428</v>
      </c>
      <c r="D2193" s="179" t="n">
        <v>76017787192</v>
      </c>
      <c r="E2193" s="146" t="n">
        <v>0.999019</v>
      </c>
      <c r="F2193" s="179" t="n">
        <v>187154085276</v>
      </c>
      <c r="G2193" s="179" t="n">
        <v>187337952598</v>
      </c>
      <c r="H2193" s="179">
        <f>IFERROR(D2193+G2193,D2193)</f>
        <v/>
      </c>
      <c r="I2193" s="184">
        <f>IFERROR(D2193/H2193,"")</f>
        <v/>
      </c>
      <c r="J2193" s="179" t="n">
        <v>15203557438</v>
      </c>
      <c r="K2193" s="179" t="n">
        <v>30407114877</v>
      </c>
      <c r="L2193" s="179" t="n">
        <v>45610672315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X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94" min="1" max="1"/>
    <col width="11" customWidth="1" style="94" min="2" max="2"/>
    <col width="14" customWidth="1" style="94" min="3" max="8"/>
    <col width="12" customWidth="1" style="94" min="9" max="9"/>
    <col width="10" customWidth="1" style="94" min="10" max="10"/>
    <col width="11" customWidth="1" style="94" min="11" max="11"/>
    <col width="14" customWidth="1" style="94" min="12" max="16"/>
    <col width="12" customWidth="1" style="94" min="17" max="21"/>
    <col width="10" customWidth="1" style="94" min="22" max="22"/>
    <col width="11" customWidth="1" style="94" min="23" max="23"/>
    <col width="40" customWidth="1" style="94" min="24" max="24"/>
  </cols>
  <sheetData>
    <row r="1" ht="37.5" customHeight="1" s="95">
      <c r="A1" s="142" t="inlineStr">
        <is>
          <t>Quarter</t>
        </is>
      </c>
      <c r="B1" s="142" t="inlineStr">
        <is>
          <t>USDC_Date</t>
        </is>
      </c>
      <c r="C1" s="142" t="inlineStr">
        <is>
          <t>USDC_Circulation</t>
        </is>
      </c>
      <c r="D1" s="142" t="inlineStr">
        <is>
          <t>USDC_Total_Assets</t>
        </is>
      </c>
      <c r="E1" s="142" t="inlineStr">
        <is>
          <t>USDC_MMF_NAV</t>
        </is>
      </c>
      <c r="F1" s="142" t="inlineStr">
        <is>
          <t>USDC_Tbills_in_Fund</t>
        </is>
      </c>
      <c r="G1" s="142" t="inlineStr">
        <is>
          <t>USDC_Repos</t>
        </is>
      </c>
      <c r="H1" s="142" t="inlineStr">
        <is>
          <t>USDC_External_Cash</t>
        </is>
      </c>
      <c r="I1" s="142" t="inlineStr">
        <is>
          <t>USDC_Equity</t>
        </is>
      </c>
      <c r="J1" s="142" t="inlineStr">
        <is>
          <t>USDC_ALR</t>
        </is>
      </c>
      <c r="K1" s="142" t="inlineStr">
        <is>
          <t>USDT_Date</t>
        </is>
      </c>
      <c r="L1" s="142" t="inlineStr">
        <is>
          <t>USDT_Circulation</t>
        </is>
      </c>
      <c r="M1" s="142" t="inlineStr">
        <is>
          <t>USDT_Total_Assets</t>
        </is>
      </c>
      <c r="N1" s="142" t="inlineStr">
        <is>
          <t>USDT_Tbills_Direct</t>
        </is>
      </c>
      <c r="O1" s="142" t="inlineStr">
        <is>
          <t>USDT_Total_Repos</t>
        </is>
      </c>
      <c r="P1" s="142" t="inlineStr">
        <is>
          <t>USDT_MMF</t>
        </is>
      </c>
      <c r="Q1" s="142" t="inlineStr">
        <is>
          <t>USDT_Cash</t>
        </is>
      </c>
      <c r="R1" s="142" t="inlineStr">
        <is>
          <t>USDT_BTC</t>
        </is>
      </c>
      <c r="S1" s="142" t="inlineStr">
        <is>
          <t>USDT_Gold</t>
        </is>
      </c>
      <c r="T1" s="142" t="inlineStr">
        <is>
          <t>USDT_Sec_Loans</t>
        </is>
      </c>
      <c r="U1" s="142" t="inlineStr">
        <is>
          <t>USDT_Equity</t>
        </is>
      </c>
      <c r="V1" s="142" t="inlineStr">
        <is>
          <t>USDT_ALR</t>
        </is>
      </c>
      <c r="W1" s="142" t="inlineStr">
        <is>
          <t>Market_Share_USDC_pct</t>
        </is>
      </c>
      <c r="X1" s="142" t="inlineStr">
        <is>
          <t>Notes</t>
        </is>
      </c>
    </row>
    <row r="2" ht="15" customHeight="1" s="95">
      <c r="A2" s="94" t="inlineStr">
        <is>
          <t>2021-Q1</t>
        </is>
      </c>
      <c r="B2" s="143" t="n">
        <v>44286</v>
      </c>
      <c r="C2" s="179" t="n">
        <v>11141404000</v>
      </c>
      <c r="D2" s="179" t="n"/>
      <c r="E2" s="179" t="n">
        <v>0</v>
      </c>
      <c r="F2" s="179" t="n">
        <v>0</v>
      </c>
      <c r="G2" s="179" t="n">
        <v>0</v>
      </c>
      <c r="H2" s="179" t="n">
        <v>0</v>
      </c>
      <c r="I2" s="179">
        <f>D2-C2</f>
        <v/>
      </c>
      <c r="J2" s="146">
        <f>IFERROR(D2/C2,"")</f>
        <v/>
      </c>
      <c r="K2" s="143" t="n">
        <v>44286</v>
      </c>
      <c r="L2" s="179" t="n">
        <v>40855204950</v>
      </c>
      <c r="M2" s="179" t="n">
        <v>41017565708</v>
      </c>
      <c r="N2" s="179" t="n">
        <v>0</v>
      </c>
      <c r="O2" s="179" t="n">
        <v>0</v>
      </c>
      <c r="P2" s="179" t="n">
        <v>0</v>
      </c>
      <c r="Q2" s="179" t="n">
        <v>0</v>
      </c>
      <c r="R2" s="179" t="n">
        <v>0</v>
      </c>
      <c r="S2" s="179" t="n">
        <v>0</v>
      </c>
      <c r="T2" s="179" t="n">
        <v>0</v>
      </c>
      <c r="U2" s="179">
        <f>M2-L2</f>
        <v/>
      </c>
      <c r="V2" s="146">
        <f>IFERROR(M2/L2,"")</f>
        <v/>
      </c>
      <c r="W2" s="181">
        <f>IFERROR(C2/(C2+L2),"")</f>
        <v/>
      </c>
    </row>
    <row r="3" ht="15" customHeight="1" s="95">
      <c r="A3" s="94" t="inlineStr">
        <is>
          <t>2021-Q2</t>
        </is>
      </c>
      <c r="B3" s="143" t="n">
        <v>44377</v>
      </c>
      <c r="C3" s="179" t="n">
        <v>25158531650</v>
      </c>
      <c r="D3" s="179" t="n"/>
      <c r="E3" s="179" t="n">
        <v>0</v>
      </c>
      <c r="F3" s="179" t="n">
        <v>3300000000</v>
      </c>
      <c r="G3" s="179" t="n">
        <v>0</v>
      </c>
      <c r="H3" s="179" t="n">
        <v>11700000000</v>
      </c>
      <c r="I3" s="179">
        <f>D3-C3</f>
        <v/>
      </c>
      <c r="J3" s="146">
        <f>IFERROR(D3/C3,"")</f>
        <v/>
      </c>
      <c r="K3" s="143" t="n">
        <v>44377</v>
      </c>
      <c r="L3" s="179" t="n">
        <v>62610829196</v>
      </c>
      <c r="M3" s="179" t="n">
        <v>62773190075</v>
      </c>
      <c r="N3" s="179" t="n">
        <v>0</v>
      </c>
      <c r="O3" s="179" t="n">
        <v>0</v>
      </c>
      <c r="P3" s="179" t="n">
        <v>0</v>
      </c>
      <c r="Q3" s="179" t="n">
        <v>0</v>
      </c>
      <c r="R3" s="179" t="n">
        <v>0</v>
      </c>
      <c r="S3" s="179" t="n">
        <v>0</v>
      </c>
      <c r="T3" s="179" t="n">
        <v>0</v>
      </c>
      <c r="U3" s="179">
        <f>M3-L3</f>
        <v/>
      </c>
      <c r="V3" s="146">
        <f>IFERROR(M3/L3,"")</f>
        <v/>
      </c>
      <c r="W3" s="181">
        <f>IFERROR(C3/(C3+L3),"")</f>
        <v/>
      </c>
    </row>
    <row r="4" ht="15" customHeight="1" s="95">
      <c r="A4" s="94" t="inlineStr">
        <is>
          <t>2021-Q3</t>
        </is>
      </c>
      <c r="B4" s="143" t="n">
        <v>44469</v>
      </c>
      <c r="C4" s="179" t="n">
        <v>31652676021</v>
      </c>
      <c r="D4" s="179" t="n"/>
      <c r="E4" s="179" t="n">
        <v>0</v>
      </c>
      <c r="F4" s="179" t="n">
        <v>0</v>
      </c>
      <c r="G4" s="179" t="n">
        <v>0</v>
      </c>
      <c r="H4" s="179" t="n">
        <v>31700000000</v>
      </c>
      <c r="I4" s="179">
        <f>D4-C4</f>
        <v/>
      </c>
      <c r="J4" s="146">
        <f>IFERROR(D4/C4,"")</f>
        <v/>
      </c>
      <c r="K4" s="143" t="n">
        <v>44469</v>
      </c>
      <c r="L4" s="179" t="n">
        <v>68994393701</v>
      </c>
      <c r="M4" s="179" t="n">
        <v>69156771674</v>
      </c>
      <c r="N4" s="179" t="n">
        <v>0</v>
      </c>
      <c r="O4" s="179" t="n">
        <v>0</v>
      </c>
      <c r="P4" s="179" t="n">
        <v>0</v>
      </c>
      <c r="Q4" s="179" t="n">
        <v>0</v>
      </c>
      <c r="R4" s="179" t="n">
        <v>0</v>
      </c>
      <c r="S4" s="179" t="n">
        <v>0</v>
      </c>
      <c r="T4" s="179" t="n">
        <v>0</v>
      </c>
      <c r="U4" s="179">
        <f>M4-L4</f>
        <v/>
      </c>
      <c r="V4" s="146">
        <f>IFERROR(M4/L4,"")</f>
        <v/>
      </c>
      <c r="W4" s="181">
        <f>IFERROR(C4/(C4+L4),"")</f>
        <v/>
      </c>
    </row>
    <row r="5" ht="15" customHeight="1" s="95">
      <c r="A5" s="94" t="inlineStr">
        <is>
          <t>2021-Q4</t>
        </is>
      </c>
      <c r="B5" s="143" t="n">
        <v>44561</v>
      </c>
      <c r="C5" s="179" t="n">
        <v>42416160651</v>
      </c>
      <c r="D5" s="179" t="n"/>
      <c r="E5" s="179" t="n">
        <v>0</v>
      </c>
      <c r="F5" s="179" t="n">
        <v>0</v>
      </c>
      <c r="G5" s="179" t="n">
        <v>0</v>
      </c>
      <c r="H5" s="179" t="n">
        <v>0</v>
      </c>
      <c r="I5" s="179">
        <f>D5-C5</f>
        <v/>
      </c>
      <c r="J5" s="146">
        <f>IFERROR(D5/C5,"")</f>
        <v/>
      </c>
      <c r="K5" s="143" t="n">
        <v>44561</v>
      </c>
      <c r="L5" s="179" t="n">
        <v>78480852949</v>
      </c>
      <c r="M5" s="179" t="n">
        <v>78675642677</v>
      </c>
      <c r="N5" s="179" t="n">
        <v>0</v>
      </c>
      <c r="O5" s="179" t="n">
        <v>0</v>
      </c>
      <c r="P5" s="179" t="n">
        <v>0</v>
      </c>
      <c r="Q5" s="179" t="n">
        <v>0</v>
      </c>
      <c r="R5" s="179" t="n">
        <v>0</v>
      </c>
      <c r="S5" s="179" t="n">
        <v>0</v>
      </c>
      <c r="T5" s="179" t="n">
        <v>0</v>
      </c>
      <c r="U5" s="179">
        <f>M5-L5</f>
        <v/>
      </c>
      <c r="V5" s="146">
        <f>IFERROR(M5/L5,"")</f>
        <v/>
      </c>
      <c r="W5" s="181">
        <f>IFERROR(C5/(C5+L5),"")</f>
        <v/>
      </c>
    </row>
    <row r="6" ht="15" customHeight="1" s="95">
      <c r="A6" s="94" t="inlineStr">
        <is>
          <t>2022-Q1</t>
        </is>
      </c>
      <c r="B6" s="143" t="n">
        <v>44651</v>
      </c>
      <c r="C6" s="179" t="n">
        <v>51388555903</v>
      </c>
      <c r="D6" s="179" t="n"/>
      <c r="E6" s="179" t="n">
        <v>0</v>
      </c>
      <c r="F6" s="179" t="n">
        <v>0</v>
      </c>
      <c r="G6" s="179" t="n">
        <v>0</v>
      </c>
      <c r="H6" s="179" t="n">
        <v>0</v>
      </c>
      <c r="I6" s="179">
        <f>D6-C6</f>
        <v/>
      </c>
      <c r="J6" s="146">
        <f>IFERROR(D6/C6,"")</f>
        <v/>
      </c>
      <c r="K6" s="143" t="n">
        <v>44651</v>
      </c>
      <c r="L6" s="179" t="n">
        <v>82188190813</v>
      </c>
      <c r="M6" s="179" t="n">
        <v>82424821101</v>
      </c>
      <c r="N6" s="179" t="n">
        <v>39199221428</v>
      </c>
      <c r="O6" s="179" t="n">
        <v>0</v>
      </c>
      <c r="P6" s="179" t="n">
        <v>6798150552</v>
      </c>
      <c r="Q6" s="179" t="n">
        <v>4100485805</v>
      </c>
      <c r="R6" s="179" t="n">
        <v>0</v>
      </c>
      <c r="S6" s="179" t="n">
        <v>0</v>
      </c>
      <c r="T6" s="179" t="n">
        <v>3149732368</v>
      </c>
      <c r="U6" s="179">
        <f>M6-L6</f>
        <v/>
      </c>
      <c r="V6" s="146">
        <f>IFERROR(M6/L6,"")</f>
        <v/>
      </c>
      <c r="W6" s="181">
        <f>IFERROR(C6/(C6+L6),"")</f>
        <v/>
      </c>
    </row>
    <row r="7" ht="15" customHeight="1" s="95">
      <c r="A7" s="94" t="inlineStr">
        <is>
          <t>2022-Q2</t>
        </is>
      </c>
      <c r="B7" s="143" t="n">
        <v>44742</v>
      </c>
      <c r="C7" s="179" t="n">
        <v>55569660586</v>
      </c>
      <c r="D7" s="179" t="n"/>
      <c r="E7" s="179" t="n">
        <v>0</v>
      </c>
      <c r="F7" s="179" t="n">
        <v>0</v>
      </c>
      <c r="G7" s="179" t="n">
        <v>0</v>
      </c>
      <c r="H7" s="179" t="n">
        <v>0</v>
      </c>
      <c r="I7" s="179">
        <f>D7-C7</f>
        <v/>
      </c>
      <c r="J7" s="146">
        <f>IFERROR(D7/C7,"")</f>
        <v/>
      </c>
      <c r="K7" s="143" t="n">
        <v>44742</v>
      </c>
      <c r="L7" s="179" t="n">
        <v>66204234509</v>
      </c>
      <c r="M7" s="179" t="n">
        <v>66409619424</v>
      </c>
      <c r="N7" s="179" t="n">
        <v>28856434491</v>
      </c>
      <c r="O7" s="179" t="n">
        <v>0</v>
      </c>
      <c r="P7" s="179" t="n">
        <v>6810253431</v>
      </c>
      <c r="Q7" s="179" t="n">
        <v>5418232067</v>
      </c>
      <c r="R7" s="179" t="n">
        <v>0</v>
      </c>
      <c r="S7" s="179" t="n">
        <v>0</v>
      </c>
      <c r="T7" s="179" t="n">
        <v>4494373260</v>
      </c>
      <c r="U7" s="179">
        <f>M7-L7</f>
        <v/>
      </c>
      <c r="V7" s="146">
        <f>IFERROR(M7/L7,"")</f>
        <v/>
      </c>
      <c r="W7" s="181">
        <f>IFERROR(C7/(C7+L7),"")</f>
        <v/>
      </c>
    </row>
    <row r="8" ht="15" customHeight="1" s="95">
      <c r="A8" s="94" t="inlineStr">
        <is>
          <t>2022-Q3</t>
        </is>
      </c>
      <c r="B8" s="143" t="n">
        <v>44834</v>
      </c>
      <c r="C8" s="179" t="n">
        <v>47261819834</v>
      </c>
      <c r="D8" s="179" t="n">
        <v>47479523936</v>
      </c>
      <c r="E8" s="179" t="n">
        <v>0</v>
      </c>
      <c r="F8" s="179" t="n">
        <v>38266665983</v>
      </c>
      <c r="G8" s="179" t="n">
        <v>0</v>
      </c>
      <c r="H8" s="179" t="n">
        <v>9212857953</v>
      </c>
      <c r="I8" s="179">
        <f>D8-C8</f>
        <v/>
      </c>
      <c r="J8" s="146">
        <f>IFERROR(D8/C8,"")</f>
        <v/>
      </c>
      <c r="K8" s="143" t="n">
        <v>44834</v>
      </c>
      <c r="L8" s="179" t="n">
        <v>67805112981</v>
      </c>
      <c r="M8" s="179" t="n">
        <v>68061618458</v>
      </c>
      <c r="N8" s="179" t="n">
        <v>39678465980</v>
      </c>
      <c r="O8" s="179" t="n">
        <v>0</v>
      </c>
      <c r="P8" s="179" t="n">
        <v>7101935591</v>
      </c>
      <c r="Q8" s="179" t="n">
        <v>6077722223</v>
      </c>
      <c r="R8" s="179" t="n">
        <v>0</v>
      </c>
      <c r="S8" s="179" t="n">
        <v>0</v>
      </c>
      <c r="T8" s="179" t="n">
        <v>6135946415</v>
      </c>
      <c r="U8" s="179">
        <f>M8-L8</f>
        <v/>
      </c>
      <c r="V8" s="146">
        <f>IFERROR(M8/L8,"")</f>
        <v/>
      </c>
      <c r="W8" s="181">
        <f>IFERROR(C8/(C8+L8),"")</f>
        <v/>
      </c>
    </row>
    <row r="9" ht="15" customHeight="1" s="95">
      <c r="A9" s="94" t="inlineStr">
        <is>
          <t>2022-Q4</t>
        </is>
      </c>
      <c r="B9" s="143" t="n">
        <v>44926</v>
      </c>
      <c r="C9" s="179" t="n">
        <v>44553543212</v>
      </c>
      <c r="D9" s="179" t="n">
        <v>44693963701</v>
      </c>
      <c r="E9" s="179" t="n">
        <v>23663857053</v>
      </c>
      <c r="F9" s="179" t="n">
        <v>10523715583</v>
      </c>
      <c r="G9" s="179" t="n">
        <v>0</v>
      </c>
      <c r="H9" s="179" t="n">
        <v>10506391065</v>
      </c>
      <c r="I9" s="179">
        <f>D9-C9</f>
        <v/>
      </c>
      <c r="J9" s="146">
        <f>IFERROR(D9/C9,"")</f>
        <v/>
      </c>
      <c r="K9" s="143" t="n">
        <v>44926</v>
      </c>
      <c r="L9" s="179" t="n">
        <v>66057260169</v>
      </c>
      <c r="M9" s="179" t="n">
        <v>67044148175</v>
      </c>
      <c r="N9" s="179" t="n">
        <v>39230259046</v>
      </c>
      <c r="O9" s="179" t="n">
        <v>0</v>
      </c>
      <c r="P9" s="179" t="n">
        <v>7372926391</v>
      </c>
      <c r="Q9" s="179" t="n">
        <v>5318311794</v>
      </c>
      <c r="R9" s="179" t="n">
        <v>0</v>
      </c>
      <c r="S9" s="179" t="n">
        <v>0</v>
      </c>
      <c r="T9" s="179" t="n">
        <v>5852823328</v>
      </c>
      <c r="U9" s="179">
        <f>M9-L9</f>
        <v/>
      </c>
      <c r="V9" s="146">
        <f>IFERROR(M9/L9,"")</f>
        <v/>
      </c>
      <c r="W9" s="181">
        <f>IFERROR(C9/(C9+L9),"")</f>
        <v/>
      </c>
    </row>
    <row r="10" ht="15" customHeight="1" s="95">
      <c r="A10" s="94" t="inlineStr">
        <is>
          <t>2023-Q1</t>
        </is>
      </c>
      <c r="B10" s="143" t="n">
        <v>45016</v>
      </c>
      <c r="C10" s="179" t="n">
        <v>32518607650</v>
      </c>
      <c r="D10" s="179" t="n">
        <v>32571701308</v>
      </c>
      <c r="E10" s="179" t="n">
        <v>28886160100</v>
      </c>
      <c r="F10" s="179" t="n">
        <v>28510534939</v>
      </c>
      <c r="G10" s="179" t="n">
        <v>0</v>
      </c>
      <c r="H10" s="179" t="n">
        <v>3685541208</v>
      </c>
      <c r="I10" s="179">
        <f>D10-C10</f>
        <v/>
      </c>
      <c r="J10" s="146">
        <f>IFERROR(D10/C10,"")</f>
        <v/>
      </c>
      <c r="K10" s="143" t="n">
        <v>45016</v>
      </c>
      <c r="L10" s="179" t="n">
        <v>79372401626</v>
      </c>
      <c r="M10" s="179" t="n">
        <v>81833149345</v>
      </c>
      <c r="N10" s="179" t="n">
        <v>53044762609</v>
      </c>
      <c r="O10" s="179" t="n">
        <v>8286850807</v>
      </c>
      <c r="P10" s="179" t="n">
        <v>7453204896</v>
      </c>
      <c r="Q10" s="179" t="n">
        <v>481350555</v>
      </c>
      <c r="R10" s="179" t="n">
        <v>1500064140</v>
      </c>
      <c r="S10" s="179" t="n">
        <v>3391091658</v>
      </c>
      <c r="T10" s="179" t="n">
        <v>5349078821</v>
      </c>
      <c r="U10" s="179">
        <f>M10-L10</f>
        <v/>
      </c>
      <c r="V10" s="146">
        <f>IFERROR(M10/L10,"")</f>
        <v/>
      </c>
      <c r="W10" s="181">
        <f>IFERROR(C10/(C10+L10),"")</f>
        <v/>
      </c>
    </row>
    <row r="11" ht="15" customHeight="1" s="95">
      <c r="A11" s="94" t="inlineStr">
        <is>
          <t>2023-Q2</t>
        </is>
      </c>
      <c r="B11" s="143" t="n">
        <v>45107</v>
      </c>
      <c r="C11" s="179" t="n">
        <v>27384351887</v>
      </c>
      <c r="D11" s="179" t="n">
        <v>27439541303</v>
      </c>
      <c r="E11" s="179" t="n">
        <v>24787996274</v>
      </c>
      <c r="F11" s="179" t="n">
        <v>5432701400</v>
      </c>
      <c r="G11" s="179" t="n">
        <v>18456000000</v>
      </c>
      <c r="H11" s="179" t="n">
        <v>2651545029</v>
      </c>
      <c r="I11" s="179">
        <f>D11-C11</f>
        <v/>
      </c>
      <c r="J11" s="146">
        <f>IFERROR(D11/C11,"")</f>
        <v/>
      </c>
      <c r="K11" s="143" t="n">
        <v>45107</v>
      </c>
      <c r="L11" s="179" t="n">
        <v>83178020411</v>
      </c>
      <c r="M11" s="179" t="n">
        <v>86499251218</v>
      </c>
      <c r="N11" s="179" t="n">
        <v>55809730658</v>
      </c>
      <c r="O11" s="179" t="n">
        <v>9470232281</v>
      </c>
      <c r="P11" s="179" t="n">
        <v>8133865426</v>
      </c>
      <c r="Q11" s="179" t="n">
        <v>90811797</v>
      </c>
      <c r="R11" s="179" t="n">
        <v>1676229360</v>
      </c>
      <c r="S11" s="179" t="n">
        <v>3270216824</v>
      </c>
      <c r="T11" s="179" t="n">
        <v>5504292639</v>
      </c>
      <c r="U11" s="179">
        <f>M11-L11</f>
        <v/>
      </c>
      <c r="V11" s="146">
        <f>IFERROR(M11/L11,"")</f>
        <v/>
      </c>
      <c r="W11" s="181">
        <f>IFERROR(C11/(C11+L11),"")</f>
        <v/>
      </c>
    </row>
    <row r="12" ht="15" customHeight="1" s="95">
      <c r="A12" s="94" t="inlineStr">
        <is>
          <t>2023-Q3</t>
        </is>
      </c>
      <c r="B12" s="143" t="n">
        <v>45198</v>
      </c>
      <c r="C12" s="179" t="n">
        <v>24973159027</v>
      </c>
      <c r="D12" s="179" t="n">
        <v>25025027673</v>
      </c>
      <c r="E12" s="179" t="n">
        <v>23787935409</v>
      </c>
      <c r="F12" s="179" t="n">
        <v>8995831228</v>
      </c>
      <c r="G12" s="179" t="n">
        <v>13892000000</v>
      </c>
      <c r="H12" s="179" t="n">
        <v>1237092264</v>
      </c>
      <c r="I12" s="179">
        <f>D12-C12</f>
        <v/>
      </c>
      <c r="J12" s="146">
        <f>IFERROR(D12/C12,"")</f>
        <v/>
      </c>
      <c r="K12" s="143" t="n">
        <v>45199</v>
      </c>
      <c r="L12" s="179" t="n">
        <v>83153363663</v>
      </c>
      <c r="M12" s="179" t="n">
        <v>86384653832</v>
      </c>
      <c r="N12" s="179" t="n">
        <v>56611569049</v>
      </c>
      <c r="O12" s="179" t="n">
        <v>8855002048</v>
      </c>
      <c r="P12" s="179" t="n">
        <v>8233687005</v>
      </c>
      <c r="Q12" s="179" t="n">
        <v>292641978</v>
      </c>
      <c r="R12" s="179" t="n">
        <v>1661948724</v>
      </c>
      <c r="S12" s="179" t="n">
        <v>3149722956</v>
      </c>
      <c r="T12" s="179" t="n">
        <v>5168269890</v>
      </c>
      <c r="U12" s="179">
        <f>M12-L12</f>
        <v/>
      </c>
      <c r="V12" s="146">
        <f>IFERROR(M12/L12,"")</f>
        <v/>
      </c>
      <c r="W12" s="181">
        <f>IFERROR(C12/(C12+L12),"")</f>
        <v/>
      </c>
    </row>
    <row r="13" ht="15" customHeight="1" s="95">
      <c r="A13" s="94" t="inlineStr">
        <is>
          <t>2023-Q4</t>
        </is>
      </c>
      <c r="B13" s="143" t="n">
        <v>45289</v>
      </c>
      <c r="C13" s="179" t="n">
        <v>24641390742</v>
      </c>
      <c r="D13" s="179" t="n">
        <v>24693288222</v>
      </c>
      <c r="E13" s="179" t="n">
        <v>22237963415</v>
      </c>
      <c r="F13" s="179" t="n">
        <v>6622021104</v>
      </c>
      <c r="G13" s="179" t="n">
        <v>14707000000</v>
      </c>
      <c r="H13" s="179" t="n">
        <v>2455324807</v>
      </c>
      <c r="I13" s="179">
        <f>D13-C13</f>
        <v/>
      </c>
      <c r="J13" s="146">
        <f>IFERROR(D13/C13,"")</f>
        <v/>
      </c>
      <c r="L13" s="94" t="n">
        <v>91572956801</v>
      </c>
      <c r="M13" s="94" t="n">
        <v>97020394556</v>
      </c>
      <c r="N13" s="94" t="n">
        <v>63086013400</v>
      </c>
      <c r="O13" s="94" t="n">
        <v>10174425226</v>
      </c>
      <c r="P13" s="94" t="n">
        <v>8339339590</v>
      </c>
      <c r="Q13" s="94" t="n">
        <v>394746540</v>
      </c>
      <c r="R13" s="94" t="n">
        <v>2820162484</v>
      </c>
      <c r="S13" s="94" t="n">
        <v>3514935634</v>
      </c>
      <c r="T13" s="94" t="n">
        <v>4804666695</v>
      </c>
      <c r="U13" s="94" t="n">
        <v>5447437755</v>
      </c>
      <c r="V13" s="94" t="n">
        <v>1.05948740703915</v>
      </c>
    </row>
    <row r="14" ht="15" customHeight="1" s="95">
      <c r="A14" s="94" t="inlineStr">
        <is>
          <t>2024-Q1</t>
        </is>
      </c>
      <c r="B14" s="143" t="n">
        <v>45380</v>
      </c>
      <c r="C14" s="179" t="n">
        <v>32374547608</v>
      </c>
      <c r="D14" s="179" t="n">
        <v>32425876781</v>
      </c>
      <c r="E14" s="179" t="n">
        <v>28238248488</v>
      </c>
      <c r="F14" s="179" t="n">
        <v>11418153075</v>
      </c>
      <c r="G14" s="179" t="n">
        <v>15927000000</v>
      </c>
      <c r="H14" s="179" t="n">
        <v>4187628293</v>
      </c>
      <c r="I14" s="179">
        <f>D14-C14</f>
        <v/>
      </c>
      <c r="J14" s="146">
        <f>IFERROR(D14/C14,"")</f>
        <v/>
      </c>
      <c r="L14" s="94" t="n">
        <v>104019279735</v>
      </c>
      <c r="M14" s="94" t="n">
        <v>110289406409</v>
      </c>
      <c r="N14" s="94" t="n">
        <v>74045290303</v>
      </c>
      <c r="O14" s="94" t="n">
        <v>12150460897</v>
      </c>
      <c r="P14" s="94" t="n">
        <v>6279586483</v>
      </c>
      <c r="Q14" s="94" t="n">
        <v>100264024</v>
      </c>
      <c r="R14" s="94" t="n">
        <v>5374726904</v>
      </c>
      <c r="S14" s="94" t="n">
        <v>3650599989</v>
      </c>
      <c r="T14" s="94" t="n">
        <v>4735309369</v>
      </c>
      <c r="U14" s="94" t="n">
        <v>6270126674</v>
      </c>
      <c r="V14" s="94" t="n">
        <v>1.06027850500382</v>
      </c>
    </row>
    <row r="15" ht="15" customHeight="1" s="95">
      <c r="A15" s="94" t="inlineStr">
        <is>
          <t>2024-Q2</t>
        </is>
      </c>
      <c r="B15" s="143" t="n">
        <v>45471</v>
      </c>
      <c r="C15" s="179" t="n">
        <v>32222674248</v>
      </c>
      <c r="D15" s="179" t="n">
        <v>32274321543</v>
      </c>
      <c r="E15" s="179" t="n">
        <v>28688570090</v>
      </c>
      <c r="F15" s="179" t="n">
        <v>10720566593</v>
      </c>
      <c r="G15" s="179" t="n">
        <v>17084000000</v>
      </c>
      <c r="H15" s="179" t="n">
        <v>3585751453</v>
      </c>
      <c r="I15" s="179">
        <f>D15-C15</f>
        <v/>
      </c>
      <c r="J15" s="146">
        <f>IFERROR(D15/C15,"")</f>
        <v/>
      </c>
      <c r="L15" s="94" t="n">
        <v>112395445973</v>
      </c>
      <c r="M15" s="94" t="n">
        <v>118436336293</v>
      </c>
      <c r="N15" s="94" t="n">
        <v>80948647984</v>
      </c>
      <c r="O15" s="94" t="n">
        <v>12284345406</v>
      </c>
      <c r="P15" s="94" t="n">
        <v>6355402510</v>
      </c>
      <c r="Q15" s="94" t="n">
        <v>109867228</v>
      </c>
      <c r="R15" s="94" t="n">
        <v>4734040881</v>
      </c>
      <c r="S15" s="94" t="n">
        <v>3814334566</v>
      </c>
      <c r="T15" s="94" t="n">
        <v>6571282257</v>
      </c>
      <c r="U15" s="94" t="n">
        <v>6040890320</v>
      </c>
      <c r="V15" s="94" t="n">
        <v>1.05374675341785</v>
      </c>
    </row>
    <row r="16" ht="15" customHeight="1" s="95">
      <c r="A16" s="94" t="inlineStr">
        <is>
          <t>2024-Q3</t>
        </is>
      </c>
      <c r="B16" s="143" t="n">
        <v>45565</v>
      </c>
      <c r="C16" s="179" t="n">
        <v>35468964901</v>
      </c>
      <c r="D16" s="179" t="n">
        <v>35533322286</v>
      </c>
      <c r="E16" s="179" t="n">
        <v>31488797867</v>
      </c>
      <c r="F16" s="179" t="n">
        <v>8059348784</v>
      </c>
      <c r="G16" s="179" t="n">
        <v>22556000000</v>
      </c>
      <c r="H16" s="179" t="n">
        <v>4044524419</v>
      </c>
      <c r="I16" s="179">
        <f>D16-C16</f>
        <v/>
      </c>
      <c r="J16" s="146">
        <f>IFERROR(D16/C16,"")</f>
        <v/>
      </c>
      <c r="K16" s="143" t="n">
        <v>45565</v>
      </c>
      <c r="L16" s="179" t="n">
        <v>119376234010</v>
      </c>
      <c r="M16" s="179" t="n">
        <v>125472000279</v>
      </c>
      <c r="N16" s="179" t="n">
        <v>84548020412</v>
      </c>
      <c r="O16" s="179" t="n">
        <v>14109169349</v>
      </c>
      <c r="P16" s="179" t="n">
        <v>6436961021</v>
      </c>
      <c r="Q16" s="179" t="n">
        <v>78413266</v>
      </c>
      <c r="R16" s="179" t="n">
        <v>4782917086</v>
      </c>
      <c r="S16" s="179" t="n">
        <v>4962116508</v>
      </c>
      <c r="T16" s="179" t="n">
        <v>6721817210</v>
      </c>
      <c r="U16" s="179">
        <f>M16-L16</f>
        <v/>
      </c>
      <c r="V16" s="146">
        <f>IFERROR(M16/L16,"")</f>
        <v/>
      </c>
      <c r="W16" s="181">
        <f>IFERROR(C16/(C16+L16),"")</f>
        <v/>
      </c>
    </row>
    <row r="17" ht="15" customHeight="1" s="95">
      <c r="A17" s="94" t="inlineStr">
        <is>
          <t>2024-Q4</t>
        </is>
      </c>
      <c r="B17" s="143" t="n">
        <v>45657</v>
      </c>
      <c r="C17" s="179" t="n">
        <v>43856799846</v>
      </c>
      <c r="D17" s="179" t="n">
        <v>43921522065</v>
      </c>
      <c r="E17" s="179" t="n">
        <v>37514330156</v>
      </c>
      <c r="F17" s="179" t="n">
        <v>14787448865</v>
      </c>
      <c r="G17" s="179" t="n">
        <v>21863000000</v>
      </c>
      <c r="H17" s="179" t="n">
        <v>6407191909</v>
      </c>
      <c r="I17" s="179">
        <f>D17-C17</f>
        <v/>
      </c>
      <c r="J17" s="146">
        <f>IFERROR(D17/C17,"")</f>
        <v/>
      </c>
      <c r="K17" s="143" t="n">
        <v>45657</v>
      </c>
      <c r="L17" s="179" t="n">
        <v>136613782874</v>
      </c>
      <c r="M17" s="179" t="n">
        <v>143704755547</v>
      </c>
      <c r="N17" s="179" t="n">
        <v>94471651607</v>
      </c>
      <c r="O17" s="179" t="n">
        <v>17179075788</v>
      </c>
      <c r="P17" s="179" t="n">
        <v>6506444067</v>
      </c>
      <c r="Q17" s="179" t="n">
        <v>108844601</v>
      </c>
      <c r="R17" s="179" t="n">
        <v>7857529277</v>
      </c>
      <c r="S17" s="179" t="n">
        <v>5318875241</v>
      </c>
      <c r="T17" s="179" t="n">
        <v>8194007406</v>
      </c>
      <c r="U17" s="179">
        <f>M17-L17</f>
        <v/>
      </c>
      <c r="V17" s="146">
        <f>IFERROR(M17/L17,"")</f>
        <v/>
      </c>
      <c r="W17" s="181">
        <f>IFERROR(C17/(C17+L17),"")</f>
        <v/>
      </c>
    </row>
    <row r="18" ht="15" customHeight="1" s="95">
      <c r="A18" s="94" t="inlineStr">
        <is>
          <t>2025-Q1</t>
        </is>
      </c>
      <c r="B18" s="143" t="n">
        <v>45747</v>
      </c>
      <c r="C18" s="179" t="n">
        <v>59975771715</v>
      </c>
      <c r="D18" s="179" t="n">
        <v>60040707040</v>
      </c>
      <c r="E18" s="179" t="n">
        <v>53564543222</v>
      </c>
      <c r="F18" s="179" t="n">
        <v>24862566987</v>
      </c>
      <c r="G18" s="179" t="n">
        <v>30815000000</v>
      </c>
      <c r="H18" s="179" t="n">
        <v>6476163818</v>
      </c>
      <c r="I18" s="179">
        <f>D18-C18</f>
        <v/>
      </c>
      <c r="J18" s="146">
        <f>IFERROR(D18/C18,"")</f>
        <v/>
      </c>
      <c r="K18" s="143" t="n">
        <v>45747</v>
      </c>
      <c r="L18" s="179" t="n">
        <v>143678070759</v>
      </c>
      <c r="M18" s="179" t="n">
        <v>149274515988</v>
      </c>
      <c r="N18" s="179" t="n">
        <v>98523657338</v>
      </c>
      <c r="O18" s="179" t="n">
        <v>16707592413</v>
      </c>
      <c r="P18" s="179" t="n">
        <v>6285638008</v>
      </c>
      <c r="Q18" s="179" t="n">
        <v>64302555</v>
      </c>
      <c r="R18" s="179" t="n">
        <v>7662210442</v>
      </c>
      <c r="S18" s="179" t="n">
        <v>6663205657</v>
      </c>
      <c r="T18" s="179" t="n">
        <v>8825524405</v>
      </c>
      <c r="U18" s="179">
        <f>M18-L18</f>
        <v/>
      </c>
      <c r="V18" s="146">
        <f>IFERROR(M18/L18,"")</f>
        <v/>
      </c>
      <c r="W18" s="181">
        <f>IFERROR(C18/(C18+L18),"")</f>
        <v/>
      </c>
    </row>
    <row r="19" ht="15" customHeight="1" s="95">
      <c r="A19" s="94" t="inlineStr">
        <is>
          <t>2025-Q2</t>
        </is>
      </c>
      <c r="B19" s="143" t="n">
        <v>45838</v>
      </c>
      <c r="C19" s="179" t="n">
        <v>61332530506</v>
      </c>
      <c r="D19" s="179" t="n">
        <v>61397784739</v>
      </c>
      <c r="E19" s="179" t="n">
        <v>53164862125</v>
      </c>
      <c r="F19" s="179" t="n">
        <v>27039491803</v>
      </c>
      <c r="G19" s="179" t="n">
        <v>27066000000</v>
      </c>
      <c r="H19" s="179" t="n">
        <v>8232922614</v>
      </c>
      <c r="I19" s="179">
        <f>D19-C19</f>
        <v/>
      </c>
      <c r="J19" s="146">
        <f>IFERROR(D19/C19,"")</f>
        <v/>
      </c>
      <c r="K19" s="143" t="n">
        <v>45838</v>
      </c>
      <c r="L19" s="179" t="n">
        <v>157100255857</v>
      </c>
      <c r="M19" s="179" t="n">
        <v>162574933798</v>
      </c>
      <c r="N19" s="179" t="n">
        <v>105518993610</v>
      </c>
      <c r="O19" s="179" t="n">
        <v>18008835683</v>
      </c>
      <c r="P19" s="179" t="n">
        <v>6345999587</v>
      </c>
      <c r="Q19" s="179" t="n">
        <v>32430726</v>
      </c>
      <c r="R19" s="179" t="n">
        <v>8928174931</v>
      </c>
      <c r="S19" s="179" t="n">
        <v>8725417224</v>
      </c>
      <c r="T19" s="179" t="n">
        <v>10137145089</v>
      </c>
      <c r="U19" s="179">
        <f>M19-L19</f>
        <v/>
      </c>
      <c r="V19" s="146">
        <f>IFERROR(M19/L19,"")</f>
        <v/>
      </c>
      <c r="W19" s="181">
        <f>IFERROR(C19/(C19+L19),"")</f>
        <v/>
      </c>
    </row>
    <row r="20" ht="15" customHeight="1" s="95">
      <c r="A20" s="94" t="inlineStr">
        <is>
          <t>2025-Q3</t>
        </is>
      </c>
      <c r="B20" s="143" t="n">
        <v>45930</v>
      </c>
      <c r="C20" s="179" t="n">
        <v>73748934193</v>
      </c>
      <c r="D20" s="179" t="n">
        <v>73814526973</v>
      </c>
      <c r="E20" s="179" t="n">
        <v>64165200835</v>
      </c>
      <c r="F20" s="179" t="n">
        <v>21761417417</v>
      </c>
      <c r="G20" s="179" t="n">
        <v>41619000000</v>
      </c>
      <c r="H20" s="179" t="n">
        <v>9649326138</v>
      </c>
      <c r="I20" s="179">
        <f>D20-C20</f>
        <v/>
      </c>
      <c r="J20" s="146">
        <f>IFERROR(D20/C20,"")</f>
        <v/>
      </c>
      <c r="K20" s="143" t="n">
        <v>45930</v>
      </c>
      <c r="L20" s="179" t="n">
        <v>174356634812</v>
      </c>
      <c r="M20" s="179" t="n">
        <v>181223149214</v>
      </c>
      <c r="N20" s="179" t="n">
        <v>112417034272</v>
      </c>
      <c r="O20" s="179" t="n">
        <v>21047660467</v>
      </c>
      <c r="P20" s="179" t="n">
        <v>6409774689</v>
      </c>
      <c r="Q20" s="179" t="n">
        <v>30100334</v>
      </c>
      <c r="R20" s="179" t="n">
        <v>9856011011</v>
      </c>
      <c r="S20" s="179" t="n">
        <v>12921449635</v>
      </c>
      <c r="T20" s="179" t="n">
        <v>14604086904</v>
      </c>
      <c r="U20" s="179">
        <f>M20-L20</f>
        <v/>
      </c>
      <c r="V20" s="146">
        <f>IFERROR(M20/L20,"")</f>
        <v/>
      </c>
      <c r="W20" s="181">
        <f>IFERROR(C20/(C20+L20),"")</f>
        <v/>
      </c>
    </row>
    <row r="21" ht="15" customHeight="1" s="95">
      <c r="A21" s="94" t="inlineStr">
        <is>
          <t>2025-Q4</t>
        </is>
      </c>
      <c r="B21" s="143" t="n">
        <v>46022</v>
      </c>
      <c r="C21" s="179" t="n">
        <v>75266033823</v>
      </c>
      <c r="D21" s="179" t="n">
        <v>75332981976</v>
      </c>
      <c r="E21" s="179" t="n">
        <v>66316556313</v>
      </c>
      <c r="F21" s="179" t="n">
        <v>14963264493</v>
      </c>
      <c r="G21" s="179" t="n">
        <v>50790000000</v>
      </c>
      <c r="H21" s="179" t="n">
        <v>9016425663</v>
      </c>
      <c r="I21" s="179">
        <f>D21-C21</f>
        <v/>
      </c>
      <c r="J21" s="146">
        <f>IFERROR(D21/C21,"")</f>
        <v/>
      </c>
      <c r="K21" s="143" t="n">
        <v>46022</v>
      </c>
      <c r="L21" s="179" t="n">
        <v>186450610920</v>
      </c>
      <c r="M21" s="179" t="n">
        <v>192877729144</v>
      </c>
      <c r="N21" s="179" t="n">
        <v>122325714946</v>
      </c>
      <c r="O21" s="179" t="n">
        <v>24827847891</v>
      </c>
      <c r="P21" s="179" t="n">
        <v>0</v>
      </c>
      <c r="Q21" s="179" t="n">
        <v>33952735</v>
      </c>
      <c r="R21" s="179" t="n">
        <v>8430374292</v>
      </c>
      <c r="S21" s="179" t="n">
        <v>17450435088</v>
      </c>
      <c r="T21" s="179" t="n">
        <v>17043516665</v>
      </c>
      <c r="U21" s="179">
        <f>M21-L21</f>
        <v/>
      </c>
      <c r="V21" s="146">
        <f>IFERROR(M21/L21,"")</f>
        <v/>
      </c>
      <c r="W21" s="181">
        <f>IFERROR(C21/(C21+L21),"")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4" min="1" max="1"/>
    <col width="7" customWidth="1" style="94" min="2" max="2"/>
    <col width="8" customWidth="1" style="94" min="3" max="3"/>
    <col width="9" customWidth="1" style="94" min="4" max="4"/>
    <col width="22" customWidth="1" style="94" min="5" max="5"/>
    <col width="14" customWidth="1" style="94" min="6" max="6"/>
  </cols>
  <sheetData>
    <row r="1" ht="15" customHeight="1" s="95">
      <c r="A1" s="185" t="inlineStr">
        <is>
          <t>Date</t>
        </is>
      </c>
      <c r="B1" s="185" t="inlineStr">
        <is>
          <t>Year</t>
        </is>
      </c>
      <c r="C1" s="185" t="inlineStr">
        <is>
          <t>Month</t>
        </is>
      </c>
      <c r="D1" s="185" t="inlineStr">
        <is>
          <t>Quarter</t>
        </is>
      </c>
      <c r="E1" s="185" t="inlineStr">
        <is>
          <t>Gold_Price_USD_per_oz</t>
        </is>
      </c>
      <c r="F1" s="185" t="inlineStr">
        <is>
          <t>MoM_Pct_Change</t>
        </is>
      </c>
    </row>
    <row r="2" ht="15" customHeight="1" s="95">
      <c r="A2" s="143" t="n">
        <v>43466</v>
      </c>
      <c r="B2" s="94" t="n">
        <v>2019</v>
      </c>
      <c r="C2" s="94" t="n">
        <v>1</v>
      </c>
      <c r="D2" s="94" t="inlineStr">
        <is>
          <t>2019-Q1</t>
        </is>
      </c>
      <c r="E2" s="186" t="n">
        <v>1322.5</v>
      </c>
    </row>
    <row r="3" ht="15" customHeight="1" s="95">
      <c r="A3" s="143" t="n">
        <v>43497</v>
      </c>
      <c r="B3" s="94" t="n">
        <v>2019</v>
      </c>
      <c r="C3" s="94" t="n">
        <v>2</v>
      </c>
      <c r="D3" s="94" t="inlineStr">
        <is>
          <t>2019-Q1</t>
        </is>
      </c>
      <c r="E3" s="186" t="n">
        <v>1325.45</v>
      </c>
      <c r="F3" s="184">
        <f>(E3/E2)-1</f>
        <v/>
      </c>
    </row>
    <row r="4" ht="15" customHeight="1" s="95">
      <c r="A4" s="143" t="n">
        <v>43525</v>
      </c>
      <c r="B4" s="94" t="n">
        <v>2019</v>
      </c>
      <c r="C4" s="94" t="n">
        <v>3</v>
      </c>
      <c r="D4" s="94" t="inlineStr">
        <is>
          <t>2019-Q1</t>
        </is>
      </c>
      <c r="E4" s="186" t="n">
        <v>1291.15</v>
      </c>
      <c r="F4" s="184">
        <f>(E4/E3)-1</f>
        <v/>
      </c>
    </row>
    <row r="5" ht="15" customHeight="1" s="95">
      <c r="A5" s="143" t="n">
        <v>43556</v>
      </c>
      <c r="B5" s="94" t="n">
        <v>2019</v>
      </c>
      <c r="C5" s="94" t="n">
        <v>4</v>
      </c>
      <c r="D5" s="94" t="inlineStr">
        <is>
          <t>2019-Q2</t>
        </is>
      </c>
      <c r="E5" s="186" t="n">
        <v>1285.15</v>
      </c>
      <c r="F5" s="184">
        <f>(E5/E4)-1</f>
        <v/>
      </c>
    </row>
    <row r="6" ht="15" customHeight="1" s="95">
      <c r="A6" s="143" t="n">
        <v>43586</v>
      </c>
      <c r="B6" s="94" t="n">
        <v>2019</v>
      </c>
      <c r="C6" s="94" t="n">
        <v>5</v>
      </c>
      <c r="D6" s="94" t="inlineStr">
        <is>
          <t>2019-Q2</t>
        </is>
      </c>
      <c r="E6" s="186" t="n">
        <v>1296</v>
      </c>
      <c r="F6" s="184">
        <f>(E6/E5)-1</f>
        <v/>
      </c>
    </row>
    <row r="7" ht="15" customHeight="1" s="95">
      <c r="A7" s="143" t="n">
        <v>43617</v>
      </c>
      <c r="B7" s="94" t="n">
        <v>2019</v>
      </c>
      <c r="C7" s="94" t="n">
        <v>6</v>
      </c>
      <c r="D7" s="94" t="inlineStr">
        <is>
          <t>2019-Q2</t>
        </is>
      </c>
      <c r="E7" s="186" t="n">
        <v>1413.2</v>
      </c>
      <c r="F7" s="184">
        <f>(E7/E6)-1</f>
        <v/>
      </c>
    </row>
    <row r="8" ht="15" customHeight="1" s="95">
      <c r="A8" s="143" t="n">
        <v>43647</v>
      </c>
      <c r="B8" s="94" t="n">
        <v>2019</v>
      </c>
      <c r="C8" s="94" t="n">
        <v>7</v>
      </c>
      <c r="D8" s="94" t="inlineStr">
        <is>
          <t>2019-Q3</t>
        </is>
      </c>
      <c r="E8" s="186" t="n">
        <v>1430.55</v>
      </c>
      <c r="F8" s="184">
        <f>(E8/E7)-1</f>
        <v/>
      </c>
    </row>
    <row r="9" ht="15" customHeight="1" s="95">
      <c r="A9" s="143" t="n">
        <v>43678</v>
      </c>
      <c r="B9" s="94" t="n">
        <v>2019</v>
      </c>
      <c r="C9" s="94" t="n">
        <v>8</v>
      </c>
      <c r="D9" s="94" t="inlineStr">
        <is>
          <t>2019-Q3</t>
        </is>
      </c>
      <c r="E9" s="186" t="n">
        <v>1526.55</v>
      </c>
      <c r="F9" s="184">
        <f>(E9/E8)-1</f>
        <v/>
      </c>
    </row>
    <row r="10" ht="15" customHeight="1" s="95">
      <c r="A10" s="143" t="n">
        <v>43709</v>
      </c>
      <c r="B10" s="94" t="n">
        <v>2019</v>
      </c>
      <c r="C10" s="94" t="n">
        <v>9</v>
      </c>
      <c r="D10" s="94" t="inlineStr">
        <is>
          <t>2019-Q3</t>
        </is>
      </c>
      <c r="E10" s="186" t="n">
        <v>1487.6</v>
      </c>
      <c r="F10" s="184">
        <f>(E10/E9)-1</f>
        <v/>
      </c>
    </row>
    <row r="11" ht="15" customHeight="1" s="95">
      <c r="A11" s="143" t="n">
        <v>43739</v>
      </c>
      <c r="B11" s="94" t="n">
        <v>2019</v>
      </c>
      <c r="C11" s="94" t="n">
        <v>10</v>
      </c>
      <c r="D11" s="94" t="inlineStr">
        <is>
          <t>2019-Q4</t>
        </is>
      </c>
      <c r="E11" s="186" t="n">
        <v>1506.4</v>
      </c>
      <c r="F11" s="184">
        <f>(E11/E10)-1</f>
        <v/>
      </c>
    </row>
    <row r="12" ht="15" customHeight="1" s="95">
      <c r="A12" s="143" t="n">
        <v>43770</v>
      </c>
      <c r="B12" s="94" t="n">
        <v>2019</v>
      </c>
      <c r="C12" s="94" t="n">
        <v>11</v>
      </c>
      <c r="D12" s="94" t="inlineStr">
        <is>
          <t>2019-Q4</t>
        </is>
      </c>
      <c r="E12" s="186" t="n">
        <v>1456.35</v>
      </c>
      <c r="F12" s="184">
        <f>(E12/E11)-1</f>
        <v/>
      </c>
    </row>
    <row r="13" ht="15" customHeight="1" s="95">
      <c r="A13" s="143" t="n">
        <v>43800</v>
      </c>
      <c r="B13" s="94" t="n">
        <v>2019</v>
      </c>
      <c r="C13" s="94" t="n">
        <v>12</v>
      </c>
      <c r="D13" s="94" t="inlineStr">
        <is>
          <t>2019-Q4</t>
        </is>
      </c>
      <c r="E13" s="186" t="n">
        <v>1523</v>
      </c>
      <c r="F13" s="184">
        <f>(E13/E12)-1</f>
        <v/>
      </c>
    </row>
    <row r="14" ht="15" customHeight="1" s="95">
      <c r="A14" s="143" t="n">
        <v>43831</v>
      </c>
      <c r="B14" s="94" t="n">
        <v>2020</v>
      </c>
      <c r="C14" s="94" t="n">
        <v>1</v>
      </c>
      <c r="D14" s="94" t="inlineStr">
        <is>
          <t>2020-Q1</t>
        </is>
      </c>
      <c r="E14" s="186" t="n">
        <v>1580.85</v>
      </c>
      <c r="F14" s="184">
        <f>(E14/E13)-1</f>
        <v/>
      </c>
    </row>
    <row r="15" ht="15" customHeight="1" s="95">
      <c r="A15" s="143" t="n">
        <v>43862</v>
      </c>
      <c r="B15" s="94" t="n">
        <v>2020</v>
      </c>
      <c r="C15" s="94" t="n">
        <v>2</v>
      </c>
      <c r="D15" s="94" t="inlineStr">
        <is>
          <t>2020-Q1</t>
        </is>
      </c>
      <c r="E15" s="186" t="n">
        <v>1626.35</v>
      </c>
      <c r="F15" s="184">
        <f>(E15/E14)-1</f>
        <v/>
      </c>
    </row>
    <row r="16" ht="15" customHeight="1" s="95">
      <c r="A16" s="143" t="n">
        <v>43891</v>
      </c>
      <c r="B16" s="94" t="n">
        <v>2020</v>
      </c>
      <c r="C16" s="94" t="n">
        <v>3</v>
      </c>
      <c r="D16" s="94" t="inlineStr">
        <is>
          <t>2020-Q1</t>
        </is>
      </c>
      <c r="E16" s="186" t="n">
        <v>1604.65</v>
      </c>
      <c r="F16" s="184">
        <f>(E16/E15)-1</f>
        <v/>
      </c>
    </row>
    <row r="17" ht="15" customHeight="1" s="95">
      <c r="A17" s="143" t="n">
        <v>43922</v>
      </c>
      <c r="B17" s="94" t="n">
        <v>2020</v>
      </c>
      <c r="C17" s="94" t="n">
        <v>4</v>
      </c>
      <c r="D17" s="94" t="inlineStr">
        <is>
          <t>2020-Q2</t>
        </is>
      </c>
      <c r="E17" s="186" t="n">
        <v>1716.75</v>
      </c>
      <c r="F17" s="184">
        <f>(E17/E16)-1</f>
        <v/>
      </c>
    </row>
    <row r="18" ht="15" customHeight="1" s="95">
      <c r="A18" s="143" t="n">
        <v>43952</v>
      </c>
      <c r="B18" s="94" t="n">
        <v>2020</v>
      </c>
      <c r="C18" s="94" t="n">
        <v>5</v>
      </c>
      <c r="D18" s="94" t="inlineStr">
        <is>
          <t>2020-Q2</t>
        </is>
      </c>
      <c r="E18" s="186" t="n">
        <v>1725.65</v>
      </c>
      <c r="F18" s="184">
        <f>(E18/E17)-1</f>
        <v/>
      </c>
    </row>
    <row r="19" ht="15" customHeight="1" s="95">
      <c r="A19" s="143" t="n">
        <v>43983</v>
      </c>
      <c r="B19" s="94" t="n">
        <v>2020</v>
      </c>
      <c r="C19" s="94" t="n">
        <v>6</v>
      </c>
      <c r="D19" s="94" t="inlineStr">
        <is>
          <t>2020-Q2</t>
        </is>
      </c>
      <c r="E19" s="186" t="n">
        <v>1770.7</v>
      </c>
      <c r="F19" s="184">
        <f>(E19/E18)-1</f>
        <v/>
      </c>
    </row>
    <row r="20" ht="15" customHeight="1" s="95">
      <c r="A20" s="143" t="n">
        <v>44013</v>
      </c>
      <c r="B20" s="94" t="n">
        <v>2020</v>
      </c>
      <c r="C20" s="94" t="n">
        <v>7</v>
      </c>
      <c r="D20" s="94" t="inlineStr">
        <is>
          <t>2020-Q3</t>
        </is>
      </c>
      <c r="E20" s="186" t="n">
        <v>1971.68</v>
      </c>
      <c r="F20" s="184">
        <f>(E20/E19)-1</f>
        <v/>
      </c>
    </row>
    <row r="21" ht="15" customHeight="1" s="95">
      <c r="A21" s="143" t="n">
        <v>44044</v>
      </c>
      <c r="B21" s="94" t="n">
        <v>2020</v>
      </c>
      <c r="C21" s="94" t="n">
        <v>8</v>
      </c>
      <c r="D21" s="94" t="inlineStr">
        <is>
          <t>2020-Q3</t>
        </is>
      </c>
      <c r="E21" s="186" t="n">
        <v>1970.5</v>
      </c>
      <c r="F21" s="184">
        <f>(E21/E20)-1</f>
        <v/>
      </c>
    </row>
    <row r="22" ht="15" customHeight="1" s="95">
      <c r="A22" s="143" t="n">
        <v>44075</v>
      </c>
      <c r="B22" s="94" t="n">
        <v>2020</v>
      </c>
      <c r="C22" s="94" t="n">
        <v>9</v>
      </c>
      <c r="D22" s="94" t="inlineStr">
        <is>
          <t>2020-Q3</t>
        </is>
      </c>
      <c r="E22" s="186" t="n">
        <v>1893.9</v>
      </c>
      <c r="F22" s="184">
        <f>(E22/E21)-1</f>
        <v/>
      </c>
    </row>
    <row r="23" ht="15" customHeight="1" s="95">
      <c r="A23" s="143" t="n">
        <v>44105</v>
      </c>
      <c r="B23" s="94" t="n">
        <v>2020</v>
      </c>
      <c r="C23" s="94" t="n">
        <v>10</v>
      </c>
      <c r="D23" s="94" t="inlineStr">
        <is>
          <t>2020-Q4</t>
        </is>
      </c>
      <c r="E23" s="186" t="n">
        <v>1879.9</v>
      </c>
      <c r="F23" s="184">
        <f>(E23/E22)-1</f>
        <v/>
      </c>
    </row>
    <row r="24" ht="15" customHeight="1" s="95">
      <c r="A24" s="143" t="n">
        <v>44136</v>
      </c>
      <c r="B24" s="94" t="n">
        <v>2020</v>
      </c>
      <c r="C24" s="94" t="n">
        <v>11</v>
      </c>
      <c r="D24" s="94" t="inlineStr">
        <is>
          <t>2020-Q4</t>
        </is>
      </c>
      <c r="E24" s="186" t="n">
        <v>1779.86</v>
      </c>
      <c r="F24" s="184">
        <f>(E24/E23)-1</f>
        <v/>
      </c>
    </row>
    <row r="25" ht="15" customHeight="1" s="95">
      <c r="A25" s="143" t="n">
        <v>44166</v>
      </c>
      <c r="B25" s="94" t="n">
        <v>2020</v>
      </c>
      <c r="C25" s="94" t="n">
        <v>12</v>
      </c>
      <c r="D25" s="94" t="inlineStr">
        <is>
          <t>2020-Q4</t>
        </is>
      </c>
      <c r="E25" s="186" t="n">
        <v>1895.1</v>
      </c>
      <c r="F25" s="184">
        <f>(E25/E24)-1</f>
        <v/>
      </c>
    </row>
    <row r="26" ht="15" customHeight="1" s="95">
      <c r="A26" s="143" t="n">
        <v>44197</v>
      </c>
      <c r="B26" s="94" t="n">
        <v>2021</v>
      </c>
      <c r="C26" s="94" t="n">
        <v>1</v>
      </c>
      <c r="D26" s="94" t="inlineStr">
        <is>
          <t>2021-Q1</t>
        </is>
      </c>
      <c r="E26" s="186" t="n">
        <v>1849.7</v>
      </c>
      <c r="F26" s="184">
        <f>(E26/E25)-1</f>
        <v/>
      </c>
    </row>
    <row r="27" ht="15" customHeight="1" s="95">
      <c r="A27" s="143" t="n">
        <v>44228</v>
      </c>
      <c r="B27" s="94" t="n">
        <v>2021</v>
      </c>
      <c r="C27" s="94" t="n">
        <v>2</v>
      </c>
      <c r="D27" s="94" t="inlineStr">
        <is>
          <t>2021-Q1</t>
        </is>
      </c>
      <c r="E27" s="186" t="n">
        <v>1728.8</v>
      </c>
      <c r="F27" s="184">
        <f>(E27/E26)-1</f>
        <v/>
      </c>
    </row>
    <row r="28" ht="15" customHeight="1" s="95">
      <c r="A28" s="143" t="n">
        <v>44256</v>
      </c>
      <c r="B28" s="94" t="n">
        <v>2021</v>
      </c>
      <c r="C28" s="94" t="n">
        <v>3</v>
      </c>
      <c r="D28" s="94" t="inlineStr">
        <is>
          <t>2021-Q1</t>
        </is>
      </c>
      <c r="E28" s="186" t="n">
        <v>1715.24</v>
      </c>
      <c r="F28" s="184">
        <f>(E28/E27)-1</f>
        <v/>
      </c>
    </row>
    <row r="29" ht="15" customHeight="1" s="95">
      <c r="A29" s="143" t="n">
        <v>44287</v>
      </c>
      <c r="B29" s="94" t="n">
        <v>2021</v>
      </c>
      <c r="C29" s="94" t="n">
        <v>4</v>
      </c>
      <c r="D29" s="94" t="inlineStr">
        <is>
          <t>2021-Q2</t>
        </is>
      </c>
      <c r="E29" s="186" t="n">
        <v>1767.7</v>
      </c>
      <c r="F29" s="184">
        <f>(E29/E28)-1</f>
        <v/>
      </c>
    </row>
    <row r="30" ht="15" customHeight="1" s="95">
      <c r="A30" s="143" t="n">
        <v>44317</v>
      </c>
      <c r="B30" s="94" t="n">
        <v>2021</v>
      </c>
      <c r="C30" s="94" t="n">
        <v>5</v>
      </c>
      <c r="D30" s="94" t="inlineStr">
        <is>
          <t>2021-Q2</t>
        </is>
      </c>
      <c r="E30" s="186" t="n">
        <v>1904.74</v>
      </c>
      <c r="F30" s="184">
        <f>(E30/E29)-1</f>
        <v/>
      </c>
    </row>
    <row r="31" ht="15" customHeight="1" s="95">
      <c r="A31" s="143" t="n">
        <v>44348</v>
      </c>
      <c r="B31" s="94" t="n">
        <v>2021</v>
      </c>
      <c r="C31" s="94" t="n">
        <v>6</v>
      </c>
      <c r="D31" s="94" t="inlineStr">
        <is>
          <t>2021-Q2</t>
        </is>
      </c>
      <c r="E31" s="186" t="n">
        <v>1771.6</v>
      </c>
      <c r="F31" s="184">
        <f>(E31/E30)-1</f>
        <v/>
      </c>
    </row>
    <row r="32" ht="15" customHeight="1" s="95">
      <c r="A32" s="143" t="n">
        <v>44378</v>
      </c>
      <c r="B32" s="94" t="n">
        <v>2021</v>
      </c>
      <c r="C32" s="94" t="n">
        <v>7</v>
      </c>
      <c r="D32" s="94" t="inlineStr">
        <is>
          <t>2021-Q3</t>
        </is>
      </c>
      <c r="E32" s="186" t="n">
        <v>1814.12</v>
      </c>
      <c r="F32" s="184">
        <f>(E32/E31)-1</f>
        <v/>
      </c>
    </row>
    <row r="33" ht="15" customHeight="1" s="95">
      <c r="A33" s="143" t="n">
        <v>44409</v>
      </c>
      <c r="B33" s="94" t="n">
        <v>2021</v>
      </c>
      <c r="C33" s="94" t="n">
        <v>8</v>
      </c>
      <c r="D33" s="94" t="inlineStr">
        <is>
          <t>2021-Q3</t>
        </is>
      </c>
      <c r="E33" s="186" t="n">
        <v>1815.8</v>
      </c>
      <c r="F33" s="184">
        <f>(E33/E32)-1</f>
        <v/>
      </c>
    </row>
    <row r="34" ht="15" customHeight="1" s="95">
      <c r="A34" s="143" t="n">
        <v>44440</v>
      </c>
      <c r="B34" s="94" t="n">
        <v>2021</v>
      </c>
      <c r="C34" s="94" t="n">
        <v>9</v>
      </c>
      <c r="D34" s="94" t="inlineStr">
        <is>
          <t>2021-Q3</t>
        </is>
      </c>
      <c r="E34" s="186" t="n">
        <v>1756.66</v>
      </c>
      <c r="F34" s="184">
        <f>(E34/E33)-1</f>
        <v/>
      </c>
    </row>
    <row r="35" ht="15" customHeight="1" s="95">
      <c r="A35" s="143" t="n">
        <v>44470</v>
      </c>
      <c r="B35" s="94" t="n">
        <v>2021</v>
      </c>
      <c r="C35" s="94" t="n">
        <v>10</v>
      </c>
      <c r="D35" s="94" t="inlineStr">
        <is>
          <t>2021-Q4</t>
        </is>
      </c>
      <c r="E35" s="186" t="n">
        <v>1783.9</v>
      </c>
      <c r="F35" s="184">
        <f>(E35/E34)-1</f>
        <v/>
      </c>
    </row>
    <row r="36" ht="15" customHeight="1" s="95">
      <c r="A36" s="143" t="n">
        <v>44501</v>
      </c>
      <c r="B36" s="94" t="n">
        <v>2021</v>
      </c>
      <c r="C36" s="94" t="n">
        <v>11</v>
      </c>
      <c r="D36" s="94" t="inlineStr">
        <is>
          <t>2021-Q4</t>
        </is>
      </c>
      <c r="E36" s="186" t="n">
        <v>1775.92</v>
      </c>
      <c r="F36" s="184">
        <f>(E36/E35)-1</f>
        <v/>
      </c>
    </row>
    <row r="37" ht="15" customHeight="1" s="95">
      <c r="A37" s="143" t="n">
        <v>44531</v>
      </c>
      <c r="B37" s="94" t="n">
        <v>2021</v>
      </c>
      <c r="C37" s="94" t="n">
        <v>12</v>
      </c>
      <c r="D37" s="94" t="inlineStr">
        <is>
          <t>2021-Q4</t>
        </is>
      </c>
      <c r="E37" s="186" t="n">
        <v>1828.6</v>
      </c>
      <c r="F37" s="184">
        <f>(E37/E36)-1</f>
        <v/>
      </c>
    </row>
    <row r="38" ht="15" customHeight="1" s="95">
      <c r="A38" s="143" t="n">
        <v>44562</v>
      </c>
      <c r="B38" s="94" t="n">
        <v>2022</v>
      </c>
      <c r="C38" s="94" t="n">
        <v>1</v>
      </c>
      <c r="D38" s="94" t="inlineStr">
        <is>
          <t>2022-Q1</t>
        </is>
      </c>
      <c r="E38" s="186" t="n">
        <v>1796.12</v>
      </c>
      <c r="F38" s="184">
        <f>(E38/E37)-1</f>
        <v/>
      </c>
    </row>
    <row r="39" ht="15" customHeight="1" s="95">
      <c r="A39" s="143" t="n">
        <v>44593</v>
      </c>
      <c r="B39" s="94" t="n">
        <v>2022</v>
      </c>
      <c r="C39" s="94" t="n">
        <v>2</v>
      </c>
      <c r="D39" s="94" t="inlineStr">
        <is>
          <t>2022-Q1</t>
        </is>
      </c>
      <c r="E39" s="186" t="n">
        <v>1900.7</v>
      </c>
      <c r="F39" s="184">
        <f>(E39/E38)-1</f>
        <v/>
      </c>
    </row>
    <row r="40" ht="15" customHeight="1" s="95">
      <c r="A40" s="143" t="n">
        <v>44621</v>
      </c>
      <c r="B40" s="94" t="n">
        <v>2022</v>
      </c>
      <c r="C40" s="94" t="n">
        <v>3</v>
      </c>
      <c r="D40" s="94" t="inlineStr">
        <is>
          <t>2022-Q1</t>
        </is>
      </c>
      <c r="E40" s="186" t="n">
        <v>1953.04</v>
      </c>
      <c r="F40" s="184">
        <f>(E40/E39)-1</f>
        <v/>
      </c>
    </row>
    <row r="41" ht="15" customHeight="1" s="95">
      <c r="A41" s="143" t="n">
        <v>44652</v>
      </c>
      <c r="B41" s="94" t="n">
        <v>2022</v>
      </c>
      <c r="C41" s="94" t="n">
        <v>4</v>
      </c>
      <c r="D41" s="94" t="inlineStr">
        <is>
          <t>2022-Q2</t>
        </is>
      </c>
      <c r="E41" s="186" t="n">
        <v>1911.7</v>
      </c>
      <c r="F41" s="184">
        <f>(E41/E40)-1</f>
        <v/>
      </c>
    </row>
    <row r="42" ht="15" customHeight="1" s="95">
      <c r="A42" s="143" t="n">
        <v>44682</v>
      </c>
      <c r="B42" s="94" t="n">
        <v>2022</v>
      </c>
      <c r="C42" s="94" t="n">
        <v>5</v>
      </c>
      <c r="D42" s="94" t="inlineStr">
        <is>
          <t>2022-Q2</t>
        </is>
      </c>
      <c r="E42" s="186" t="n">
        <v>1847.26</v>
      </c>
      <c r="F42" s="184">
        <f>(E42/E41)-1</f>
        <v/>
      </c>
    </row>
    <row r="43" ht="15" customHeight="1" s="95">
      <c r="A43" s="143" t="n">
        <v>44713</v>
      </c>
      <c r="B43" s="94" t="n">
        <v>2022</v>
      </c>
      <c r="C43" s="94" t="n">
        <v>6</v>
      </c>
      <c r="D43" s="94" t="inlineStr">
        <is>
          <t>2022-Q2</t>
        </is>
      </c>
      <c r="E43" s="186" t="n">
        <v>1817.4548</v>
      </c>
      <c r="F43" s="184">
        <f>(E43/E42)-1</f>
        <v/>
      </c>
    </row>
    <row r="44" ht="15" customHeight="1" s="95">
      <c r="A44" s="143" t="n">
        <v>44743</v>
      </c>
      <c r="B44" s="94" t="n">
        <v>2022</v>
      </c>
      <c r="C44" s="94" t="n">
        <v>7</v>
      </c>
      <c r="D44" s="94" t="inlineStr">
        <is>
          <t>2022-Q3</t>
        </is>
      </c>
      <c r="E44" s="186" t="n">
        <v>1766.4309</v>
      </c>
      <c r="F44" s="184">
        <f>(E44/E43)-1</f>
        <v/>
      </c>
    </row>
    <row r="45" ht="15" customHeight="1" s="95">
      <c r="A45" s="143" t="n">
        <v>44774</v>
      </c>
      <c r="B45" s="94" t="n">
        <v>2022</v>
      </c>
      <c r="C45" s="94" t="n">
        <v>8</v>
      </c>
      <c r="D45" s="94" t="inlineStr">
        <is>
          <t>2022-Q3</t>
        </is>
      </c>
      <c r="E45" s="186" t="n">
        <v>1708.58</v>
      </c>
      <c r="F45" s="184">
        <f>(E45/E44)-1</f>
        <v/>
      </c>
    </row>
    <row r="46" ht="15" customHeight="1" s="95">
      <c r="A46" s="143" t="n">
        <v>44805</v>
      </c>
      <c r="B46" s="94" t="n">
        <v>2022</v>
      </c>
      <c r="C46" s="94" t="n">
        <v>9</v>
      </c>
      <c r="D46" s="94" t="inlineStr">
        <is>
          <t>2022-Q3</t>
        </is>
      </c>
      <c r="E46" s="186" t="n">
        <v>1660.8799</v>
      </c>
      <c r="F46" s="184">
        <f>(E46/E45)-1</f>
        <v/>
      </c>
    </row>
    <row r="47" ht="15" customHeight="1" s="95">
      <c r="A47" s="143" t="n">
        <v>44835</v>
      </c>
      <c r="B47" s="94" t="n">
        <v>2022</v>
      </c>
      <c r="C47" s="94" t="n">
        <v>10</v>
      </c>
      <c r="D47" s="94" t="inlineStr">
        <is>
          <t>2022-Q4</t>
        </is>
      </c>
      <c r="E47" s="186" t="n">
        <v>1632.38</v>
      </c>
      <c r="F47" s="184">
        <f>(E47/E46)-1</f>
        <v/>
      </c>
    </row>
    <row r="48" ht="15" customHeight="1" s="95">
      <c r="A48" s="143" t="n">
        <v>44866</v>
      </c>
      <c r="B48" s="94" t="n">
        <v>2022</v>
      </c>
      <c r="C48" s="94" t="n">
        <v>11</v>
      </c>
      <c r="D48" s="94" t="inlineStr">
        <is>
          <t>2022-Q4</t>
        </is>
      </c>
      <c r="E48" s="186" t="n">
        <v>1768.61</v>
      </c>
      <c r="F48" s="184">
        <f>(E48/E47)-1</f>
        <v/>
      </c>
    </row>
    <row r="49" ht="15" customHeight="1" s="95">
      <c r="A49" s="143" t="n">
        <v>44896</v>
      </c>
      <c r="B49" s="94" t="n">
        <v>2022</v>
      </c>
      <c r="C49" s="94" t="n">
        <v>12</v>
      </c>
      <c r="D49" s="94" t="inlineStr">
        <is>
          <t>2022-Q4</t>
        </is>
      </c>
      <c r="E49" s="186" t="n">
        <v>1824.3233</v>
      </c>
      <c r="F49" s="184">
        <f>(E49/E48)-1</f>
        <v/>
      </c>
    </row>
    <row r="50" ht="15" customHeight="1" s="95">
      <c r="A50" s="143" t="n">
        <v>44927</v>
      </c>
      <c r="B50" s="94" t="n">
        <v>2023</v>
      </c>
      <c r="C50" s="94" t="n">
        <v>1</v>
      </c>
      <c r="D50" s="94" t="inlineStr">
        <is>
          <t>2023-Q1</t>
        </is>
      </c>
      <c r="E50" s="186" t="n">
        <v>1928.1201</v>
      </c>
      <c r="F50" s="184">
        <f>(E50/E49)-1</f>
        <v/>
      </c>
    </row>
    <row r="51" ht="15" customHeight="1" s="95">
      <c r="A51" s="143" t="n">
        <v>44958</v>
      </c>
      <c r="B51" s="94" t="n">
        <v>2023</v>
      </c>
      <c r="C51" s="94" t="n">
        <v>2</v>
      </c>
      <c r="D51" s="94" t="inlineStr">
        <is>
          <t>2023-Q1</t>
        </is>
      </c>
      <c r="E51" s="186" t="n">
        <v>1826.7404</v>
      </c>
      <c r="F51" s="184">
        <f>(E51/E50)-1</f>
        <v/>
      </c>
    </row>
    <row r="52" ht="15" customHeight="1" s="95">
      <c r="A52" s="143" t="n">
        <v>44986</v>
      </c>
      <c r="B52" s="94" t="n">
        <v>2023</v>
      </c>
      <c r="C52" s="94" t="n">
        <v>3</v>
      </c>
      <c r="D52" s="94" t="inlineStr">
        <is>
          <t>2023-Q1</t>
        </is>
      </c>
      <c r="E52" s="186" t="n">
        <v>1969.5459</v>
      </c>
      <c r="F52" s="184">
        <f>(E52/E51)-1</f>
        <v/>
      </c>
    </row>
    <row r="53" ht="15" customHeight="1" s="95">
      <c r="A53" s="143" t="n">
        <v>45017</v>
      </c>
      <c r="B53" s="94" t="n">
        <v>2023</v>
      </c>
      <c r="C53" s="94" t="n">
        <v>4</v>
      </c>
      <c r="D53" s="94" t="inlineStr">
        <is>
          <t>2023-Q2</t>
        </is>
      </c>
      <c r="E53" s="186" t="n">
        <v>1990.6</v>
      </c>
      <c r="F53" s="184">
        <f>(E53/E52)-1</f>
        <v/>
      </c>
    </row>
    <row r="54" ht="15" customHeight="1" s="95">
      <c r="A54" s="143" t="n">
        <v>45047</v>
      </c>
      <c r="B54" s="94" t="n">
        <v>2023</v>
      </c>
      <c r="C54" s="94" t="n">
        <v>5</v>
      </c>
      <c r="D54" s="94" t="inlineStr">
        <is>
          <t>2023-Q2</t>
        </is>
      </c>
      <c r="E54" s="186" t="n">
        <v>1965.2</v>
      </c>
      <c r="F54" s="184">
        <f>(E54/E53)-1</f>
        <v/>
      </c>
    </row>
    <row r="55" ht="15" customHeight="1" s="95">
      <c r="A55" s="143" t="n">
        <v>45078</v>
      </c>
      <c r="B55" s="94" t="n">
        <v>2023</v>
      </c>
      <c r="C55" s="94" t="n">
        <v>6</v>
      </c>
      <c r="D55" s="94" t="inlineStr">
        <is>
          <t>2023-Q2</t>
        </is>
      </c>
      <c r="E55" s="186" t="n">
        <v>1919.5693</v>
      </c>
      <c r="F55" s="184">
        <f>(E55/E54)-1</f>
        <v/>
      </c>
    </row>
    <row r="56" ht="15" customHeight="1" s="95">
      <c r="A56" s="143" t="n">
        <v>45108</v>
      </c>
      <c r="B56" s="94" t="n">
        <v>2023</v>
      </c>
      <c r="C56" s="94" t="n">
        <v>7</v>
      </c>
      <c r="D56" s="94" t="inlineStr">
        <is>
          <t>2023-Q3</t>
        </is>
      </c>
      <c r="E56" s="186" t="n">
        <v>1964.3387</v>
      </c>
      <c r="F56" s="184">
        <f>(E56/E55)-1</f>
        <v/>
      </c>
    </row>
    <row r="57" ht="15" customHeight="1" s="95">
      <c r="A57" s="143" t="n">
        <v>45139</v>
      </c>
      <c r="B57" s="94" t="n">
        <v>2023</v>
      </c>
      <c r="C57" s="94" t="n">
        <v>8</v>
      </c>
      <c r="D57" s="94" t="inlineStr">
        <is>
          <t>2023-Q3</t>
        </is>
      </c>
      <c r="E57" s="186" t="n">
        <v>1939.8281</v>
      </c>
      <c r="F57" s="184">
        <f>(E57/E56)-1</f>
        <v/>
      </c>
    </row>
    <row r="58" ht="15" customHeight="1" s="95">
      <c r="A58" s="143" t="n">
        <v>45170</v>
      </c>
      <c r="B58" s="94" t="n">
        <v>2023</v>
      </c>
      <c r="C58" s="94" t="n">
        <v>9</v>
      </c>
      <c r="D58" s="94" t="inlineStr">
        <is>
          <t>2023-Q3</t>
        </is>
      </c>
      <c r="E58" s="186" t="n">
        <v>1848.4898</v>
      </c>
      <c r="F58" s="184">
        <f>(E58/E57)-1</f>
        <v/>
      </c>
    </row>
    <row r="59" ht="15" customHeight="1" s="95">
      <c r="A59" s="143" t="n">
        <v>45200</v>
      </c>
      <c r="B59" s="94" t="n">
        <v>2023</v>
      </c>
      <c r="C59" s="94" t="n">
        <v>10</v>
      </c>
      <c r="D59" s="94" t="inlineStr">
        <is>
          <t>2023-Q4</t>
        </is>
      </c>
      <c r="E59" s="186" t="n">
        <v>1984.0109</v>
      </c>
      <c r="F59" s="184">
        <f>(E59/E58)-1</f>
        <v/>
      </c>
    </row>
    <row r="60" ht="15" customHeight="1" s="95">
      <c r="A60" s="143" t="n">
        <v>45231</v>
      </c>
      <c r="B60" s="94" t="n">
        <v>2023</v>
      </c>
      <c r="C60" s="94" t="n">
        <v>11</v>
      </c>
      <c r="D60" s="94" t="inlineStr">
        <is>
          <t>2023-Q4</t>
        </is>
      </c>
      <c r="E60" s="186" t="n">
        <v>2044.8957</v>
      </c>
      <c r="F60" s="184">
        <f>(E60/E59)-1</f>
        <v/>
      </c>
    </row>
    <row r="61" ht="15" customHeight="1" s="95">
      <c r="A61" s="143" t="n">
        <v>45261</v>
      </c>
      <c r="B61" s="94" t="n">
        <v>2023</v>
      </c>
      <c r="C61" s="94" t="n">
        <v>12</v>
      </c>
      <c r="D61" s="94" t="inlineStr">
        <is>
          <t>2023-Q4</t>
        </is>
      </c>
      <c r="E61" s="186" t="n">
        <v>2062.9233</v>
      </c>
      <c r="F61" s="184">
        <f>(E61/E60)-1</f>
        <v/>
      </c>
    </row>
    <row r="62" ht="15" customHeight="1" s="95">
      <c r="A62" s="143" t="n">
        <v>45292</v>
      </c>
      <c r="B62" s="94" t="n">
        <v>2024</v>
      </c>
      <c r="C62" s="94" t="n">
        <v>1</v>
      </c>
      <c r="D62" s="94" t="inlineStr">
        <is>
          <t>2024-Q1</t>
        </is>
      </c>
      <c r="E62" s="186" t="n">
        <v>2039.1538</v>
      </c>
      <c r="F62" s="184">
        <f>(E62/E61)-1</f>
        <v/>
      </c>
    </row>
    <row r="63" ht="15" customHeight="1" s="95">
      <c r="A63" s="143" t="n">
        <v>45323</v>
      </c>
      <c r="B63" s="94" t="n">
        <v>2024</v>
      </c>
      <c r="C63" s="94" t="n">
        <v>2</v>
      </c>
      <c r="D63" s="94" t="inlineStr">
        <is>
          <t>2024-Q1</t>
        </is>
      </c>
      <c r="E63" s="186" t="n">
        <v>2044.1997</v>
      </c>
      <c r="F63" s="184">
        <f>(E63/E62)-1</f>
        <v/>
      </c>
    </row>
    <row r="64" ht="15" customHeight="1" s="95">
      <c r="A64" s="143" t="n">
        <v>45352</v>
      </c>
      <c r="B64" s="94" t="n">
        <v>2024</v>
      </c>
      <c r="C64" s="94" t="n">
        <v>3</v>
      </c>
      <c r="D64" s="94" t="inlineStr">
        <is>
          <t>2024-Q1</t>
        </is>
      </c>
      <c r="E64" s="186" t="n">
        <v>2231.5551</v>
      </c>
      <c r="F64" s="184">
        <f>(E64/E63)-1</f>
        <v/>
      </c>
    </row>
    <row r="65" ht="15" customHeight="1" s="95">
      <c r="A65" s="143" t="n">
        <v>45383</v>
      </c>
      <c r="B65" s="94" t="n">
        <v>2024</v>
      </c>
      <c r="C65" s="94" t="n">
        <v>4</v>
      </c>
      <c r="D65" s="94" t="inlineStr">
        <is>
          <t>2024-Q2</t>
        </is>
      </c>
      <c r="E65" s="186" t="n">
        <v>2285.9886</v>
      </c>
      <c r="F65" s="184">
        <f>(E65/E64)-1</f>
        <v/>
      </c>
    </row>
    <row r="66" ht="15" customHeight="1" s="95">
      <c r="A66" s="143" t="n">
        <v>45413</v>
      </c>
      <c r="B66" s="94" t="n">
        <v>2024</v>
      </c>
      <c r="C66" s="94" t="n">
        <v>5</v>
      </c>
      <c r="D66" s="94" t="inlineStr">
        <is>
          <t>2024-Q2</t>
        </is>
      </c>
      <c r="E66" s="186" t="n">
        <v>2327.2836</v>
      </c>
      <c r="F66" s="184">
        <f>(E66/E65)-1</f>
        <v/>
      </c>
    </row>
    <row r="67" ht="15" customHeight="1" s="95">
      <c r="A67" s="143" t="n">
        <v>45444</v>
      </c>
      <c r="B67" s="94" t="n">
        <v>2024</v>
      </c>
      <c r="C67" s="94" t="n">
        <v>6</v>
      </c>
      <c r="D67" s="94" t="inlineStr">
        <is>
          <t>2024-Q2</t>
        </is>
      </c>
      <c r="E67" s="186" t="n">
        <v>2326.7177</v>
      </c>
      <c r="F67" s="184">
        <f>(E67/E66)-1</f>
        <v/>
      </c>
    </row>
    <row r="68" ht="15" customHeight="1" s="95">
      <c r="A68" s="143" t="n">
        <v>45474</v>
      </c>
      <c r="B68" s="94" t="n">
        <v>2024</v>
      </c>
      <c r="C68" s="94" t="n">
        <v>7</v>
      </c>
      <c r="D68" s="94" t="inlineStr">
        <is>
          <t>2024-Q3</t>
        </is>
      </c>
      <c r="E68" s="186" t="n">
        <v>2409.6865</v>
      </c>
      <c r="F68" s="184">
        <f>(E68/E67)-1</f>
        <v/>
      </c>
    </row>
    <row r="69" ht="15" customHeight="1" s="95">
      <c r="A69" s="143" t="n">
        <v>45505</v>
      </c>
      <c r="B69" s="94" t="n">
        <v>2024</v>
      </c>
      <c r="C69" s="94" t="n">
        <v>8</v>
      </c>
      <c r="D69" s="94" t="inlineStr">
        <is>
          <t>2024-Q3</t>
        </is>
      </c>
      <c r="E69" s="186" t="n">
        <v>2503.3796</v>
      </c>
      <c r="F69" s="184">
        <f>(E69/E68)-1</f>
        <v/>
      </c>
    </row>
    <row r="70" ht="15" customHeight="1" s="95">
      <c r="A70" s="143" t="n">
        <v>45536</v>
      </c>
      <c r="B70" s="94" t="n">
        <v>2024</v>
      </c>
      <c r="C70" s="94" t="n">
        <v>9</v>
      </c>
      <c r="D70" s="94" t="inlineStr">
        <is>
          <t>2024-Q3</t>
        </is>
      </c>
      <c r="E70" s="186" t="n">
        <v>2664.4143</v>
      </c>
      <c r="F70" s="184">
        <f>(E70/E69)-1</f>
        <v/>
      </c>
    </row>
    <row r="71" ht="15" customHeight="1" s="95">
      <c r="A71" s="143" t="n">
        <v>45566</v>
      </c>
      <c r="B71" s="94" t="n">
        <v>2024</v>
      </c>
      <c r="C71" s="94" t="n">
        <v>10</v>
      </c>
      <c r="D71" s="94" t="inlineStr">
        <is>
          <t>2024-Q4</t>
        </is>
      </c>
      <c r="E71" s="186" t="n">
        <v>2746.7019</v>
      </c>
      <c r="F71" s="184">
        <f>(E71/E70)-1</f>
        <v/>
      </c>
    </row>
    <row r="72" ht="15" customHeight="1" s="95">
      <c r="A72" s="143" t="n">
        <v>45597</v>
      </c>
      <c r="B72" s="94" t="n">
        <v>2024</v>
      </c>
      <c r="C72" s="94" t="n">
        <v>11</v>
      </c>
      <c r="D72" s="94" t="inlineStr">
        <is>
          <t>2024-Q4</t>
        </is>
      </c>
      <c r="E72" s="186" t="n">
        <v>2651.247</v>
      </c>
      <c r="F72" s="184">
        <f>(E72/E71)-1</f>
        <v/>
      </c>
    </row>
    <row r="73" ht="15" customHeight="1" s="95">
      <c r="A73" s="143" t="n">
        <v>45627</v>
      </c>
      <c r="B73" s="94" t="n">
        <v>2024</v>
      </c>
      <c r="C73" s="94" t="n">
        <v>12</v>
      </c>
      <c r="D73" s="94" t="inlineStr">
        <is>
          <t>2024-Q4</t>
        </is>
      </c>
      <c r="E73" s="186" t="n">
        <v>2624.603</v>
      </c>
      <c r="F73" s="184">
        <f>(E73/E72)-1</f>
        <v/>
      </c>
    </row>
    <row r="74" ht="15" customHeight="1" s="95">
      <c r="A74" s="143" t="n">
        <v>45658</v>
      </c>
      <c r="B74" s="94" t="n">
        <v>2025</v>
      </c>
      <c r="C74" s="94" t="n">
        <v>1</v>
      </c>
      <c r="D74" s="94" t="inlineStr">
        <is>
          <t>2025-Q1</t>
        </is>
      </c>
      <c r="E74" s="186" t="n">
        <v>2798.1968</v>
      </c>
      <c r="F74" s="184">
        <f>(E74/E73)-1</f>
        <v/>
      </c>
    </row>
    <row r="75" ht="15" customHeight="1" s="95">
      <c r="A75" s="143" t="n">
        <v>45689</v>
      </c>
      <c r="B75" s="94" t="n">
        <v>2025</v>
      </c>
      <c r="C75" s="94" t="n">
        <v>2</v>
      </c>
      <c r="D75" s="94" t="inlineStr">
        <is>
          <t>2025-Q1</t>
        </is>
      </c>
      <c r="E75" s="186" t="n">
        <v>2876.208</v>
      </c>
      <c r="F75" s="184">
        <f>(E75/E74)-1</f>
        <v/>
      </c>
    </row>
    <row r="76" ht="15" customHeight="1" s="95">
      <c r="A76" s="143" t="n">
        <v>45717</v>
      </c>
      <c r="B76" s="94" t="n">
        <v>2025</v>
      </c>
      <c r="C76" s="94" t="n">
        <v>3</v>
      </c>
      <c r="D76" s="94" t="inlineStr">
        <is>
          <t>2025-Q1</t>
        </is>
      </c>
      <c r="E76" s="186" t="n">
        <v>3086.3435</v>
      </c>
      <c r="F76" s="184">
        <f>(E76/E75)-1</f>
        <v/>
      </c>
    </row>
    <row r="77" ht="15" customHeight="1" s="95">
      <c r="A77" s="143" t="n">
        <v>45748</v>
      </c>
      <c r="B77" s="94" t="n">
        <v>2025</v>
      </c>
      <c r="C77" s="94" t="n">
        <v>4</v>
      </c>
      <c r="D77" s="94" t="inlineStr">
        <is>
          <t>2025-Q2</t>
        </is>
      </c>
      <c r="E77" s="186" t="n">
        <v>3273.5046</v>
      </c>
      <c r="F77" s="184">
        <f>(E77/E76)-1</f>
        <v/>
      </c>
    </row>
    <row r="78" ht="15" customHeight="1" s="95">
      <c r="A78" s="143" t="n">
        <v>45778</v>
      </c>
      <c r="B78" s="94" t="n">
        <v>2025</v>
      </c>
      <c r="C78" s="94" t="n">
        <v>5</v>
      </c>
      <c r="D78" s="94" t="inlineStr">
        <is>
          <t>2025-Q2</t>
        </is>
      </c>
      <c r="E78" s="186" t="n">
        <v>3289.5548</v>
      </c>
      <c r="F78" s="184">
        <f>(E78/E77)-1</f>
        <v/>
      </c>
    </row>
    <row r="79" ht="15" customHeight="1" s="95">
      <c r="A79" s="143" t="n">
        <v>45809</v>
      </c>
      <c r="B79" s="94" t="n">
        <v>2025</v>
      </c>
      <c r="C79" s="94" t="n">
        <v>6</v>
      </c>
      <c r="D79" s="94" t="inlineStr">
        <is>
          <t>2025-Q2</t>
        </is>
      </c>
      <c r="E79" s="186" t="n">
        <v>3266.4101</v>
      </c>
      <c r="F79" s="184">
        <f>(E79/E78)-1</f>
        <v/>
      </c>
    </row>
    <row r="80" ht="15" customHeight="1" s="95">
      <c r="A80" s="143" t="n">
        <v>45839</v>
      </c>
      <c r="B80" s="94" t="n">
        <v>2025</v>
      </c>
      <c r="C80" s="94" t="n">
        <v>7</v>
      </c>
      <c r="D80" s="94" t="inlineStr">
        <is>
          <t>2025-Q3</t>
        </is>
      </c>
      <c r="E80" s="186" t="n">
        <v>3285.7772</v>
      </c>
      <c r="F80" s="184">
        <f>(E80/E79)-1</f>
        <v/>
      </c>
    </row>
    <row r="81" ht="15" customHeight="1" s="95">
      <c r="A81" s="143" t="n">
        <v>45870</v>
      </c>
      <c r="B81" s="94" t="n">
        <v>2025</v>
      </c>
      <c r="C81" s="94" t="n">
        <v>8</v>
      </c>
      <c r="D81" s="94" t="inlineStr">
        <is>
          <t>2025-Q3</t>
        </is>
      </c>
      <c r="E81" s="186" t="n">
        <v>3415.7672</v>
      </c>
      <c r="F81" s="184">
        <f>(E81/E80)-1</f>
        <v/>
      </c>
    </row>
    <row r="82" ht="15" customHeight="1" s="95">
      <c r="A82" s="143" t="n">
        <v>45901</v>
      </c>
      <c r="B82" s="94" t="n">
        <v>2025</v>
      </c>
      <c r="C82" s="94" t="n">
        <v>9</v>
      </c>
      <c r="D82" s="94" t="inlineStr">
        <is>
          <t>2025-Q3</t>
        </is>
      </c>
      <c r="E82" s="186" t="n">
        <v>3836.2342</v>
      </c>
      <c r="F82" s="184">
        <f>(E82/E81)-1</f>
        <v/>
      </c>
    </row>
    <row r="83" ht="15" customHeight="1" s="95">
      <c r="A83" s="143" t="n">
        <v>45931</v>
      </c>
      <c r="B83" s="94" t="n">
        <v>2025</v>
      </c>
      <c r="C83" s="94" t="n">
        <v>10</v>
      </c>
      <c r="D83" s="94" t="inlineStr">
        <is>
          <t>2025-Q4</t>
        </is>
      </c>
      <c r="E83" s="186" t="n">
        <v>4002.7699</v>
      </c>
      <c r="F83" s="184">
        <f>(E83/E82)-1</f>
        <v/>
      </c>
    </row>
    <row r="84" ht="15" customHeight="1" s="95">
      <c r="A84" s="143" t="n">
        <v>45962</v>
      </c>
      <c r="B84" s="94" t="n">
        <v>2025</v>
      </c>
      <c r="C84" s="94" t="n">
        <v>11</v>
      </c>
      <c r="D84" s="94" t="inlineStr">
        <is>
          <t>2025-Q4</t>
        </is>
      </c>
      <c r="E84" s="186" t="n">
        <v>4217.3637</v>
      </c>
      <c r="F84" s="184">
        <f>(E84/E83)-1</f>
        <v/>
      </c>
    </row>
    <row r="85" ht="15" customHeight="1" s="95">
      <c r="A85" s="143" t="n">
        <v>45992</v>
      </c>
      <c r="B85" s="94" t="n">
        <v>2025</v>
      </c>
      <c r="C85" s="94" t="n">
        <v>12</v>
      </c>
      <c r="D85" s="94" t="inlineStr">
        <is>
          <t>2025-Q4</t>
        </is>
      </c>
      <c r="E85" s="186" t="n">
        <v>4322.3617</v>
      </c>
      <c r="F85" s="184">
        <f>(E85/E84)-1</f>
        <v/>
      </c>
    </row>
    <row r="86" ht="15" customHeight="1" s="95">
      <c r="A86" s="143" t="n">
        <v>46023</v>
      </c>
      <c r="B86" s="94" t="n">
        <v>2026</v>
      </c>
      <c r="C86" s="94" t="n">
        <v>1</v>
      </c>
      <c r="D86" s="94" t="inlineStr">
        <is>
          <t>2026-Q1</t>
        </is>
      </c>
      <c r="E86" s="186" t="n">
        <v>4865.35</v>
      </c>
      <c r="F86" s="184">
        <f>(E86/E85)-1</f>
        <v/>
      </c>
    </row>
    <row r="87" ht="15" customHeight="1" s="95">
      <c r="A87" s="143" t="n">
        <v>46054</v>
      </c>
      <c r="B87" s="94" t="n">
        <v>2026</v>
      </c>
      <c r="C87" s="94" t="n">
        <v>2</v>
      </c>
      <c r="D87" s="94" t="inlineStr">
        <is>
          <t>2026-Q1</t>
        </is>
      </c>
      <c r="E87" s="186" t="n">
        <v>5277.89</v>
      </c>
      <c r="F87" s="184">
        <f>(E87/E86)-1</f>
        <v/>
      </c>
    </row>
    <row r="88" ht="15" customHeight="1" s="95">
      <c r="A88" s="143" t="n">
        <v>46082</v>
      </c>
      <c r="B88" s="94" t="n">
        <v>2026</v>
      </c>
      <c r="C88" s="94" t="n">
        <v>3</v>
      </c>
      <c r="D88" s="94" t="inlineStr">
        <is>
          <t>2026-Q1</t>
        </is>
      </c>
      <c r="E88" s="186" t="n">
        <v>4670.3486</v>
      </c>
      <c r="F88" s="184">
        <f>(E88/E87)-1</f>
        <v/>
      </c>
    </row>
    <row r="89" ht="15" customHeight="1" s="95">
      <c r="A89" s="143" t="n">
        <v>46113</v>
      </c>
      <c r="B89" s="94" t="n">
        <v>2026</v>
      </c>
      <c r="C89" s="94" t="n">
        <v>4</v>
      </c>
      <c r="D89" s="94" t="inlineStr">
        <is>
          <t>2026-Q2</t>
        </is>
      </c>
      <c r="E89" s="186" t="n">
        <v>4629.5648</v>
      </c>
      <c r="F89" s="184">
        <f>(E89/E88)-1</f>
        <v/>
      </c>
    </row>
    <row r="90" ht="15" customHeight="1" s="95">
      <c r="A90" s="143" t="n">
        <v>46143</v>
      </c>
      <c r="B90" s="94" t="n">
        <v>2026</v>
      </c>
      <c r="C90" s="94" t="n">
        <v>5</v>
      </c>
      <c r="D90" s="94" t="inlineStr">
        <is>
          <t>2026-Q2</t>
        </is>
      </c>
      <c r="E90" s="186" t="n">
        <v>4541.8773</v>
      </c>
      <c r="F90" s="184">
        <f>(E90/E89)-1</f>
        <v/>
      </c>
    </row>
    <row r="91" ht="15" customHeight="1" s="95">
      <c r="A91" s="143" t="n">
        <v>46174</v>
      </c>
      <c r="B91" s="94" t="n">
        <v>2026</v>
      </c>
      <c r="C91" s="94" t="n">
        <v>6</v>
      </c>
      <c r="D91" s="94" t="inlineStr">
        <is>
          <t>2026-Q2</t>
        </is>
      </c>
      <c r="E91" s="186" t="n">
        <v>4328.5022</v>
      </c>
      <c r="F91" s="184">
        <f>(E91/E90)-1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27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4" min="1" max="1"/>
    <col width="7" customWidth="1" style="94" min="2" max="2"/>
    <col width="9" customWidth="1" style="94" min="3" max="3"/>
    <col width="14" customWidth="1" style="94" min="4" max="4"/>
    <col width="18" customWidth="1" style="94" min="5" max="6"/>
  </cols>
  <sheetData>
    <row r="1" ht="15" customHeight="1" s="95">
      <c r="A1" s="187" t="inlineStr">
        <is>
          <t>Date</t>
        </is>
      </c>
      <c r="B1" s="187" t="inlineStr">
        <is>
          <t>Year</t>
        </is>
      </c>
      <c r="C1" s="187" t="inlineStr">
        <is>
          <t>Quarter</t>
        </is>
      </c>
      <c r="D1" s="187" t="inlineStr">
        <is>
          <t>BTC_Price_USD</t>
        </is>
      </c>
      <c r="E1" s="187" t="inlineStr">
        <is>
          <t>Market_Cap_USD</t>
        </is>
      </c>
      <c r="F1" s="187" t="inlineStr">
        <is>
          <t>Volume_USD</t>
        </is>
      </c>
    </row>
    <row r="2" ht="15" customHeight="1" s="95">
      <c r="A2" s="143" t="n">
        <v>43466</v>
      </c>
      <c r="B2" s="94" t="n">
        <v>2019</v>
      </c>
      <c r="C2" s="94" t="inlineStr">
        <is>
          <t>2019-Q1</t>
        </is>
      </c>
      <c r="D2" s="186" t="n">
        <v>3692.5315655247</v>
      </c>
      <c r="E2" s="188" t="n">
        <v>64422635599.729</v>
      </c>
      <c r="F2" s="188" t="n">
        <v>2991427568.30354</v>
      </c>
    </row>
    <row r="3" ht="15" customHeight="1" s="95">
      <c r="A3" s="143" t="n">
        <v>43467</v>
      </c>
      <c r="B3" s="94" t="n">
        <v>2019</v>
      </c>
      <c r="C3" s="94" t="inlineStr">
        <is>
          <t>2019-Q1</t>
        </is>
      </c>
      <c r="D3" s="186" t="n">
        <v>3794.26425373972</v>
      </c>
      <c r="E3" s="188" t="n">
        <v>66188448932.1401</v>
      </c>
      <c r="F3" s="188" t="n">
        <v>2689877851.31483</v>
      </c>
    </row>
    <row r="4" ht="15" customHeight="1" s="95">
      <c r="A4" s="143" t="n">
        <v>43468</v>
      </c>
      <c r="B4" s="94" t="n">
        <v>2019</v>
      </c>
      <c r="C4" s="94" t="inlineStr">
        <is>
          <t>2019-Q1</t>
        </is>
      </c>
      <c r="D4" s="186" t="n">
        <v>3872.17218422289</v>
      </c>
      <c r="E4" s="188" t="n">
        <v>67643304990.4744</v>
      </c>
      <c r="F4" s="188" t="n">
        <v>3263469039.32302</v>
      </c>
    </row>
    <row r="5" ht="15" customHeight="1" s="95">
      <c r="A5" s="143" t="n">
        <v>43469</v>
      </c>
      <c r="B5" s="94" t="n">
        <v>2019</v>
      </c>
      <c r="C5" s="94" t="inlineStr">
        <is>
          <t>2019-Q1</t>
        </is>
      </c>
      <c r="D5" s="186" t="n">
        <v>3776.52580769411</v>
      </c>
      <c r="E5" s="188" t="n">
        <v>65922288582.9217</v>
      </c>
      <c r="F5" s="188" t="n">
        <v>2261199754.98875</v>
      </c>
    </row>
    <row r="6" ht="15" customHeight="1" s="95">
      <c r="A6" s="143" t="n">
        <v>43470</v>
      </c>
      <c r="B6" s="94" t="n">
        <v>2019</v>
      </c>
      <c r="C6" s="94" t="inlineStr">
        <is>
          <t>2019-Q1</t>
        </is>
      </c>
      <c r="D6" s="186" t="n">
        <v>3815.26807988264</v>
      </c>
      <c r="E6" s="188" t="n">
        <v>66650769533.1298</v>
      </c>
      <c r="F6" s="188" t="n">
        <v>2950054796.07414</v>
      </c>
    </row>
    <row r="7" ht="15" customHeight="1" s="95">
      <c r="A7" s="143" t="n">
        <v>43471</v>
      </c>
      <c r="B7" s="94" t="n">
        <v>2019</v>
      </c>
      <c r="C7" s="94" t="inlineStr">
        <is>
          <t>2019-Q1</t>
        </is>
      </c>
      <c r="D7" s="186" t="n">
        <v>3787.30785712429</v>
      </c>
      <c r="E7" s="188" t="n">
        <v>66070973627.2555</v>
      </c>
      <c r="F7" s="188" t="n">
        <v>2763831883.88969</v>
      </c>
    </row>
    <row r="8" ht="15" customHeight="1" s="95">
      <c r="A8" s="143" t="n">
        <v>43472</v>
      </c>
      <c r="B8" s="94" t="n">
        <v>2019</v>
      </c>
      <c r="C8" s="94" t="inlineStr">
        <is>
          <t>2019-Q1</t>
        </is>
      </c>
      <c r="D8" s="186" t="n">
        <v>4013.52009129739</v>
      </c>
      <c r="E8" s="188" t="n">
        <v>70084169300.1521</v>
      </c>
      <c r="F8" s="188" t="n">
        <v>3435733235.50894</v>
      </c>
    </row>
    <row r="9" ht="15" customHeight="1" s="95">
      <c r="A9" s="143" t="n">
        <v>43473</v>
      </c>
      <c r="B9" s="94" t="n">
        <v>2019</v>
      </c>
      <c r="C9" s="94" t="inlineStr">
        <is>
          <t>2019-Q1</t>
        </is>
      </c>
      <c r="D9" s="186" t="n">
        <v>3989.66871753876</v>
      </c>
      <c r="E9" s="188" t="n">
        <v>69602133073.71899</v>
      </c>
      <c r="F9" s="188" t="n">
        <v>3360163853.39721</v>
      </c>
    </row>
    <row r="10" ht="15" customHeight="1" s="95">
      <c r="A10" s="143" t="n">
        <v>43474</v>
      </c>
      <c r="B10" s="94" t="n">
        <v>2019</v>
      </c>
      <c r="C10" s="94" t="inlineStr">
        <is>
          <t>2019-Q1</t>
        </is>
      </c>
      <c r="D10" s="186" t="n">
        <v>3973.59125461579</v>
      </c>
      <c r="E10" s="188" t="n">
        <v>69418693910.4547</v>
      </c>
      <c r="F10" s="188" t="n">
        <v>3482430797.63279</v>
      </c>
    </row>
    <row r="11" ht="15" customHeight="1" s="95">
      <c r="A11" s="143" t="n">
        <v>43475</v>
      </c>
      <c r="B11" s="94" t="n">
        <v>2019</v>
      </c>
      <c r="C11" s="94" t="inlineStr">
        <is>
          <t>2019-Q1</t>
        </is>
      </c>
      <c r="D11" s="186" t="n">
        <v>3982.22591276241</v>
      </c>
      <c r="E11" s="188" t="n">
        <v>69609283899.2</v>
      </c>
      <c r="F11" s="188" t="n">
        <v>3230523440.81305</v>
      </c>
    </row>
    <row r="12" ht="15" customHeight="1" s="95">
      <c r="A12" s="143" t="n">
        <v>43476</v>
      </c>
      <c r="B12" s="94" t="n">
        <v>2019</v>
      </c>
      <c r="C12" s="94" t="inlineStr">
        <is>
          <t>2019-Q1</t>
        </is>
      </c>
      <c r="D12" s="186" t="n">
        <v>3623.84772910568</v>
      </c>
      <c r="E12" s="188" t="n">
        <v>63326376681.3489</v>
      </c>
      <c r="F12" s="188" t="n">
        <v>4144535969.9925</v>
      </c>
    </row>
    <row r="13" ht="15" customHeight="1" s="95">
      <c r="A13" s="143" t="n">
        <v>43477</v>
      </c>
      <c r="B13" s="94" t="n">
        <v>2019</v>
      </c>
      <c r="C13" s="94" t="inlineStr">
        <is>
          <t>2019-Q1</t>
        </is>
      </c>
      <c r="D13" s="186" t="n">
        <v>3632.84930643478</v>
      </c>
      <c r="E13" s="188" t="n">
        <v>63121578243.9488</v>
      </c>
      <c r="F13" s="188" t="n">
        <v>3263342032.79421</v>
      </c>
    </row>
    <row r="14" ht="15" customHeight="1" s="95">
      <c r="A14" s="143" t="n">
        <v>43478</v>
      </c>
      <c r="B14" s="94" t="n">
        <v>2019</v>
      </c>
      <c r="C14" s="94" t="inlineStr">
        <is>
          <t>2019-Q1</t>
        </is>
      </c>
      <c r="D14" s="186" t="n">
        <v>3598.43634656188</v>
      </c>
      <c r="E14" s="188" t="n">
        <v>62924488425.9955</v>
      </c>
      <c r="F14" s="188" t="n">
        <v>2456062889.7924</v>
      </c>
    </row>
    <row r="15" ht="15" customHeight="1" s="95">
      <c r="A15" s="143" t="n">
        <v>43479</v>
      </c>
      <c r="B15" s="94" t="n">
        <v>2019</v>
      </c>
      <c r="C15" s="94" t="inlineStr">
        <is>
          <t>2019-Q1</t>
        </is>
      </c>
      <c r="D15" s="186" t="n">
        <v>3495.83231130744</v>
      </c>
      <c r="E15" s="188" t="n">
        <v>61050348901.5798</v>
      </c>
      <c r="F15" s="188" t="n">
        <v>2675674829.81887</v>
      </c>
    </row>
    <row r="16" ht="15" customHeight="1" s="95">
      <c r="A16" s="143" t="n">
        <v>43480</v>
      </c>
      <c r="B16" s="94" t="n">
        <v>2019</v>
      </c>
      <c r="C16" s="94" t="inlineStr">
        <is>
          <t>2019-Q1</t>
        </is>
      </c>
      <c r="D16" s="186" t="n">
        <v>3648.04828565649</v>
      </c>
      <c r="E16" s="188" t="n">
        <v>63758350560.6325</v>
      </c>
      <c r="F16" s="188" t="n">
        <v>3101461657.54705</v>
      </c>
    </row>
    <row r="17" ht="15" customHeight="1" s="95">
      <c r="A17" s="143" t="n">
        <v>43481</v>
      </c>
      <c r="B17" s="94" t="n">
        <v>2019</v>
      </c>
      <c r="C17" s="94" t="inlineStr">
        <is>
          <t>2019-Q1</t>
        </is>
      </c>
      <c r="D17" s="186" t="n">
        <v>3567.80124319921</v>
      </c>
      <c r="E17" s="188" t="n">
        <v>62348810149.4981</v>
      </c>
      <c r="F17" s="188" t="n">
        <v>2953789408.22704</v>
      </c>
    </row>
    <row r="18" ht="15" customHeight="1" s="95">
      <c r="A18" s="143" t="n">
        <v>43482</v>
      </c>
      <c r="B18" s="94" t="n">
        <v>2019</v>
      </c>
      <c r="C18" s="94" t="inlineStr">
        <is>
          <t>2019-Q1</t>
        </is>
      </c>
      <c r="D18" s="186" t="n">
        <v>3597.64732332959</v>
      </c>
      <c r="E18" s="188" t="n">
        <v>62969304894.2795</v>
      </c>
      <c r="F18" s="188" t="n">
        <v>2753646523.92882</v>
      </c>
    </row>
    <row r="19" ht="15" customHeight="1" s="95">
      <c r="A19" s="143" t="n">
        <v>43483</v>
      </c>
      <c r="B19" s="94" t="n">
        <v>2019</v>
      </c>
      <c r="C19" s="94" t="inlineStr">
        <is>
          <t>2019-Q1</t>
        </is>
      </c>
      <c r="D19" s="186" t="n">
        <v>3620.98128114573</v>
      </c>
      <c r="E19" s="188" t="n">
        <v>63320099663.3953</v>
      </c>
      <c r="F19" s="188" t="n">
        <v>3049367561.09573</v>
      </c>
    </row>
    <row r="20" ht="15" customHeight="1" s="95">
      <c r="A20" s="143" t="n">
        <v>43484</v>
      </c>
      <c r="B20" s="94" t="n">
        <v>2019</v>
      </c>
      <c r="C20" s="94" t="inlineStr">
        <is>
          <t>2019-Q1</t>
        </is>
      </c>
      <c r="D20" s="186" t="n">
        <v>3597.79325177015</v>
      </c>
      <c r="E20" s="188" t="n">
        <v>62898826371.8557</v>
      </c>
      <c r="F20" s="188" t="n">
        <v>2649449860.36689</v>
      </c>
    </row>
    <row r="21" ht="15" customHeight="1" s="95">
      <c r="A21" s="143" t="n">
        <v>43485</v>
      </c>
      <c r="B21" s="94" t="n">
        <v>2019</v>
      </c>
      <c r="C21" s="94" t="inlineStr">
        <is>
          <t>2019-Q1</t>
        </is>
      </c>
      <c r="D21" s="186" t="n">
        <v>3674.5872708573</v>
      </c>
      <c r="E21" s="188" t="n">
        <v>64269861567.8863</v>
      </c>
      <c r="F21" s="188" t="n">
        <v>2766880413.28362</v>
      </c>
    </row>
    <row r="22" ht="15" customHeight="1" s="95">
      <c r="A22" s="143" t="n">
        <v>43486</v>
      </c>
      <c r="B22" s="94" t="n">
        <v>2019</v>
      </c>
      <c r="C22" s="94" t="inlineStr">
        <is>
          <t>2019-Q1</t>
        </is>
      </c>
      <c r="D22" s="186" t="n">
        <v>3539.16753104103</v>
      </c>
      <c r="E22" s="188" t="n">
        <v>61969431896.7198</v>
      </c>
      <c r="F22" s="188" t="n">
        <v>2940644468.97558</v>
      </c>
    </row>
    <row r="23" ht="15" customHeight="1" s="95">
      <c r="A23" s="143" t="n">
        <v>43487</v>
      </c>
      <c r="B23" s="94" t="n">
        <v>2019</v>
      </c>
      <c r="C23" s="94" t="inlineStr">
        <is>
          <t>2019-Q1</t>
        </is>
      </c>
      <c r="D23" s="186" t="n">
        <v>3531.00418279993</v>
      </c>
      <c r="E23" s="188" t="n">
        <v>61784404483.0462</v>
      </c>
      <c r="F23" s="188" t="n">
        <v>2561594564.57385</v>
      </c>
    </row>
    <row r="24" ht="15" customHeight="1" s="95">
      <c r="A24" s="143" t="n">
        <v>43488</v>
      </c>
      <c r="B24" s="94" t="n">
        <v>2019</v>
      </c>
      <c r="C24" s="94" t="inlineStr">
        <is>
          <t>2019-Q1</t>
        </is>
      </c>
      <c r="D24" s="186" t="n">
        <v>3571.26690809287</v>
      </c>
      <c r="E24" s="188" t="n">
        <v>62482350133.9566</v>
      </c>
      <c r="F24" s="188" t="n">
        <v>2718371971.90301</v>
      </c>
    </row>
    <row r="25" ht="15" customHeight="1" s="95">
      <c r="A25" s="143" t="n">
        <v>43489</v>
      </c>
      <c r="B25" s="94" t="n">
        <v>2019</v>
      </c>
      <c r="C25" s="94" t="inlineStr">
        <is>
          <t>2019-Q1</t>
        </is>
      </c>
      <c r="D25" s="186" t="n">
        <v>3555.70000252262</v>
      </c>
      <c r="E25" s="188" t="n">
        <v>62216525710.0401</v>
      </c>
      <c r="F25" s="188" t="n">
        <v>2663764215.29833</v>
      </c>
    </row>
    <row r="26" ht="15" customHeight="1" s="95">
      <c r="A26" s="143" t="n">
        <v>43490</v>
      </c>
      <c r="B26" s="94" t="n">
        <v>2019</v>
      </c>
      <c r="C26" s="94" t="inlineStr">
        <is>
          <t>2019-Q1</t>
        </is>
      </c>
      <c r="D26" s="186" t="n">
        <v>3565.64200461704</v>
      </c>
      <c r="E26" s="188" t="n">
        <v>62397665388.1968</v>
      </c>
      <c r="F26" s="188" t="n">
        <v>2514079887.67216</v>
      </c>
    </row>
    <row r="27" ht="15" customHeight="1" s="95">
      <c r="A27" s="143" t="n">
        <v>43491</v>
      </c>
      <c r="B27" s="94" t="n">
        <v>2019</v>
      </c>
      <c r="C27" s="94" t="inlineStr">
        <is>
          <t>2019-Q1</t>
        </is>
      </c>
      <c r="D27" s="186" t="n">
        <v>3564.82241711142</v>
      </c>
      <c r="E27" s="188" t="n">
        <v>62386316357.4736</v>
      </c>
      <c r="F27" s="188" t="n">
        <v>2582590473.40722</v>
      </c>
    </row>
    <row r="28" ht="15" customHeight="1" s="95">
      <c r="A28" s="143" t="n">
        <v>43492</v>
      </c>
      <c r="B28" s="94" t="n">
        <v>2019</v>
      </c>
      <c r="C28" s="94" t="inlineStr">
        <is>
          <t>2019-Q1</t>
        </is>
      </c>
      <c r="D28" s="186" t="n">
        <v>3563.61456341914</v>
      </c>
      <c r="E28" s="188" t="n">
        <v>62374968460.905</v>
      </c>
      <c r="F28" s="188" t="n">
        <v>2548165746.0899</v>
      </c>
    </row>
    <row r="29" ht="15" customHeight="1" s="95">
      <c r="A29" s="143" t="n">
        <v>43493</v>
      </c>
      <c r="B29" s="94" t="n">
        <v>2019</v>
      </c>
      <c r="C29" s="94" t="inlineStr">
        <is>
          <t>2019-Q1</t>
        </is>
      </c>
      <c r="D29" s="186" t="n">
        <v>3553.12168112978</v>
      </c>
      <c r="E29" s="188" t="n">
        <v>62192208387.693</v>
      </c>
      <c r="F29" s="188" t="n">
        <v>2882787006.77355</v>
      </c>
    </row>
    <row r="30" ht="15" customHeight="1" s="95">
      <c r="A30" s="143" t="n">
        <v>43494</v>
      </c>
      <c r="B30" s="94" t="n">
        <v>2019</v>
      </c>
      <c r="C30" s="94" t="inlineStr">
        <is>
          <t>2019-Q1</t>
        </is>
      </c>
      <c r="D30" s="186" t="n">
        <v>3432.21566830125</v>
      </c>
      <c r="E30" s="188" t="n">
        <v>60087154448.4043</v>
      </c>
      <c r="F30" s="188" t="n">
        <v>3445780457.59972</v>
      </c>
    </row>
    <row r="31" ht="15" customHeight="1" s="95">
      <c r="A31" s="143" t="n">
        <v>43495</v>
      </c>
      <c r="B31" s="94" t="n">
        <v>2019</v>
      </c>
      <c r="C31" s="94" t="inlineStr">
        <is>
          <t>2019-Q1</t>
        </is>
      </c>
      <c r="D31" s="186" t="n">
        <v>3413.3754832498</v>
      </c>
      <c r="E31" s="188" t="n">
        <v>59768195291.0008</v>
      </c>
      <c r="F31" s="188" t="n">
        <v>4865613085.11272</v>
      </c>
    </row>
    <row r="32" ht="15" customHeight="1" s="95">
      <c r="A32" s="143" t="n">
        <v>43496</v>
      </c>
      <c r="B32" s="94" t="n">
        <v>2019</v>
      </c>
      <c r="C32" s="94" t="inlineStr">
        <is>
          <t>2019-Q1</t>
        </is>
      </c>
      <c r="D32" s="186" t="n">
        <v>3457.88264917599</v>
      </c>
      <c r="E32" s="188" t="n">
        <v>60555372963.791</v>
      </c>
      <c r="F32" s="188" t="n">
        <v>4973814467.1069</v>
      </c>
    </row>
    <row r="33" ht="15" customHeight="1" s="95">
      <c r="A33" s="143" t="n">
        <v>43497</v>
      </c>
      <c r="B33" s="94" t="n">
        <v>2019</v>
      </c>
      <c r="C33" s="94" t="inlineStr">
        <is>
          <t>2019-Q1</t>
        </is>
      </c>
      <c r="D33" s="186" t="n">
        <v>3431.94363786446</v>
      </c>
      <c r="E33" s="188" t="n">
        <v>60101226569.3737</v>
      </c>
      <c r="F33" s="188" t="n">
        <v>4330022381.19644</v>
      </c>
    </row>
    <row r="34" ht="15" customHeight="1" s="95">
      <c r="A34" s="143" t="n">
        <v>43498</v>
      </c>
      <c r="B34" s="94" t="n">
        <v>2019</v>
      </c>
      <c r="C34" s="94" t="inlineStr">
        <is>
          <t>2019-Q1</t>
        </is>
      </c>
      <c r="D34" s="186" t="n">
        <v>3464.49014756215</v>
      </c>
      <c r="E34" s="188" t="n">
        <v>60678990333.1717</v>
      </c>
      <c r="F34" s="188" t="n">
        <v>3765731026.21538</v>
      </c>
    </row>
    <row r="35" ht="15" customHeight="1" s="95">
      <c r="A35" s="143" t="n">
        <v>43499</v>
      </c>
      <c r="B35" s="94" t="n">
        <v>2019</v>
      </c>
      <c r="C35" s="94" t="inlineStr">
        <is>
          <t>2019-Q1</t>
        </is>
      </c>
      <c r="D35" s="186" t="n">
        <v>3486.58161625803</v>
      </c>
      <c r="E35" s="188" t="n">
        <v>61071179758.4358</v>
      </c>
      <c r="F35" s="188" t="n">
        <v>3310421843.82123</v>
      </c>
    </row>
    <row r="36" ht="15" customHeight="1" s="95">
      <c r="A36" s="143" t="n">
        <v>43500</v>
      </c>
      <c r="B36" s="94" t="n">
        <v>2019</v>
      </c>
      <c r="C36" s="94" t="inlineStr">
        <is>
          <t>2019-Q1</t>
        </is>
      </c>
      <c r="D36" s="186" t="n">
        <v>3454.02584382519</v>
      </c>
      <c r="E36" s="188" t="n">
        <v>60524138032.474</v>
      </c>
      <c r="F36" s="188" t="n">
        <v>2375918195.08208</v>
      </c>
    </row>
    <row r="37" ht="15" customHeight="1" s="95">
      <c r="A37" s="143" t="n">
        <v>43501</v>
      </c>
      <c r="B37" s="94" t="n">
        <v>2019</v>
      </c>
      <c r="C37" s="94" t="inlineStr">
        <is>
          <t>2019-Q1</t>
        </is>
      </c>
      <c r="D37" s="186" t="n">
        <v>3464.00350886109</v>
      </c>
      <c r="E37" s="188" t="n">
        <v>60723961265.7836</v>
      </c>
      <c r="F37" s="188" t="n">
        <v>4454914648.71507</v>
      </c>
    </row>
    <row r="38" ht="15" customHeight="1" s="95">
      <c r="A38" s="143" t="n">
        <v>43502</v>
      </c>
      <c r="B38" s="94" t="n">
        <v>2019</v>
      </c>
      <c r="C38" s="94" t="inlineStr">
        <is>
          <t>2019-Q1</t>
        </is>
      </c>
      <c r="D38" s="186" t="n">
        <v>3469.89467707926</v>
      </c>
      <c r="E38" s="188" t="n">
        <v>60825168548.915</v>
      </c>
      <c r="F38" s="188" t="n">
        <v>3653777871.71932</v>
      </c>
    </row>
    <row r="39" ht="15" customHeight="1" s="95">
      <c r="A39" s="143" t="n">
        <v>43503</v>
      </c>
      <c r="B39" s="94" t="n">
        <v>2019</v>
      </c>
      <c r="C39" s="94" t="inlineStr">
        <is>
          <t>2019-Q1</t>
        </is>
      </c>
      <c r="D39" s="186" t="n">
        <v>3405.83686125672</v>
      </c>
      <c r="E39" s="188" t="n">
        <v>59682137962.3529</v>
      </c>
      <c r="F39" s="188" t="n">
        <v>4211212356.01406</v>
      </c>
    </row>
    <row r="40" ht="15" customHeight="1" s="95">
      <c r="A40" s="143" t="n">
        <v>43504</v>
      </c>
      <c r="B40" s="94" t="n">
        <v>2019</v>
      </c>
      <c r="C40" s="94" t="inlineStr">
        <is>
          <t>2019-Q1</t>
        </is>
      </c>
      <c r="D40" s="186" t="n">
        <v>3394.01465295872</v>
      </c>
      <c r="E40" s="188" t="n">
        <v>59482397752.9924</v>
      </c>
      <c r="F40" s="188" t="n">
        <v>3297274818.37092</v>
      </c>
    </row>
    <row r="41" ht="15" customHeight="1" s="95">
      <c r="A41" s="143" t="n">
        <v>43505</v>
      </c>
      <c r="B41" s="94" t="n">
        <v>2019</v>
      </c>
      <c r="C41" s="94" t="inlineStr">
        <is>
          <t>2019-Q1</t>
        </is>
      </c>
      <c r="D41" s="186" t="n">
        <v>3664.28210265898</v>
      </c>
      <c r="E41" s="188" t="n">
        <v>64226481382.1611</v>
      </c>
      <c r="F41" s="188" t="n">
        <v>6293135761.36397</v>
      </c>
    </row>
    <row r="42" ht="15" customHeight="1" s="95">
      <c r="A42" s="143" t="n">
        <v>43506</v>
      </c>
      <c r="B42" s="94" t="n">
        <v>2019</v>
      </c>
      <c r="C42" s="94" t="inlineStr">
        <is>
          <t>2019-Q1</t>
        </is>
      </c>
      <c r="D42" s="186" t="n">
        <v>3667.40826428996</v>
      </c>
      <c r="E42" s="188" t="n">
        <v>64286029202.0537</v>
      </c>
      <c r="F42" s="188" t="n">
        <v>4883557856.51126</v>
      </c>
    </row>
    <row r="43" ht="15" customHeight="1" s="95">
      <c r="A43" s="143" t="n">
        <v>43507</v>
      </c>
      <c r="B43" s="94" t="n">
        <v>2019</v>
      </c>
      <c r="C43" s="94" t="inlineStr">
        <is>
          <t>2019-Q1</t>
        </is>
      </c>
      <c r="D43" s="186" t="n">
        <v>3675.69162912473</v>
      </c>
      <c r="E43" s="188" t="n">
        <v>64439836442.2558</v>
      </c>
      <c r="F43" s="188" t="n">
        <v>5081021129.88581</v>
      </c>
    </row>
    <row r="44" ht="15" customHeight="1" s="95">
      <c r="A44" s="143" t="n">
        <v>43508</v>
      </c>
      <c r="B44" s="94" t="n">
        <v>2019</v>
      </c>
      <c r="C44" s="94" t="inlineStr">
        <is>
          <t>2019-Q1</t>
        </is>
      </c>
      <c r="D44" s="186" t="n">
        <v>3631.44453972995</v>
      </c>
      <c r="E44" s="188" t="n">
        <v>63670312531.2995</v>
      </c>
      <c r="F44" s="188" t="n">
        <v>5446022475.78207</v>
      </c>
    </row>
    <row r="45" ht="15" customHeight="1" s="95">
      <c r="A45" s="143" t="n">
        <v>43509</v>
      </c>
      <c r="B45" s="94" t="n">
        <v>2019</v>
      </c>
      <c r="C45" s="94" t="inlineStr">
        <is>
          <t>2019-Q1</t>
        </is>
      </c>
      <c r="D45" s="186" t="n">
        <v>3633.96504674612</v>
      </c>
      <c r="E45" s="188" t="n">
        <v>63712841387.2764</v>
      </c>
      <c r="F45" s="188" t="n">
        <v>5532706261.95228</v>
      </c>
    </row>
    <row r="46" ht="15" customHeight="1" s="95">
      <c r="A46" s="143" t="n">
        <v>43510</v>
      </c>
      <c r="B46" s="94" t="n">
        <v>2019</v>
      </c>
      <c r="C46" s="94" t="inlineStr">
        <is>
          <t>2019-Q1</t>
        </is>
      </c>
      <c r="D46" s="186" t="n">
        <v>3610.0622730634</v>
      </c>
      <c r="E46" s="188" t="n">
        <v>63267872020.6566</v>
      </c>
      <c r="F46" s="188" t="n">
        <v>5635612273.28862</v>
      </c>
    </row>
    <row r="47" ht="15" customHeight="1" s="95">
      <c r="A47" s="143" t="n">
        <v>43511</v>
      </c>
      <c r="B47" s="94" t="n">
        <v>2019</v>
      </c>
      <c r="C47" s="94" t="inlineStr">
        <is>
          <t>2019-Q1</t>
        </is>
      </c>
      <c r="D47" s="186" t="n">
        <v>3589.66182962632</v>
      </c>
      <c r="E47" s="188" t="n">
        <v>62991824523.8991</v>
      </c>
      <c r="F47" s="188" t="n">
        <v>11971659893.3452</v>
      </c>
    </row>
    <row r="48" ht="15" customHeight="1" s="95">
      <c r="A48" s="143" t="n">
        <v>43512</v>
      </c>
      <c r="B48" s="94" t="n">
        <v>2019</v>
      </c>
      <c r="C48" s="94" t="inlineStr">
        <is>
          <t>2019-Q1</t>
        </is>
      </c>
      <c r="D48" s="186" t="n">
        <v>3601.22919139686</v>
      </c>
      <c r="E48" s="188" t="n">
        <v>63165603231.8513</v>
      </c>
      <c r="F48" s="188" t="n">
        <v>4506367416.96692</v>
      </c>
    </row>
    <row r="49" ht="15" customHeight="1" s="95">
      <c r="A49" s="143" t="n">
        <v>43513</v>
      </c>
      <c r="B49" s="94" t="n">
        <v>2019</v>
      </c>
      <c r="C49" s="94" t="inlineStr">
        <is>
          <t>2019-Q1</t>
        </is>
      </c>
      <c r="D49" s="186" t="n">
        <v>3622.59165307507</v>
      </c>
      <c r="E49" s="188" t="n">
        <v>63547140519.0776</v>
      </c>
      <c r="F49" s="188" t="n">
        <v>4019925054.64321</v>
      </c>
    </row>
    <row r="50" ht="15" customHeight="1" s="95">
      <c r="A50" s="143" t="n">
        <v>43514</v>
      </c>
      <c r="B50" s="94" t="n">
        <v>2019</v>
      </c>
      <c r="C50" s="94" t="inlineStr">
        <is>
          <t>2019-Q1</t>
        </is>
      </c>
      <c r="D50" s="186" t="n">
        <v>3665.07553080072</v>
      </c>
      <c r="E50" s="188" t="n">
        <v>64383522064.4014</v>
      </c>
      <c r="F50" s="188" t="n">
        <v>4945386865.28753</v>
      </c>
    </row>
    <row r="51" ht="15" customHeight="1" s="95">
      <c r="A51" s="143" t="n">
        <v>43515</v>
      </c>
      <c r="B51" s="94" t="n">
        <v>2019</v>
      </c>
      <c r="C51" s="94" t="inlineStr">
        <is>
          <t>2019-Q1</t>
        </is>
      </c>
      <c r="D51" s="186" t="n">
        <v>3886.52020047514</v>
      </c>
      <c r="E51" s="188" t="n">
        <v>68147457622.5221</v>
      </c>
      <c r="F51" s="188" t="n">
        <v>9588927258.746941</v>
      </c>
    </row>
    <row r="52" ht="15" customHeight="1" s="95">
      <c r="A52" s="143" t="n">
        <v>43516</v>
      </c>
      <c r="B52" s="94" t="n">
        <v>2019</v>
      </c>
      <c r="C52" s="94" t="inlineStr">
        <is>
          <t>2019-Q1</t>
        </is>
      </c>
      <c r="D52" s="186" t="n">
        <v>3915.00997127706</v>
      </c>
      <c r="E52" s="188" t="n">
        <v>68719418872.044</v>
      </c>
      <c r="F52" s="188" t="n">
        <v>5969708630.05674</v>
      </c>
    </row>
    <row r="53" ht="15" customHeight="1" s="95">
      <c r="A53" s="143" t="n">
        <v>43517</v>
      </c>
      <c r="B53" s="94" t="n">
        <v>2019</v>
      </c>
      <c r="C53" s="94" t="inlineStr">
        <is>
          <t>2019-Q1</t>
        </is>
      </c>
      <c r="D53" s="186" t="n">
        <v>3976.80890652899</v>
      </c>
      <c r="E53" s="188" t="n">
        <v>69790459105.5014</v>
      </c>
      <c r="F53" s="188" t="n">
        <v>6377580055.12539</v>
      </c>
    </row>
    <row r="54" ht="15" customHeight="1" s="95">
      <c r="A54" s="143" t="n">
        <v>43518</v>
      </c>
      <c r="B54" s="94" t="n">
        <v>2019</v>
      </c>
      <c r="C54" s="94" t="inlineStr">
        <is>
          <t>2019-Q1</t>
        </is>
      </c>
      <c r="D54" s="186" t="n">
        <v>3934.81359389482</v>
      </c>
      <c r="E54" s="188" t="n">
        <v>69059468752.5118</v>
      </c>
      <c r="F54" s="188" t="n">
        <v>6838246918.22834</v>
      </c>
    </row>
    <row r="55" ht="15" customHeight="1" s="95">
      <c r="A55" s="143" t="n">
        <v>43519</v>
      </c>
      <c r="B55" s="94" t="n">
        <v>2019</v>
      </c>
      <c r="C55" s="94" t="inlineStr">
        <is>
          <t>2019-Q1</t>
        </is>
      </c>
      <c r="D55" s="186" t="n">
        <v>3973.64132277464</v>
      </c>
      <c r="E55" s="188" t="n">
        <v>69748877117.1937</v>
      </c>
      <c r="F55" s="188" t="n">
        <v>5999302845.79791</v>
      </c>
    </row>
    <row r="56" ht="15" customHeight="1" s="95">
      <c r="A56" s="143" t="n">
        <v>43520</v>
      </c>
      <c r="B56" s="94" t="n">
        <v>2019</v>
      </c>
      <c r="C56" s="94" t="inlineStr">
        <is>
          <t>2019-Q1</t>
        </is>
      </c>
      <c r="D56" s="186" t="n">
        <v>4115.33792678766</v>
      </c>
      <c r="E56" s="188" t="n">
        <v>72266544791.73579</v>
      </c>
      <c r="F56" s="188" t="n">
        <v>8493566414.70725</v>
      </c>
    </row>
    <row r="57" ht="15" customHeight="1" s="95">
      <c r="A57" s="143" t="n">
        <v>43521</v>
      </c>
      <c r="B57" s="94" t="n">
        <v>2019</v>
      </c>
      <c r="C57" s="94" t="inlineStr">
        <is>
          <t>2019-Q1</t>
        </is>
      </c>
      <c r="D57" s="186" t="n">
        <v>3742.86894670039</v>
      </c>
      <c r="E57" s="188" t="n">
        <v>66108588220.3957</v>
      </c>
      <c r="F57" s="188" t="n">
        <v>11112465191.1377</v>
      </c>
    </row>
    <row r="58" ht="15" customHeight="1" s="95">
      <c r="A58" s="143" t="n">
        <v>43522</v>
      </c>
      <c r="B58" s="94" t="n">
        <v>2019</v>
      </c>
      <c r="C58" s="94" t="inlineStr">
        <is>
          <t>2019-Q1</t>
        </is>
      </c>
      <c r="D58" s="186" t="n">
        <v>3824.6835042171</v>
      </c>
      <c r="E58" s="188" t="n">
        <v>67154603799.9468</v>
      </c>
      <c r="F58" s="188" t="n">
        <v>9049456993.516649</v>
      </c>
    </row>
    <row r="59" ht="15" customHeight="1" s="95">
      <c r="A59" s="143" t="n">
        <v>43523</v>
      </c>
      <c r="B59" s="94" t="n">
        <v>2019</v>
      </c>
      <c r="C59" s="94" t="inlineStr">
        <is>
          <t>2019-Q1</t>
        </is>
      </c>
      <c r="D59" s="186" t="n">
        <v>3809.20977468202</v>
      </c>
      <c r="E59" s="188" t="n">
        <v>66890485485.3713</v>
      </c>
      <c r="F59" s="188" t="n">
        <v>2992667601.16476</v>
      </c>
    </row>
    <row r="60" ht="15" customHeight="1" s="95">
      <c r="A60" s="143" t="n">
        <v>43524</v>
      </c>
      <c r="B60" s="94" t="n">
        <v>2019</v>
      </c>
      <c r="C60" s="94" t="inlineStr">
        <is>
          <t>2019-Q1</t>
        </is>
      </c>
      <c r="D60" s="186" t="n">
        <v>3813.37789188129</v>
      </c>
      <c r="E60" s="188" t="n">
        <v>67155912259.1891</v>
      </c>
      <c r="F60" s="188" t="n">
        <v>7731184275.97685</v>
      </c>
    </row>
    <row r="61" ht="15" customHeight="1" s="95">
      <c r="A61" s="143" t="n">
        <v>43525</v>
      </c>
      <c r="B61" s="94" t="n">
        <v>2019</v>
      </c>
      <c r="C61" s="94" t="inlineStr">
        <is>
          <t>2019-Q1</t>
        </is>
      </c>
      <c r="D61" s="186" t="n">
        <v>3815.60760752498</v>
      </c>
      <c r="E61" s="188" t="n">
        <v>67016664287.2375</v>
      </c>
      <c r="F61" s="188" t="n">
        <v>7627783000.60883</v>
      </c>
    </row>
    <row r="62" ht="15" customHeight="1" s="95">
      <c r="A62" s="143" t="n">
        <v>43526</v>
      </c>
      <c r="B62" s="94" t="n">
        <v>2019</v>
      </c>
      <c r="C62" s="94" t="inlineStr">
        <is>
          <t>2019-Q1</t>
        </is>
      </c>
      <c r="D62" s="186" t="n">
        <v>3815.75393992276</v>
      </c>
      <c r="E62" s="188" t="n">
        <v>67085713233.7828</v>
      </c>
      <c r="F62" s="188" t="n">
        <v>5524886886.07484</v>
      </c>
    </row>
    <row r="63" ht="15" customHeight="1" s="95">
      <c r="A63" s="143" t="n">
        <v>43527</v>
      </c>
      <c r="B63" s="94" t="n">
        <v>2019</v>
      </c>
      <c r="C63" s="94" t="inlineStr">
        <is>
          <t>2019-Q1</t>
        </is>
      </c>
      <c r="D63" s="186" t="n">
        <v>3819.64573058259</v>
      </c>
      <c r="E63" s="188" t="n">
        <v>67101767698.9016</v>
      </c>
      <c r="F63" s="188" t="n">
        <v>3291046239.40805</v>
      </c>
    </row>
    <row r="64" ht="15" customHeight="1" s="95">
      <c r="A64" s="143" t="n">
        <v>43528</v>
      </c>
      <c r="B64" s="94" t="n">
        <v>2019</v>
      </c>
      <c r="C64" s="94" t="inlineStr">
        <is>
          <t>2019-Q1</t>
        </is>
      </c>
      <c r="D64" s="186" t="n">
        <v>3806.95427379796</v>
      </c>
      <c r="E64" s="188" t="n">
        <v>66885712070.3521</v>
      </c>
      <c r="F64" s="188" t="n">
        <v>6749676086.6498</v>
      </c>
    </row>
    <row r="65" ht="15" customHeight="1" s="95">
      <c r="A65" s="143" t="n">
        <v>43529</v>
      </c>
      <c r="B65" s="94" t="n">
        <v>2019</v>
      </c>
      <c r="C65" s="94" t="inlineStr">
        <is>
          <t>2019-Q1</t>
        </is>
      </c>
      <c r="D65" s="186" t="n">
        <v>3712.8124572978</v>
      </c>
      <c r="E65" s="188" t="n">
        <v>65238057881.552</v>
      </c>
      <c r="F65" s="188" t="n">
        <v>3608196680.95146</v>
      </c>
    </row>
    <row r="66" ht="15" customHeight="1" s="95">
      <c r="A66" s="143" t="n">
        <v>43530</v>
      </c>
      <c r="B66" s="94" t="n">
        <v>2019</v>
      </c>
      <c r="C66" s="94" t="inlineStr">
        <is>
          <t>2019-Q1</t>
        </is>
      </c>
      <c r="D66" s="186" t="n">
        <v>3852.46166578549</v>
      </c>
      <c r="E66" s="188" t="n">
        <v>67733767403.2078</v>
      </c>
      <c r="F66" s="188" t="n">
        <v>9088065055.19389</v>
      </c>
    </row>
    <row r="67" ht="15" customHeight="1" s="95">
      <c r="A67" s="143" t="n">
        <v>43531</v>
      </c>
      <c r="B67" s="94" t="n">
        <v>2019</v>
      </c>
      <c r="C67" s="94" t="inlineStr">
        <is>
          <t>2019-Q1</t>
        </is>
      </c>
      <c r="D67" s="186" t="n">
        <v>3860.51076238068</v>
      </c>
      <c r="E67" s="188" t="n">
        <v>67888909504.1979</v>
      </c>
      <c r="F67" s="188" t="n">
        <v>8477459044.14722</v>
      </c>
    </row>
    <row r="68" ht="15" customHeight="1" s="95">
      <c r="A68" s="143" t="n">
        <v>43532</v>
      </c>
      <c r="B68" s="94" t="n">
        <v>2019</v>
      </c>
      <c r="C68" s="94" t="inlineStr">
        <is>
          <t>2019-Q1</t>
        </is>
      </c>
      <c r="D68" s="186" t="n">
        <v>3871.63724796599</v>
      </c>
      <c r="E68" s="188" t="n">
        <v>68020879276.3161</v>
      </c>
      <c r="F68" s="188" t="n">
        <v>6098011809.53918</v>
      </c>
    </row>
    <row r="69" ht="15" customHeight="1" s="95">
      <c r="A69" s="143" t="n">
        <v>43533</v>
      </c>
      <c r="B69" s="94" t="n">
        <v>2019</v>
      </c>
      <c r="C69" s="94" t="inlineStr">
        <is>
          <t>2019-Q1</t>
        </is>
      </c>
      <c r="D69" s="186" t="n">
        <v>3861.87930739615</v>
      </c>
      <c r="E69" s="188" t="n">
        <v>67914021946.0786</v>
      </c>
      <c r="F69" s="188" t="n">
        <v>9387592412.25482</v>
      </c>
    </row>
    <row r="70" ht="15" customHeight="1" s="95">
      <c r="A70" s="143" t="n">
        <v>43534</v>
      </c>
      <c r="B70" s="94" t="n">
        <v>2019</v>
      </c>
      <c r="C70" s="94" t="inlineStr">
        <is>
          <t>2019-Q1</t>
        </is>
      </c>
      <c r="D70" s="186" t="n">
        <v>3941.60087327177</v>
      </c>
      <c r="E70" s="188" t="n">
        <v>69292799411.1972</v>
      </c>
      <c r="F70" s="188" t="n">
        <v>8968209821.64562</v>
      </c>
    </row>
    <row r="71" ht="15" customHeight="1" s="95">
      <c r="A71" s="143" t="n">
        <v>43535</v>
      </c>
      <c r="B71" s="94" t="n">
        <v>2019</v>
      </c>
      <c r="C71" s="94" t="inlineStr">
        <is>
          <t>2019-Q1</t>
        </is>
      </c>
      <c r="D71" s="186" t="n">
        <v>3923.55978880643</v>
      </c>
      <c r="E71" s="188" t="n">
        <v>68962957216.0179</v>
      </c>
      <c r="F71" s="188" t="n">
        <v>8576340543.96669</v>
      </c>
    </row>
    <row r="72" ht="15" customHeight="1" s="95">
      <c r="A72" s="143" t="n">
        <v>43536</v>
      </c>
      <c r="B72" s="94" t="n">
        <v>2019</v>
      </c>
      <c r="C72" s="94" t="inlineStr">
        <is>
          <t>2019-Q1</t>
        </is>
      </c>
      <c r="D72" s="186" t="n">
        <v>3860.35923002871</v>
      </c>
      <c r="E72" s="188" t="n">
        <v>67983966610.1097</v>
      </c>
      <c r="F72" s="188" t="n">
        <v>6459945402.48597</v>
      </c>
    </row>
    <row r="73" ht="15" customHeight="1" s="95">
      <c r="A73" s="143" t="n">
        <v>43537</v>
      </c>
      <c r="B73" s="94" t="n">
        <v>2019</v>
      </c>
      <c r="C73" s="94" t="inlineStr">
        <is>
          <t>2019-Q1</t>
        </is>
      </c>
      <c r="D73" s="186" t="n">
        <v>3876.48085275465</v>
      </c>
      <c r="E73" s="188" t="n">
        <v>68203157396.324</v>
      </c>
      <c r="F73" s="188" t="n">
        <v>8326845840.66845</v>
      </c>
    </row>
    <row r="74" ht="15" customHeight="1" s="95">
      <c r="A74" s="143" t="n">
        <v>43538</v>
      </c>
      <c r="B74" s="94" t="n">
        <v>2019</v>
      </c>
      <c r="C74" s="94" t="inlineStr">
        <is>
          <t>2019-Q1</t>
        </is>
      </c>
      <c r="D74" s="186" t="n">
        <v>3865.81778266339</v>
      </c>
      <c r="E74" s="188" t="n">
        <v>67968370343.9121</v>
      </c>
      <c r="F74" s="188" t="n">
        <v>7240802846.74931</v>
      </c>
    </row>
    <row r="75" ht="15" customHeight="1" s="95">
      <c r="A75" s="143" t="n">
        <v>43539</v>
      </c>
      <c r="B75" s="94" t="n">
        <v>2019</v>
      </c>
      <c r="C75" s="94" t="inlineStr">
        <is>
          <t>2019-Q1</t>
        </is>
      </c>
      <c r="D75" s="186" t="n">
        <v>3876.69870803295</v>
      </c>
      <c r="E75" s="188" t="n">
        <v>68177693410.0606</v>
      </c>
      <c r="F75" s="188" t="n">
        <v>8610482287.345261</v>
      </c>
    </row>
    <row r="76" ht="15" customHeight="1" s="95">
      <c r="A76" s="143" t="n">
        <v>43540</v>
      </c>
      <c r="B76" s="94" t="n">
        <v>2019</v>
      </c>
      <c r="C76" s="94" t="inlineStr">
        <is>
          <t>2019-Q1</t>
        </is>
      </c>
      <c r="D76" s="186" t="n">
        <v>3925.46057970458</v>
      </c>
      <c r="E76" s="188" t="n">
        <v>69031558676.1564</v>
      </c>
      <c r="F76" s="188" t="n">
        <v>8157372614.81161</v>
      </c>
    </row>
    <row r="77" ht="15" customHeight="1" s="95">
      <c r="A77" s="143" t="n">
        <v>43541</v>
      </c>
      <c r="B77" s="94" t="n">
        <v>2019</v>
      </c>
      <c r="C77" s="94" t="inlineStr">
        <is>
          <t>2019-Q1</t>
        </is>
      </c>
      <c r="D77" s="186" t="n">
        <v>4007.70946381887</v>
      </c>
      <c r="E77" s="188" t="n">
        <v>70497099778.14639</v>
      </c>
      <c r="F77" s="188" t="n">
        <v>8463266884.80299</v>
      </c>
    </row>
    <row r="78" ht="15" customHeight="1" s="95">
      <c r="A78" s="143" t="n">
        <v>43542</v>
      </c>
      <c r="B78" s="94" t="n">
        <v>2019</v>
      </c>
      <c r="C78" s="94" t="inlineStr">
        <is>
          <t>2019-Q1</t>
        </is>
      </c>
      <c r="D78" s="186" t="n">
        <v>3980.99010473202</v>
      </c>
      <c r="E78" s="188" t="n">
        <v>70051219293.32381</v>
      </c>
      <c r="F78" s="188" t="n">
        <v>6533306536.98978</v>
      </c>
    </row>
    <row r="79" ht="15" customHeight="1" s="95">
      <c r="A79" s="143" t="n">
        <v>43543</v>
      </c>
      <c r="B79" s="94" t="n">
        <v>2019</v>
      </c>
      <c r="C79" s="94" t="inlineStr">
        <is>
          <t>2019-Q1</t>
        </is>
      </c>
      <c r="D79" s="186" t="n">
        <v>3986.70689404615</v>
      </c>
      <c r="E79" s="188" t="n">
        <v>70152235369.2381</v>
      </c>
      <c r="F79" s="188" t="n">
        <v>7639543944.60199</v>
      </c>
    </row>
    <row r="80" ht="15" customHeight="1" s="95">
      <c r="A80" s="143" t="n">
        <v>43544</v>
      </c>
      <c r="B80" s="94" t="n">
        <v>2019</v>
      </c>
      <c r="C80" s="94" t="inlineStr">
        <is>
          <t>2019-Q1</t>
        </is>
      </c>
      <c r="D80" s="186" t="n">
        <v>4013.57696934548</v>
      </c>
      <c r="E80" s="188" t="n">
        <v>70618508801.77229</v>
      </c>
      <c r="F80" s="188" t="n">
        <v>7503839510.97451</v>
      </c>
    </row>
    <row r="81" ht="15" customHeight="1" s="95">
      <c r="A81" s="143" t="n">
        <v>43545</v>
      </c>
      <c r="B81" s="94" t="n">
        <v>2019</v>
      </c>
      <c r="C81" s="94" t="inlineStr">
        <is>
          <t>2019-Q1</t>
        </is>
      </c>
      <c r="D81" s="186" t="n">
        <v>4045.57263350974</v>
      </c>
      <c r="E81" s="188" t="n">
        <v>71208656536.9581</v>
      </c>
      <c r="F81" s="188" t="n">
        <v>9137227916.14535</v>
      </c>
    </row>
    <row r="82" ht="15" customHeight="1" s="95">
      <c r="A82" s="143" t="n">
        <v>43546</v>
      </c>
      <c r="B82" s="94" t="n">
        <v>2019</v>
      </c>
      <c r="C82" s="94" t="inlineStr">
        <is>
          <t>2019-Q1</t>
        </is>
      </c>
      <c r="D82" s="186" t="n">
        <v>3983.31778129736</v>
      </c>
      <c r="E82" s="188" t="n">
        <v>70175421257.08591</v>
      </c>
      <c r="F82" s="188" t="n">
        <v>9845582434.366619</v>
      </c>
    </row>
    <row r="83" ht="15" customHeight="1" s="95">
      <c r="A83" s="143" t="n">
        <v>43547</v>
      </c>
      <c r="B83" s="94" t="n">
        <v>2019</v>
      </c>
      <c r="C83" s="94" t="inlineStr">
        <is>
          <t>2019-Q1</t>
        </is>
      </c>
      <c r="D83" s="186" t="n">
        <v>3989.15849121545</v>
      </c>
      <c r="E83" s="188" t="n">
        <v>70227188528.5043</v>
      </c>
      <c r="F83" s="188" t="n">
        <v>9404569962.845261</v>
      </c>
    </row>
    <row r="84" ht="15" customHeight="1" s="95">
      <c r="A84" s="143" t="n">
        <v>43548</v>
      </c>
      <c r="B84" s="94" t="n">
        <v>2019</v>
      </c>
      <c r="C84" s="94" t="inlineStr">
        <is>
          <t>2019-Q1</t>
        </is>
      </c>
      <c r="D84" s="186" t="n">
        <v>4008.94538631475</v>
      </c>
      <c r="E84" s="188" t="n">
        <v>70485598083.6817</v>
      </c>
      <c r="F84" s="188" t="n">
        <v>9206940724.64711</v>
      </c>
    </row>
    <row r="85" ht="15" customHeight="1" s="95">
      <c r="A85" s="143" t="n">
        <v>43549</v>
      </c>
      <c r="B85" s="94" t="n">
        <v>2019</v>
      </c>
      <c r="C85" s="94" t="inlineStr">
        <is>
          <t>2019-Q1</t>
        </is>
      </c>
      <c r="D85" s="186" t="n">
        <v>3993.39490045955</v>
      </c>
      <c r="E85" s="188" t="n">
        <v>70330401859.6031</v>
      </c>
      <c r="F85" s="188" t="n">
        <v>9883972400.78285</v>
      </c>
    </row>
    <row r="86" ht="15" customHeight="1" s="95">
      <c r="A86" s="143" t="n">
        <v>43550</v>
      </c>
      <c r="B86" s="94" t="n">
        <v>2019</v>
      </c>
      <c r="C86" s="94" t="inlineStr">
        <is>
          <t>2019-Q1</t>
        </is>
      </c>
      <c r="D86" s="186" t="n">
        <v>3927.57729652143</v>
      </c>
      <c r="E86" s="188" t="n">
        <v>69206266248.8844</v>
      </c>
      <c r="F86" s="188" t="n">
        <v>10661215003.0179</v>
      </c>
    </row>
    <row r="87" ht="15" customHeight="1" s="95">
      <c r="A87" s="143" t="n">
        <v>43551</v>
      </c>
      <c r="B87" s="94" t="n">
        <v>2019</v>
      </c>
      <c r="C87" s="94" t="inlineStr">
        <is>
          <t>2019-Q1</t>
        </is>
      </c>
      <c r="D87" s="186" t="n">
        <v>3938.65974315694</v>
      </c>
      <c r="E87" s="188" t="n">
        <v>69368692535.334</v>
      </c>
      <c r="F87" s="188" t="n">
        <v>19375985748.4686</v>
      </c>
    </row>
    <row r="88" ht="15" customHeight="1" s="95">
      <c r="A88" s="143" t="n">
        <v>43552</v>
      </c>
      <c r="B88" s="94" t="n">
        <v>2019</v>
      </c>
      <c r="C88" s="94" t="inlineStr">
        <is>
          <t>2019-Q1</t>
        </is>
      </c>
      <c r="D88" s="186" t="n">
        <v>4036.16091792076</v>
      </c>
      <c r="E88" s="188" t="n">
        <v>71134892682.4924</v>
      </c>
      <c r="F88" s="188" t="n">
        <v>16215886403.3116</v>
      </c>
    </row>
    <row r="89" ht="15" customHeight="1" s="95">
      <c r="A89" s="143" t="n">
        <v>43553</v>
      </c>
      <c r="B89" s="94" t="n">
        <v>2019</v>
      </c>
      <c r="C89" s="94" t="inlineStr">
        <is>
          <t>2019-Q1</t>
        </is>
      </c>
      <c r="D89" s="186" t="n">
        <v>4028.39130117962</v>
      </c>
      <c r="E89" s="188" t="n">
        <v>70961529493.3493</v>
      </c>
      <c r="F89" s="188" t="n">
        <v>15160882530.7644</v>
      </c>
    </row>
    <row r="90" ht="15" customHeight="1" s="95">
      <c r="A90" s="143" t="n">
        <v>43554</v>
      </c>
      <c r="B90" s="94" t="n">
        <v>2019</v>
      </c>
      <c r="C90" s="94" t="inlineStr">
        <is>
          <t>2019-Q1</t>
        </is>
      </c>
      <c r="D90" s="186" t="n">
        <v>4103.32285951396</v>
      </c>
      <c r="E90" s="188" t="n">
        <v>72303023146.2003</v>
      </c>
      <c r="F90" s="188" t="n">
        <v>16340416942.4684</v>
      </c>
    </row>
    <row r="91" ht="15" customHeight="1" s="95">
      <c r="A91" s="143" t="n">
        <v>43555</v>
      </c>
      <c r="B91" s="94" t="n">
        <v>2019</v>
      </c>
      <c r="C91" s="94" t="inlineStr">
        <is>
          <t>2019-Q1</t>
        </is>
      </c>
      <c r="D91" s="186" t="n">
        <v>4103.85642133392</v>
      </c>
      <c r="E91" s="188" t="n">
        <v>72305792937.34891</v>
      </c>
      <c r="F91" s="188" t="n">
        <v>13007834059.5937</v>
      </c>
    </row>
    <row r="92" ht="15" customHeight="1" s="95">
      <c r="A92" s="143" t="n">
        <v>43556</v>
      </c>
      <c r="B92" s="94" t="n">
        <v>2019</v>
      </c>
      <c r="C92" s="94" t="inlineStr">
        <is>
          <t>2019-Q2</t>
        </is>
      </c>
      <c r="D92" s="186" t="n">
        <v>4103.52173854933</v>
      </c>
      <c r="E92" s="188" t="n">
        <v>72310769858.13651</v>
      </c>
      <c r="F92" s="188" t="n">
        <v>9729996888.256729</v>
      </c>
    </row>
    <row r="93" ht="15" customHeight="1" s="95">
      <c r="A93" s="143" t="n">
        <v>43557</v>
      </c>
      <c r="B93" s="94" t="n">
        <v>2019</v>
      </c>
      <c r="C93" s="94" t="inlineStr">
        <is>
          <t>2019-Q2</t>
        </is>
      </c>
      <c r="D93" s="186" t="n">
        <v>4146.32192770664</v>
      </c>
      <c r="E93" s="188" t="n">
        <v>73066822741.9935</v>
      </c>
      <c r="F93" s="188" t="n">
        <v>12393581266.9335</v>
      </c>
    </row>
    <row r="94" ht="15" customHeight="1" s="95">
      <c r="A94" s="143" t="n">
        <v>43558</v>
      </c>
      <c r="B94" s="94" t="n">
        <v>2019</v>
      </c>
      <c r="C94" s="94" t="inlineStr">
        <is>
          <t>2019-Q2</t>
        </is>
      </c>
      <c r="D94" s="186" t="n">
        <v>4862.23042776692</v>
      </c>
      <c r="E94" s="188" t="n">
        <v>86200568432.5752</v>
      </c>
      <c r="F94" s="188" t="n">
        <v>24241877355.4662</v>
      </c>
    </row>
    <row r="95" ht="15" customHeight="1" s="95">
      <c r="A95" s="143" t="n">
        <v>43559</v>
      </c>
      <c r="B95" s="94" t="n">
        <v>2019</v>
      </c>
      <c r="C95" s="94" t="inlineStr">
        <is>
          <t>2019-Q2</t>
        </is>
      </c>
      <c r="D95" s="186" t="n">
        <v>4955.8318240183</v>
      </c>
      <c r="E95" s="188" t="n">
        <v>87673795383.5264</v>
      </c>
      <c r="F95" s="188" t="n">
        <v>27840300618.8515</v>
      </c>
    </row>
    <row r="96" ht="15" customHeight="1" s="95">
      <c r="A96" s="143" t="n">
        <v>43560</v>
      </c>
      <c r="B96" s="94" t="n">
        <v>2019</v>
      </c>
      <c r="C96" s="94" t="inlineStr">
        <is>
          <t>2019-Q2</t>
        </is>
      </c>
      <c r="D96" s="186" t="n">
        <v>4899.02155378329</v>
      </c>
      <c r="E96" s="188" t="n">
        <v>86482892583.41299</v>
      </c>
      <c r="F96" s="188" t="n">
        <v>23773239680.7782</v>
      </c>
    </row>
    <row r="97" ht="15" customHeight="1" s="95">
      <c r="A97" s="143" t="n">
        <v>43561</v>
      </c>
      <c r="B97" s="94" t="n">
        <v>2019</v>
      </c>
      <c r="C97" s="94" t="inlineStr">
        <is>
          <t>2019-Q2</t>
        </is>
      </c>
      <c r="D97" s="186" t="n">
        <v>5014.95582688877</v>
      </c>
      <c r="E97" s="188" t="n">
        <v>88332459637.71429</v>
      </c>
      <c r="F97" s="188" t="n">
        <v>20072621554.0533</v>
      </c>
    </row>
    <row r="98" ht="15" customHeight="1" s="95">
      <c r="A98" s="143" t="n">
        <v>43562</v>
      </c>
      <c r="B98" s="94" t="n">
        <v>2019</v>
      </c>
      <c r="C98" s="94" t="inlineStr">
        <is>
          <t>2019-Q2</t>
        </is>
      </c>
      <c r="D98" s="186" t="n">
        <v>5041.86907588831</v>
      </c>
      <c r="E98" s="188" t="n">
        <v>88955701285.46049</v>
      </c>
      <c r="F98" s="188" t="n">
        <v>19652913084.1138</v>
      </c>
    </row>
    <row r="99" ht="15" customHeight="1" s="95">
      <c r="A99" s="143" t="n">
        <v>43563</v>
      </c>
      <c r="B99" s="94" t="n">
        <v>2019</v>
      </c>
      <c r="C99" s="94" t="inlineStr">
        <is>
          <t>2019-Q2</t>
        </is>
      </c>
      <c r="D99" s="186" t="n">
        <v>5176.97788362072</v>
      </c>
      <c r="E99" s="188" t="n">
        <v>91102196906.1929</v>
      </c>
      <c r="F99" s="188" t="n">
        <v>22875598540.2669</v>
      </c>
    </row>
    <row r="100" ht="15" customHeight="1" s="95">
      <c r="A100" s="143" t="n">
        <v>43564</v>
      </c>
      <c r="B100" s="94" t="n">
        <v>2019</v>
      </c>
      <c r="C100" s="94" t="inlineStr">
        <is>
          <t>2019-Q2</t>
        </is>
      </c>
      <c r="D100" s="186" t="n">
        <v>5266.89477647303</v>
      </c>
      <c r="E100" s="188" t="n">
        <v>92817357385.1691</v>
      </c>
      <c r="F100" s="188" t="n">
        <v>21960916922.812</v>
      </c>
    </row>
    <row r="101" ht="15" customHeight="1" s="95">
      <c r="A101" s="143" t="n">
        <v>43565</v>
      </c>
      <c r="B101" s="94" t="n">
        <v>2019</v>
      </c>
      <c r="C101" s="94" t="inlineStr">
        <is>
          <t>2019-Q2</t>
        </is>
      </c>
      <c r="D101" s="186" t="n">
        <v>5172.17526475971</v>
      </c>
      <c r="E101" s="188" t="n">
        <v>91255525157.8774</v>
      </c>
      <c r="F101" s="188" t="n">
        <v>15780870292.5537</v>
      </c>
    </row>
    <row r="102" ht="15" customHeight="1" s="95">
      <c r="A102" s="143" t="n">
        <v>43566</v>
      </c>
      <c r="B102" s="94" t="n">
        <v>2019</v>
      </c>
      <c r="C102" s="94" t="inlineStr">
        <is>
          <t>2019-Q2</t>
        </is>
      </c>
      <c r="D102" s="186" t="n">
        <v>5308.90568316444</v>
      </c>
      <c r="E102" s="188" t="n">
        <v>93646653914.3837</v>
      </c>
      <c r="F102" s="188" t="n">
        <v>19407452726.8694</v>
      </c>
    </row>
    <row r="103" ht="15" customHeight="1" s="95">
      <c r="A103" s="143" t="n">
        <v>43567</v>
      </c>
      <c r="B103" s="94" t="n">
        <v>2019</v>
      </c>
      <c r="C103" s="94" t="inlineStr">
        <is>
          <t>2019-Q2</t>
        </is>
      </c>
      <c r="D103" s="186" t="n">
        <v>5047.79316241402</v>
      </c>
      <c r="E103" s="188" t="n">
        <v>89079171479.8638</v>
      </c>
      <c r="F103" s="188" t="n">
        <v>19758274668.3445</v>
      </c>
    </row>
    <row r="104" ht="15" customHeight="1" s="95">
      <c r="A104" s="143" t="n">
        <v>43568</v>
      </c>
      <c r="B104" s="94" t="n">
        <v>2019</v>
      </c>
      <c r="C104" s="94" t="inlineStr">
        <is>
          <t>2019-Q2</t>
        </is>
      </c>
      <c r="D104" s="186" t="n">
        <v>5082.46515242293</v>
      </c>
      <c r="E104" s="188" t="n">
        <v>89668931907.92059</v>
      </c>
      <c r="F104" s="188" t="n">
        <v>15595642633.8385</v>
      </c>
    </row>
    <row r="105" ht="15" customHeight="1" s="95">
      <c r="A105" s="143" t="n">
        <v>43569</v>
      </c>
      <c r="B105" s="94" t="n">
        <v>2019</v>
      </c>
      <c r="C105" s="94" t="inlineStr">
        <is>
          <t>2019-Q2</t>
        </is>
      </c>
      <c r="D105" s="186" t="n">
        <v>5072.98719133788</v>
      </c>
      <c r="E105" s="188" t="n">
        <v>89473995793.9539</v>
      </c>
      <c r="F105" s="188" t="n">
        <v>12260233700.5831</v>
      </c>
    </row>
    <row r="106" ht="15" customHeight="1" s="95">
      <c r="A106" s="143" t="n">
        <v>43570</v>
      </c>
      <c r="B106" s="94" t="n">
        <v>2019</v>
      </c>
      <c r="C106" s="94" t="inlineStr">
        <is>
          <t>2019-Q2</t>
        </is>
      </c>
      <c r="D106" s="186" t="n">
        <v>5149.31449279813</v>
      </c>
      <c r="E106" s="188" t="n">
        <v>90952758268.0811</v>
      </c>
      <c r="F106" s="188" t="n">
        <v>12373544680.8946</v>
      </c>
    </row>
    <row r="107" ht="15" customHeight="1" s="95">
      <c r="A107" s="143" t="n">
        <v>43571</v>
      </c>
      <c r="B107" s="94" t="n">
        <v>2019</v>
      </c>
      <c r="C107" s="94" t="inlineStr">
        <is>
          <t>2019-Q2</t>
        </is>
      </c>
      <c r="D107" s="186" t="n">
        <v>5039.8810174044</v>
      </c>
      <c r="E107" s="188" t="n">
        <v>89148028192.0952</v>
      </c>
      <c r="F107" s="188" t="n">
        <v>13837248984.6368</v>
      </c>
    </row>
    <row r="108" ht="15" customHeight="1" s="95">
      <c r="A108" s="143" t="n">
        <v>43572</v>
      </c>
      <c r="B108" s="94" t="n">
        <v>2019</v>
      </c>
      <c r="C108" s="94" t="inlineStr">
        <is>
          <t>2019-Q2</t>
        </is>
      </c>
      <c r="D108" s="186" t="n">
        <v>5213.59837696208</v>
      </c>
      <c r="E108" s="188" t="n">
        <v>91835875597.9115</v>
      </c>
      <c r="F108" s="188" t="n">
        <v>13646324289.8416</v>
      </c>
    </row>
    <row r="109" ht="15" customHeight="1" s="95">
      <c r="A109" s="143" t="n">
        <v>43573</v>
      </c>
      <c r="B109" s="94" t="n">
        <v>2019</v>
      </c>
      <c r="C109" s="94" t="inlineStr">
        <is>
          <t>2019-Q2</t>
        </is>
      </c>
      <c r="D109" s="186" t="n">
        <v>5218.95715038453</v>
      </c>
      <c r="E109" s="188" t="n">
        <v>92156851198.5878</v>
      </c>
      <c r="F109" s="188" t="n">
        <v>14530488675.9543</v>
      </c>
    </row>
    <row r="110" ht="15" customHeight="1" s="95">
      <c r="A110" s="143" t="n">
        <v>43574</v>
      </c>
      <c r="B110" s="94" t="n">
        <v>2019</v>
      </c>
      <c r="C110" s="94" t="inlineStr">
        <is>
          <t>2019-Q2</t>
        </is>
      </c>
      <c r="D110" s="186" t="n">
        <v>5274.7670133365</v>
      </c>
      <c r="E110" s="188" t="n">
        <v>93215173176.9857</v>
      </c>
      <c r="F110" s="188" t="n">
        <v>15343841014.064</v>
      </c>
    </row>
    <row r="111" ht="15" customHeight="1" s="95">
      <c r="A111" s="143" t="n">
        <v>43575</v>
      </c>
      <c r="B111" s="94" t="n">
        <v>2019</v>
      </c>
      <c r="C111" s="94" t="inlineStr">
        <is>
          <t>2019-Q2</t>
        </is>
      </c>
      <c r="D111" s="186" t="n">
        <v>5280.35444438301</v>
      </c>
      <c r="E111" s="188" t="n">
        <v>93210585886.9135</v>
      </c>
      <c r="F111" s="188" t="n">
        <v>16257796673.8862</v>
      </c>
    </row>
    <row r="112" ht="15" customHeight="1" s="95">
      <c r="A112" s="143" t="n">
        <v>43576</v>
      </c>
      <c r="B112" s="94" t="n">
        <v>2019</v>
      </c>
      <c r="C112" s="94" t="inlineStr">
        <is>
          <t>2019-Q2</t>
        </is>
      </c>
      <c r="D112" s="186" t="n">
        <v>5307.68918343714</v>
      </c>
      <c r="E112" s="188" t="n">
        <v>93900276128.9137</v>
      </c>
      <c r="F112" s="188" t="n">
        <v>14990889921.787</v>
      </c>
    </row>
    <row r="113" ht="15" customHeight="1" s="95">
      <c r="A113" s="143" t="n">
        <v>43577</v>
      </c>
      <c r="B113" s="94" t="n">
        <v>2019</v>
      </c>
      <c r="C113" s="94" t="inlineStr">
        <is>
          <t>2019-Q2</t>
        </is>
      </c>
      <c r="D113" s="186" t="n">
        <v>5311.16484029927</v>
      </c>
      <c r="E113" s="188" t="n">
        <v>93759009855.06889</v>
      </c>
      <c r="F113" s="188" t="n">
        <v>16383813161.8304</v>
      </c>
    </row>
    <row r="114" ht="15" customHeight="1" s="95">
      <c r="A114" s="143" t="n">
        <v>43578</v>
      </c>
      <c r="B114" s="94" t="n">
        <v>2019</v>
      </c>
      <c r="C114" s="94" t="inlineStr">
        <is>
          <t>2019-Q2</t>
        </is>
      </c>
      <c r="D114" s="186" t="n">
        <v>5380.93578957559</v>
      </c>
      <c r="E114" s="188" t="n">
        <v>94990455842.8902</v>
      </c>
      <c r="F114" s="188" t="n">
        <v>17199396916.7295</v>
      </c>
    </row>
    <row r="115" ht="15" customHeight="1" s="95">
      <c r="A115" s="143" t="n">
        <v>43579</v>
      </c>
      <c r="B115" s="94" t="n">
        <v>2019</v>
      </c>
      <c r="C115" s="94" t="inlineStr">
        <is>
          <t>2019-Q2</t>
        </is>
      </c>
      <c r="D115" s="186" t="n">
        <v>5557.92572761084</v>
      </c>
      <c r="E115" s="188" t="n">
        <v>98039931169.25391</v>
      </c>
      <c r="F115" s="188" t="n">
        <v>19400647819.9403</v>
      </c>
    </row>
    <row r="116" ht="15" customHeight="1" s="95">
      <c r="A116" s="143" t="n">
        <v>43580</v>
      </c>
      <c r="B116" s="94" t="n">
        <v>2019</v>
      </c>
      <c r="C116" s="94" t="inlineStr">
        <is>
          <t>2019-Q2</t>
        </is>
      </c>
      <c r="D116" s="186" t="n">
        <v>5452.10175339446</v>
      </c>
      <c r="E116" s="188" t="n">
        <v>96218396013.24339</v>
      </c>
      <c r="F116" s="188" t="n">
        <v>20538511242.2626</v>
      </c>
    </row>
    <row r="117" ht="15" customHeight="1" s="95">
      <c r="A117" s="143" t="n">
        <v>43581</v>
      </c>
      <c r="B117" s="94" t="n">
        <v>2019</v>
      </c>
      <c r="C117" s="94" t="inlineStr">
        <is>
          <t>2019-Q2</t>
        </is>
      </c>
      <c r="D117" s="186" t="n">
        <v>5203.0885987307</v>
      </c>
      <c r="E117" s="188" t="n">
        <v>91817406863.8963</v>
      </c>
      <c r="F117" s="188" t="n">
        <v>19329534423.7933</v>
      </c>
    </row>
    <row r="118" ht="15" customHeight="1" s="95">
      <c r="A118" s="143" t="n">
        <v>43582</v>
      </c>
      <c r="B118" s="94" t="n">
        <v>2019</v>
      </c>
      <c r="C118" s="94" t="inlineStr">
        <is>
          <t>2019-Q2</t>
        </is>
      </c>
      <c r="D118" s="186" t="n">
        <v>5295.84732004823</v>
      </c>
      <c r="E118" s="188" t="n">
        <v>93049690718.15041</v>
      </c>
      <c r="F118" s="188" t="n">
        <v>19632024917.7112</v>
      </c>
    </row>
    <row r="119" ht="15" customHeight="1" s="95">
      <c r="A119" s="143" t="n">
        <v>43583</v>
      </c>
      <c r="B119" s="94" t="n">
        <v>2019</v>
      </c>
      <c r="C119" s="94" t="inlineStr">
        <is>
          <t>2019-Q2</t>
        </is>
      </c>
      <c r="D119" s="186" t="n">
        <v>5256.97780247406</v>
      </c>
      <c r="E119" s="188" t="n">
        <v>93148101239.9594</v>
      </c>
      <c r="F119" s="188" t="n">
        <v>14876251954.3976</v>
      </c>
    </row>
    <row r="120" ht="15" customHeight="1" s="95">
      <c r="A120" s="143" t="n">
        <v>43584</v>
      </c>
      <c r="B120" s="94" t="n">
        <v>2019</v>
      </c>
      <c r="C120" s="94" t="inlineStr">
        <is>
          <t>2019-Q2</t>
        </is>
      </c>
      <c r="D120" s="186" t="n">
        <v>5257.8032492325</v>
      </c>
      <c r="E120" s="188" t="n">
        <v>92775167509.00259</v>
      </c>
      <c r="F120" s="188" t="n">
        <v>15573084968.7404</v>
      </c>
    </row>
    <row r="121" ht="15" customHeight="1" s="95">
      <c r="A121" s="143" t="n">
        <v>43585</v>
      </c>
      <c r="B121" s="94" t="n">
        <v>2019</v>
      </c>
      <c r="C121" s="94" t="inlineStr">
        <is>
          <t>2019-Q2</t>
        </is>
      </c>
      <c r="D121" s="186" t="n">
        <v>5199.75500856346</v>
      </c>
      <c r="E121" s="188" t="n">
        <v>91885324029.7989</v>
      </c>
      <c r="F121" s="188" t="n">
        <v>15442022886.7302</v>
      </c>
    </row>
    <row r="122" ht="15" customHeight="1" s="95">
      <c r="A122" s="143" t="n">
        <v>43586</v>
      </c>
      <c r="B122" s="94" t="n">
        <v>2019</v>
      </c>
      <c r="C122" s="94" t="inlineStr">
        <is>
          <t>2019-Q2</t>
        </is>
      </c>
      <c r="D122" s="186" t="n">
        <v>5292.80397456205</v>
      </c>
      <c r="E122" s="188" t="n">
        <v>93534079555.95959</v>
      </c>
      <c r="F122" s="188" t="n">
        <v>16794865767.2017</v>
      </c>
    </row>
    <row r="123" ht="15" customHeight="1" s="95">
      <c r="A123" s="143" t="n">
        <v>43587</v>
      </c>
      <c r="B123" s="94" t="n">
        <v>2019</v>
      </c>
      <c r="C123" s="94" t="inlineStr">
        <is>
          <t>2019-Q2</t>
        </is>
      </c>
      <c r="D123" s="186" t="n">
        <v>5354.58680017397</v>
      </c>
      <c r="E123" s="188" t="n">
        <v>94579889910.0349</v>
      </c>
      <c r="F123" s="188" t="n">
        <v>14566414699.6927</v>
      </c>
    </row>
    <row r="124" ht="15" customHeight="1" s="95">
      <c r="A124" s="143" t="n">
        <v>43588</v>
      </c>
      <c r="B124" s="94" t="n">
        <v>2019</v>
      </c>
      <c r="C124" s="94" t="inlineStr">
        <is>
          <t>2019-Q2</t>
        </is>
      </c>
      <c r="D124" s="186" t="n">
        <v>5450.70662048642</v>
      </c>
      <c r="E124" s="188" t="n">
        <v>96389607751.5058</v>
      </c>
      <c r="F124" s="188" t="n">
        <v>16512618030.6092</v>
      </c>
    </row>
    <row r="125" ht="15" customHeight="1" s="95">
      <c r="A125" s="143" t="n">
        <v>43589</v>
      </c>
      <c r="B125" s="94" t="n">
        <v>2019</v>
      </c>
      <c r="C125" s="94" t="inlineStr">
        <is>
          <t>2019-Q2</t>
        </is>
      </c>
      <c r="D125" s="186" t="n">
        <v>5731.49309960656</v>
      </c>
      <c r="E125" s="188" t="n">
        <v>101175865117.035</v>
      </c>
      <c r="F125" s="188" t="n">
        <v>20006287572.0822</v>
      </c>
    </row>
    <row r="126" ht="15" customHeight="1" s="95">
      <c r="A126" s="143" t="n">
        <v>43590</v>
      </c>
      <c r="B126" s="94" t="n">
        <v>2019</v>
      </c>
      <c r="C126" s="94" t="inlineStr">
        <is>
          <t>2019-Q2</t>
        </is>
      </c>
      <c r="D126" s="186" t="n">
        <v>5803.94330904844</v>
      </c>
      <c r="E126" s="188" t="n">
        <v>102653043813.218</v>
      </c>
      <c r="F126" s="188" t="n">
        <v>19242843059.8261</v>
      </c>
    </row>
    <row r="127" ht="15" customHeight="1" s="95">
      <c r="A127" s="143" t="n">
        <v>43591</v>
      </c>
      <c r="B127" s="94" t="n">
        <v>2019</v>
      </c>
      <c r="C127" s="94" t="inlineStr">
        <is>
          <t>2019-Q2</t>
        </is>
      </c>
      <c r="D127" s="186" t="n">
        <v>5749.32378046033</v>
      </c>
      <c r="E127" s="188" t="n">
        <v>101764683178.681</v>
      </c>
      <c r="F127" s="188" t="n">
        <v>16184057012.2708</v>
      </c>
    </row>
    <row r="128" ht="15" customHeight="1" s="95">
      <c r="A128" s="143" t="n">
        <v>43592</v>
      </c>
      <c r="B128" s="94" t="n">
        <v>2019</v>
      </c>
      <c r="C128" s="94" t="inlineStr">
        <is>
          <t>2019-Q2</t>
        </is>
      </c>
      <c r="D128" s="186" t="n">
        <v>5715.7571359661</v>
      </c>
      <c r="E128" s="188" t="n">
        <v>101101531131.039</v>
      </c>
      <c r="F128" s="188" t="n">
        <v>16811224132.04</v>
      </c>
    </row>
    <row r="129" ht="15" customHeight="1" s="95">
      <c r="A129" s="143" t="n">
        <v>43593</v>
      </c>
      <c r="B129" s="94" t="n">
        <v>2019</v>
      </c>
      <c r="C129" s="94" t="inlineStr">
        <is>
          <t>2019-Q2</t>
        </is>
      </c>
      <c r="D129" s="186" t="n">
        <v>5841.05377127375</v>
      </c>
      <c r="E129" s="188" t="n">
        <v>103982497546.432</v>
      </c>
      <c r="F129" s="188" t="n">
        <v>19408267639.1922</v>
      </c>
    </row>
    <row r="130" ht="15" customHeight="1" s="95">
      <c r="A130" s="143" t="n">
        <v>43594</v>
      </c>
      <c r="B130" s="94" t="n">
        <v>2019</v>
      </c>
      <c r="C130" s="94" t="inlineStr">
        <is>
          <t>2019-Q2</t>
        </is>
      </c>
      <c r="D130" s="186" t="n">
        <v>5957.8567328584</v>
      </c>
      <c r="E130" s="188" t="n">
        <v>105271848239.851</v>
      </c>
      <c r="F130" s="188" t="n">
        <v>16672412472.1121</v>
      </c>
    </row>
    <row r="131" ht="15" customHeight="1" s="95">
      <c r="A131" s="143" t="n">
        <v>43595</v>
      </c>
      <c r="B131" s="94" t="n">
        <v>2019</v>
      </c>
      <c r="C131" s="94" t="inlineStr">
        <is>
          <t>2019-Q2</t>
        </is>
      </c>
      <c r="D131" s="186" t="n">
        <v>6168.26899639826</v>
      </c>
      <c r="E131" s="188" t="n">
        <v>109284325643.206</v>
      </c>
      <c r="F131" s="188" t="n">
        <v>18401396126.0398</v>
      </c>
    </row>
    <row r="132" ht="15" customHeight="1" s="95">
      <c r="A132" s="143" t="n">
        <v>43596</v>
      </c>
      <c r="B132" s="94" t="n">
        <v>2019</v>
      </c>
      <c r="C132" s="94" t="inlineStr">
        <is>
          <t>2019-Q2</t>
        </is>
      </c>
      <c r="D132" s="186" t="n">
        <v>6370.23375860785</v>
      </c>
      <c r="E132" s="188" t="n">
        <v>112684642518.93</v>
      </c>
      <c r="F132" s="188" t="n">
        <v>20801839693.0423</v>
      </c>
    </row>
    <row r="133" ht="15" customHeight="1" s="95">
      <c r="A133" s="143" t="n">
        <v>43597</v>
      </c>
      <c r="B133" s="94" t="n">
        <v>2019</v>
      </c>
      <c r="C133" s="94" t="inlineStr">
        <is>
          <t>2019-Q2</t>
        </is>
      </c>
      <c r="D133" s="186" t="n">
        <v>7258.26128065522</v>
      </c>
      <c r="E133" s="188" t="n">
        <v>129323693413.36</v>
      </c>
      <c r="F133" s="188" t="n">
        <v>32480039429.7688</v>
      </c>
    </row>
    <row r="134" ht="15" customHeight="1" s="95">
      <c r="A134" s="143" t="n">
        <v>43598</v>
      </c>
      <c r="B134" s="94" t="n">
        <v>2019</v>
      </c>
      <c r="C134" s="94" t="inlineStr">
        <is>
          <t>2019-Q2</t>
        </is>
      </c>
      <c r="D134" s="186" t="n">
        <v>6953.75138858638</v>
      </c>
      <c r="E134" s="188" t="n">
        <v>122826926577.36</v>
      </c>
      <c r="F134" s="188" t="n">
        <v>31545333636.538</v>
      </c>
    </row>
    <row r="135" ht="15" customHeight="1" s="95">
      <c r="A135" s="143" t="n">
        <v>43599</v>
      </c>
      <c r="B135" s="94" t="n">
        <v>2019</v>
      </c>
      <c r="C135" s="94" t="inlineStr">
        <is>
          <t>2019-Q2</t>
        </is>
      </c>
      <c r="D135" s="186" t="n">
        <v>7805.98164948938</v>
      </c>
      <c r="E135" s="188" t="n">
        <v>138089773338.272</v>
      </c>
      <c r="F135" s="188" t="n">
        <v>32078035930.7725</v>
      </c>
    </row>
    <row r="136" ht="15" customHeight="1" s="95">
      <c r="A136" s="143" t="n">
        <v>43600</v>
      </c>
      <c r="B136" s="94" t="n">
        <v>2019</v>
      </c>
      <c r="C136" s="94" t="inlineStr">
        <is>
          <t>2019-Q2</t>
        </is>
      </c>
      <c r="D136" s="186" t="n">
        <v>7990.05555353436</v>
      </c>
      <c r="E136" s="188" t="n">
        <v>141341132028.998</v>
      </c>
      <c r="F136" s="188" t="n">
        <v>35426123184.6437</v>
      </c>
    </row>
    <row r="137" ht="15" customHeight="1" s="95">
      <c r="A137" s="143" t="n">
        <v>43601</v>
      </c>
      <c r="B137" s="94" t="n">
        <v>2019</v>
      </c>
      <c r="C137" s="94" t="inlineStr">
        <is>
          <t>2019-Q2</t>
        </is>
      </c>
      <c r="D137" s="186" t="n">
        <v>8192.223138952009</v>
      </c>
      <c r="E137" s="188" t="n">
        <v>144615566025.012</v>
      </c>
      <c r="F137" s="188" t="n">
        <v>30893707828.0364</v>
      </c>
    </row>
    <row r="138" ht="15" customHeight="1" s="95">
      <c r="A138" s="143" t="n">
        <v>43602</v>
      </c>
      <c r="B138" s="94" t="n">
        <v>2019</v>
      </c>
      <c r="C138" s="94" t="inlineStr">
        <is>
          <t>2019-Q2</t>
        </is>
      </c>
      <c r="D138" s="186" t="n">
        <v>7875.91319952607</v>
      </c>
      <c r="E138" s="188" t="n">
        <v>139525363820.161</v>
      </c>
      <c r="F138" s="188" t="n">
        <v>35026947533.9309</v>
      </c>
    </row>
    <row r="139" ht="15" customHeight="1" s="95">
      <c r="A139" s="143" t="n">
        <v>43603</v>
      </c>
      <c r="B139" s="94" t="n">
        <v>2019</v>
      </c>
      <c r="C139" s="94" t="inlineStr">
        <is>
          <t>2019-Q2</t>
        </is>
      </c>
      <c r="D139" s="186" t="n">
        <v>7343.37145716299</v>
      </c>
      <c r="E139" s="188" t="n">
        <v>130123159718.198</v>
      </c>
      <c r="F139" s="188" t="n">
        <v>33030146385.7816</v>
      </c>
    </row>
    <row r="140" ht="15" customHeight="1" s="95">
      <c r="A140" s="143" t="n">
        <v>43604</v>
      </c>
      <c r="B140" s="94" t="n">
        <v>2019</v>
      </c>
      <c r="C140" s="94" t="inlineStr">
        <is>
          <t>2019-Q2</t>
        </is>
      </c>
      <c r="D140" s="186" t="n">
        <v>7300.65515834123</v>
      </c>
      <c r="E140" s="188" t="n">
        <v>129270047519.995</v>
      </c>
      <c r="F140" s="188" t="n">
        <v>22478772524.432</v>
      </c>
    </row>
    <row r="141" ht="15" customHeight="1" s="95">
      <c r="A141" s="143" t="n">
        <v>43605</v>
      </c>
      <c r="B141" s="94" t="n">
        <v>2019</v>
      </c>
      <c r="C141" s="94" t="inlineStr">
        <is>
          <t>2019-Q2</t>
        </is>
      </c>
      <c r="D141" s="186" t="n">
        <v>8168.73068978375</v>
      </c>
      <c r="E141" s="188" t="n">
        <v>144597541605.246</v>
      </c>
      <c r="F141" s="188" t="n">
        <v>30747684364.4558</v>
      </c>
    </row>
    <row r="142" ht="15" customHeight="1" s="95">
      <c r="A142" s="143" t="n">
        <v>43606</v>
      </c>
      <c r="B142" s="94" t="n">
        <v>2019</v>
      </c>
      <c r="C142" s="94" t="inlineStr">
        <is>
          <t>2019-Q2</t>
        </is>
      </c>
      <c r="D142" s="186" t="n">
        <v>7976.85171289963</v>
      </c>
      <c r="E142" s="188" t="n">
        <v>141109768386.168</v>
      </c>
      <c r="F142" s="188" t="n">
        <v>28621475467.7696</v>
      </c>
    </row>
    <row r="143" ht="15" customHeight="1" s="95">
      <c r="A143" s="143" t="n">
        <v>43607</v>
      </c>
      <c r="B143" s="94" t="n">
        <v>2019</v>
      </c>
      <c r="C143" s="94" t="inlineStr">
        <is>
          <t>2019-Q2</t>
        </is>
      </c>
      <c r="D143" s="186" t="n">
        <v>7958.36552607509</v>
      </c>
      <c r="E143" s="188" t="n">
        <v>141016653223.217</v>
      </c>
      <c r="F143" s="188" t="n">
        <v>25314342979.0473</v>
      </c>
    </row>
    <row r="144" ht="15" customHeight="1" s="95">
      <c r="A144" s="143" t="n">
        <v>43608</v>
      </c>
      <c r="B144" s="94" t="n">
        <v>2019</v>
      </c>
      <c r="C144" s="94" t="inlineStr">
        <is>
          <t>2019-Q2</t>
        </is>
      </c>
      <c r="D144" s="186" t="n">
        <v>7665.79685383355</v>
      </c>
      <c r="E144" s="188" t="n">
        <v>135913068220.79</v>
      </c>
      <c r="F144" s="188" t="n">
        <v>24589881451.3953</v>
      </c>
    </row>
    <row r="145" ht="15" customHeight="1" s="95">
      <c r="A145" s="143" t="n">
        <v>43609</v>
      </c>
      <c r="B145" s="94" t="n">
        <v>2019</v>
      </c>
      <c r="C145" s="94" t="inlineStr">
        <is>
          <t>2019-Q2</t>
        </is>
      </c>
      <c r="D145" s="186" t="n">
        <v>7861.81279246545</v>
      </c>
      <c r="E145" s="188" t="n">
        <v>139495233992.329</v>
      </c>
      <c r="F145" s="188" t="n">
        <v>25345060242.5916</v>
      </c>
    </row>
    <row r="146" ht="15" customHeight="1" s="95">
      <c r="A146" s="143" t="n">
        <v>43610</v>
      </c>
      <c r="B146" s="94" t="n">
        <v>2019</v>
      </c>
      <c r="C146" s="94" t="inlineStr">
        <is>
          <t>2019-Q2</t>
        </is>
      </c>
      <c r="D146" s="186" t="n">
        <v>7977.24488246797</v>
      </c>
      <c r="E146" s="188" t="n">
        <v>141356836449.394</v>
      </c>
      <c r="F146" s="188" t="n">
        <v>27368459147.1986</v>
      </c>
    </row>
    <row r="147" ht="15" customHeight="1" s="95">
      <c r="A147" s="143" t="n">
        <v>43611</v>
      </c>
      <c r="B147" s="94" t="n">
        <v>2019</v>
      </c>
      <c r="C147" s="94" t="inlineStr">
        <is>
          <t>2019-Q2</t>
        </is>
      </c>
      <c r="D147" s="186" t="n">
        <v>8037.62743186058</v>
      </c>
      <c r="E147" s="188" t="n">
        <v>142301375408.952</v>
      </c>
      <c r="F147" s="188" t="n">
        <v>23978335158.4849</v>
      </c>
    </row>
    <row r="148" ht="15" customHeight="1" s="95">
      <c r="A148" s="143" t="n">
        <v>43612</v>
      </c>
      <c r="B148" s="94" t="n">
        <v>2019</v>
      </c>
      <c r="C148" s="94" t="inlineStr">
        <is>
          <t>2019-Q2</t>
        </is>
      </c>
      <c r="D148" s="186" t="n">
        <v>8631.080577844021</v>
      </c>
      <c r="E148" s="188" t="n">
        <v>152778982387.801</v>
      </c>
      <c r="F148" s="188" t="n">
        <v>29224396883.3716</v>
      </c>
    </row>
    <row r="149" ht="15" customHeight="1" s="95">
      <c r="A149" s="143" t="n">
        <v>43613</v>
      </c>
      <c r="B149" s="94" t="n">
        <v>2019</v>
      </c>
      <c r="C149" s="94" t="inlineStr">
        <is>
          <t>2019-Q2</t>
        </is>
      </c>
      <c r="D149" s="186" t="n">
        <v>8816.03391493351</v>
      </c>
      <c r="E149" s="188" t="n">
        <v>156351517828.839</v>
      </c>
      <c r="F149" s="188" t="n">
        <v>33136840741.2636</v>
      </c>
    </row>
    <row r="150" ht="15" customHeight="1" s="95">
      <c r="A150" s="143" t="n">
        <v>43614</v>
      </c>
      <c r="B150" s="94" t="n">
        <v>2019</v>
      </c>
      <c r="C150" s="94" t="inlineStr">
        <is>
          <t>2019-Q2</t>
        </is>
      </c>
      <c r="D150" s="186" t="n">
        <v>8726.978110456401</v>
      </c>
      <c r="E150" s="188" t="n">
        <v>154706420284.546</v>
      </c>
      <c r="F150" s="188" t="n">
        <v>27335990651.1503</v>
      </c>
    </row>
    <row r="151" ht="15" customHeight="1" s="95">
      <c r="A151" s="143" t="n">
        <v>43615</v>
      </c>
      <c r="B151" s="94" t="n">
        <v>2019</v>
      </c>
      <c r="C151" s="94" t="inlineStr">
        <is>
          <t>2019-Q2</t>
        </is>
      </c>
      <c r="D151" s="186" t="n">
        <v>8650.67740596829</v>
      </c>
      <c r="E151" s="188" t="n">
        <v>153190671229.786</v>
      </c>
      <c r="F151" s="188" t="n">
        <v>28214892246.8248</v>
      </c>
    </row>
    <row r="152" ht="15" customHeight="1" s="95">
      <c r="A152" s="143" t="n">
        <v>43616</v>
      </c>
      <c r="B152" s="94" t="n">
        <v>2019</v>
      </c>
      <c r="C152" s="94" t="inlineStr">
        <is>
          <t>2019-Q2</t>
        </is>
      </c>
      <c r="D152" s="186" t="n">
        <v>8310.891063057419</v>
      </c>
      <c r="E152" s="188" t="n">
        <v>147528939419.422</v>
      </c>
      <c r="F152" s="188" t="n">
        <v>33295240431.3568</v>
      </c>
    </row>
    <row r="153" ht="15" customHeight="1" s="95">
      <c r="A153" s="143" t="n">
        <v>43617</v>
      </c>
      <c r="B153" s="94" t="n">
        <v>2019</v>
      </c>
      <c r="C153" s="94" t="inlineStr">
        <is>
          <t>2019-Q2</t>
        </is>
      </c>
      <c r="D153" s="186" t="n">
        <v>8575.64635335417</v>
      </c>
      <c r="E153" s="188" t="n">
        <v>152037344606.209</v>
      </c>
      <c r="F153" s="188" t="n">
        <v>30329343188.8107</v>
      </c>
    </row>
    <row r="154" ht="15" customHeight="1" s="95">
      <c r="A154" s="143" t="n">
        <v>43618</v>
      </c>
      <c r="B154" s="94" t="n">
        <v>2019</v>
      </c>
      <c r="C154" s="94" t="inlineStr">
        <is>
          <t>2019-Q2</t>
        </is>
      </c>
      <c r="D154" s="186" t="n">
        <v>8554.26172809202</v>
      </c>
      <c r="E154" s="188" t="n">
        <v>151754429106.145</v>
      </c>
      <c r="F154" s="188" t="n">
        <v>26683797989.8599</v>
      </c>
    </row>
    <row r="155" ht="15" customHeight="1" s="95">
      <c r="A155" s="143" t="n">
        <v>43619</v>
      </c>
      <c r="B155" s="94" t="n">
        <v>2019</v>
      </c>
      <c r="C155" s="94" t="inlineStr">
        <is>
          <t>2019-Q2</t>
        </is>
      </c>
      <c r="D155" s="186" t="n">
        <v>8743.70546913424</v>
      </c>
      <c r="E155" s="188" t="n">
        <v>155008799790.325</v>
      </c>
      <c r="F155" s="188" t="n">
        <v>25133975363.2613</v>
      </c>
    </row>
    <row r="156" ht="15" customHeight="1" s="95">
      <c r="A156" s="143" t="n">
        <v>43620</v>
      </c>
      <c r="B156" s="94" t="n">
        <v>2019</v>
      </c>
      <c r="C156" s="94" t="inlineStr">
        <is>
          <t>2019-Q2</t>
        </is>
      </c>
      <c r="D156" s="186" t="n">
        <v>8173.63276179674</v>
      </c>
      <c r="E156" s="188" t="n">
        <v>145118113641.654</v>
      </c>
      <c r="F156" s="188" t="n">
        <v>24486741553.2743</v>
      </c>
    </row>
    <row r="157" ht="15" customHeight="1" s="95">
      <c r="A157" s="143" t="n">
        <v>43621</v>
      </c>
      <c r="B157" s="94" t="n">
        <v>2019</v>
      </c>
      <c r="C157" s="94" t="inlineStr">
        <is>
          <t>2019-Q2</t>
        </is>
      </c>
      <c r="D157" s="186" t="n">
        <v>7683.63626141979</v>
      </c>
      <c r="E157" s="188" t="n">
        <v>136045887609.963</v>
      </c>
      <c r="F157" s="188" t="n">
        <v>25442100899.7476</v>
      </c>
    </row>
    <row r="158" ht="15" customHeight="1" s="95">
      <c r="A158" s="143" t="n">
        <v>43622</v>
      </c>
      <c r="B158" s="94" t="n">
        <v>2019</v>
      </c>
      <c r="C158" s="94" t="inlineStr">
        <is>
          <t>2019-Q2</t>
        </is>
      </c>
      <c r="D158" s="186" t="n">
        <v>7812.44885473215</v>
      </c>
      <c r="E158" s="188" t="n">
        <v>138590833268.102</v>
      </c>
      <c r="F158" s="188" t="n">
        <v>24641673547.4773</v>
      </c>
    </row>
    <row r="159" ht="15" customHeight="1" s="95">
      <c r="A159" s="143" t="n">
        <v>43623</v>
      </c>
      <c r="B159" s="94" t="n">
        <v>2019</v>
      </c>
      <c r="C159" s="94" t="inlineStr">
        <is>
          <t>2019-Q2</t>
        </is>
      </c>
      <c r="D159" s="186" t="n">
        <v>7821.12389709486</v>
      </c>
      <c r="E159" s="188" t="n">
        <v>138816674700.54</v>
      </c>
      <c r="F159" s="188" t="n">
        <v>24560046377.8253</v>
      </c>
    </row>
    <row r="160" ht="15" customHeight="1" s="95">
      <c r="A160" s="143" t="n">
        <v>43624</v>
      </c>
      <c r="B160" s="94" t="n">
        <v>2019</v>
      </c>
      <c r="C160" s="94" t="inlineStr">
        <is>
          <t>2019-Q2</t>
        </is>
      </c>
      <c r="D160" s="186" t="n">
        <v>8036.10815912222</v>
      </c>
      <c r="E160" s="188" t="n">
        <v>142810130543.305</v>
      </c>
      <c r="F160" s="188" t="n">
        <v>23629265497.415</v>
      </c>
    </row>
    <row r="161" ht="15" customHeight="1" s="95">
      <c r="A161" s="143" t="n">
        <v>43625</v>
      </c>
      <c r="B161" s="94" t="n">
        <v>2019</v>
      </c>
      <c r="C161" s="94" t="inlineStr">
        <is>
          <t>2019-Q2</t>
        </is>
      </c>
      <c r="D161" s="186" t="n">
        <v>7942.53928406429</v>
      </c>
      <c r="E161" s="188" t="n">
        <v>140990840427.821</v>
      </c>
      <c r="F161" s="188" t="n">
        <v>19829877310.7078</v>
      </c>
    </row>
    <row r="162" ht="15" customHeight="1" s="95">
      <c r="A162" s="143" t="n">
        <v>43626</v>
      </c>
      <c r="B162" s="94" t="n">
        <v>2019</v>
      </c>
      <c r="C162" s="94" t="inlineStr">
        <is>
          <t>2019-Q2</t>
        </is>
      </c>
      <c r="D162" s="186" t="n">
        <v>7668.02962786018</v>
      </c>
      <c r="E162" s="188" t="n">
        <v>136055336062.273</v>
      </c>
      <c r="F162" s="188" t="n">
        <v>20152037017.9227</v>
      </c>
    </row>
    <row r="163" ht="15" customHeight="1" s="95">
      <c r="A163" s="143" t="n">
        <v>43627</v>
      </c>
      <c r="B163" s="94" t="n">
        <v>2019</v>
      </c>
      <c r="C163" s="94" t="inlineStr">
        <is>
          <t>2019-Q2</t>
        </is>
      </c>
      <c r="D163" s="186" t="n">
        <v>8002.72998289405</v>
      </c>
      <c r="E163" s="188" t="n">
        <v>141925422733.434</v>
      </c>
      <c r="F163" s="188" t="n">
        <v>21741587787.8651</v>
      </c>
    </row>
    <row r="164" ht="15" customHeight="1" s="95">
      <c r="A164" s="143" t="n">
        <v>43628</v>
      </c>
      <c r="B164" s="94" t="n">
        <v>2019</v>
      </c>
      <c r="C164" s="94" t="inlineStr">
        <is>
          <t>2019-Q2</t>
        </is>
      </c>
      <c r="D164" s="186" t="n">
        <v>7897.97547659836</v>
      </c>
      <c r="E164" s="188" t="n">
        <v>140220553937.846</v>
      </c>
      <c r="F164" s="188" t="n">
        <v>21017248550.2967</v>
      </c>
    </row>
    <row r="165" ht="15" customHeight="1" s="95">
      <c r="A165" s="143" t="n">
        <v>43629</v>
      </c>
      <c r="B165" s="94" t="n">
        <v>2019</v>
      </c>
      <c r="C165" s="94" t="inlineStr">
        <is>
          <t>2019-Q2</t>
        </is>
      </c>
      <c r="D165" s="186" t="n">
        <v>8145.05909812096</v>
      </c>
      <c r="E165" s="188" t="n">
        <v>144409895371.77</v>
      </c>
      <c r="F165" s="188" t="n">
        <v>22181532883.4992</v>
      </c>
    </row>
    <row r="166" ht="15" customHeight="1" s="95">
      <c r="A166" s="143" t="n">
        <v>43630</v>
      </c>
      <c r="B166" s="94" t="n">
        <v>2019</v>
      </c>
      <c r="C166" s="94" t="inlineStr">
        <is>
          <t>2019-Q2</t>
        </is>
      </c>
      <c r="D166" s="186" t="n">
        <v>8227.6257255909</v>
      </c>
      <c r="E166" s="188" t="n">
        <v>145982200973.586</v>
      </c>
      <c r="F166" s="188" t="n">
        <v>22919390183.8397</v>
      </c>
    </row>
    <row r="167" ht="15" customHeight="1" s="95">
      <c r="A167" s="143" t="n">
        <v>43631</v>
      </c>
      <c r="B167" s="94" t="n">
        <v>2019</v>
      </c>
      <c r="C167" s="94" t="inlineStr">
        <is>
          <t>2019-Q2</t>
        </is>
      </c>
      <c r="D167" s="186" t="n">
        <v>8671.505388660789</v>
      </c>
      <c r="E167" s="188" t="n">
        <v>154448670610.873</v>
      </c>
      <c r="F167" s="188" t="n">
        <v>23291543613.4256</v>
      </c>
    </row>
    <row r="168" ht="15" customHeight="1" s="95">
      <c r="A168" s="143" t="n">
        <v>43632</v>
      </c>
      <c r="B168" s="94" t="n">
        <v>2019</v>
      </c>
      <c r="C168" s="94" t="inlineStr">
        <is>
          <t>2019-Q2</t>
        </is>
      </c>
      <c r="D168" s="186" t="n">
        <v>8818.6095069323</v>
      </c>
      <c r="E168" s="188" t="n">
        <v>156571955413.469</v>
      </c>
      <c r="F168" s="188" t="n">
        <v>21892878336.7853</v>
      </c>
    </row>
    <row r="169" ht="15" customHeight="1" s="95">
      <c r="A169" s="143" t="n">
        <v>43633</v>
      </c>
      <c r="B169" s="94" t="n">
        <v>2019</v>
      </c>
      <c r="C169" s="94" t="inlineStr">
        <is>
          <t>2019-Q2</t>
        </is>
      </c>
      <c r="D169" s="186" t="n">
        <v>8978.77258780693</v>
      </c>
      <c r="E169" s="188" t="n">
        <v>159990740760.349</v>
      </c>
      <c r="F169" s="188" t="n">
        <v>27305637341.2811</v>
      </c>
    </row>
    <row r="170" ht="15" customHeight="1" s="95">
      <c r="A170" s="143" t="n">
        <v>43634</v>
      </c>
      <c r="B170" s="94" t="n">
        <v>2019</v>
      </c>
      <c r="C170" s="94" t="inlineStr">
        <is>
          <t>2019-Q2</t>
        </is>
      </c>
      <c r="D170" s="186" t="n">
        <v>9312.86829480871</v>
      </c>
      <c r="E170" s="188" t="n">
        <v>165478791606.027</v>
      </c>
      <c r="F170" s="188" t="n">
        <v>27464356714.4035</v>
      </c>
    </row>
    <row r="171" ht="15" customHeight="1" s="95">
      <c r="A171" s="143" t="n">
        <v>43635</v>
      </c>
      <c r="B171" s="94" t="n">
        <v>2019</v>
      </c>
      <c r="C171" s="94" t="inlineStr">
        <is>
          <t>2019-Q2</t>
        </is>
      </c>
      <c r="D171" s="186" t="n">
        <v>9094.021746079219</v>
      </c>
      <c r="E171" s="188" t="n">
        <v>161689176435.316</v>
      </c>
      <c r="F171" s="188" t="n">
        <v>25029522786.9119</v>
      </c>
    </row>
    <row r="172" ht="15" customHeight="1" s="95">
      <c r="A172" s="143" t="n">
        <v>43636</v>
      </c>
      <c r="B172" s="94" t="n">
        <v>2019</v>
      </c>
      <c r="C172" s="94" t="inlineStr">
        <is>
          <t>2019-Q2</t>
        </is>
      </c>
      <c r="D172" s="186" t="n">
        <v>9285.928674251471</v>
      </c>
      <c r="E172" s="188" t="n">
        <v>164856060873.058</v>
      </c>
      <c r="F172" s="188" t="n">
        <v>22298101529.4608</v>
      </c>
    </row>
    <row r="173" ht="15" customHeight="1" s="95">
      <c r="A173" s="143" t="n">
        <v>43637</v>
      </c>
      <c r="B173" s="94" t="n">
        <v>2019</v>
      </c>
      <c r="C173" s="94" t="inlineStr">
        <is>
          <t>2019-Q2</t>
        </is>
      </c>
      <c r="D173" s="186" t="n">
        <v>9548.31456526146</v>
      </c>
      <c r="E173" s="188" t="n">
        <v>169961289184.548</v>
      </c>
      <c r="F173" s="188" t="n">
        <v>24707058599.12</v>
      </c>
    </row>
    <row r="174" ht="15" customHeight="1" s="95">
      <c r="A174" s="143" t="n">
        <v>43638</v>
      </c>
      <c r="B174" s="94" t="n">
        <v>2019</v>
      </c>
      <c r="C174" s="94" t="inlineStr">
        <is>
          <t>2019-Q2</t>
        </is>
      </c>
      <c r="D174" s="186" t="n">
        <v>10118.3594556269</v>
      </c>
      <c r="E174" s="188" t="n">
        <v>179686819951.07</v>
      </c>
      <c r="F174" s="188" t="n">
        <v>28580960082.6178</v>
      </c>
    </row>
    <row r="175" ht="15" customHeight="1" s="95">
      <c r="A175" s="143" t="n">
        <v>43639</v>
      </c>
      <c r="B175" s="94" t="n">
        <v>2019</v>
      </c>
      <c r="C175" s="94" t="inlineStr">
        <is>
          <t>2019-Q2</t>
        </is>
      </c>
      <c r="D175" s="186" t="n">
        <v>10704.9221481157</v>
      </c>
      <c r="E175" s="188" t="n">
        <v>190271555704.103</v>
      </c>
      <c r="F175" s="188" t="n">
        <v>40190146696.5642</v>
      </c>
    </row>
    <row r="176" ht="15" customHeight="1" s="95">
      <c r="A176" s="143" t="n">
        <v>43640</v>
      </c>
      <c r="B176" s="94" t="n">
        <v>2019</v>
      </c>
      <c r="C176" s="94" t="inlineStr">
        <is>
          <t>2019-Q2</t>
        </is>
      </c>
      <c r="D176" s="186" t="n">
        <v>10846.1250996477</v>
      </c>
      <c r="E176" s="188" t="n">
        <v>193006026351.064</v>
      </c>
      <c r="F176" s="188" t="n">
        <v>29108428088.3638</v>
      </c>
    </row>
    <row r="177" ht="15" customHeight="1" s="95">
      <c r="A177" s="143" t="n">
        <v>43641</v>
      </c>
      <c r="B177" s="94" t="n">
        <v>2019</v>
      </c>
      <c r="C177" s="94" t="inlineStr">
        <is>
          <t>2019-Q2</t>
        </is>
      </c>
      <c r="D177" s="186" t="n">
        <v>11045.5504198148</v>
      </c>
      <c r="E177" s="188" t="n">
        <v>196224565118.845</v>
      </c>
      <c r="F177" s="188" t="n">
        <v>27529761440.9896</v>
      </c>
    </row>
    <row r="178" ht="15" customHeight="1" s="95">
      <c r="A178" s="143" t="n">
        <v>43642</v>
      </c>
      <c r="B178" s="94" t="n">
        <v>2019</v>
      </c>
      <c r="C178" s="94" t="inlineStr">
        <is>
          <t>2019-Q2</t>
        </is>
      </c>
      <c r="D178" s="186" t="n">
        <v>11808.4199040759</v>
      </c>
      <c r="E178" s="188" t="n">
        <v>209906767119.216</v>
      </c>
      <c r="F178" s="188" t="n">
        <v>33544426408.4594</v>
      </c>
    </row>
    <row r="179" ht="15" customHeight="1" s="95">
      <c r="A179" s="143" t="n">
        <v>43643</v>
      </c>
      <c r="B179" s="94" t="n">
        <v>2019</v>
      </c>
      <c r="C179" s="94" t="inlineStr">
        <is>
          <t>2019-Q2</t>
        </is>
      </c>
      <c r="D179" s="186" t="n">
        <v>12996.1243427887</v>
      </c>
      <c r="E179" s="188" t="n">
        <v>231104555834.965</v>
      </c>
      <c r="F179" s="188" t="n">
        <v>56948964491.4655</v>
      </c>
    </row>
    <row r="180" ht="15" customHeight="1" s="95">
      <c r="A180" s="143" t="n">
        <v>43644</v>
      </c>
      <c r="B180" s="94" t="n">
        <v>2019</v>
      </c>
      <c r="C180" s="94" t="inlineStr">
        <is>
          <t>2019-Q2</t>
        </is>
      </c>
      <c r="D180" s="186" t="n">
        <v>11178.6829981865</v>
      </c>
      <c r="E180" s="188" t="n">
        <v>198805331511.723</v>
      </c>
      <c r="F180" s="188" t="n">
        <v>49628524363.005</v>
      </c>
    </row>
    <row r="181" ht="15" customHeight="1" s="95">
      <c r="A181" s="143" t="n">
        <v>43645</v>
      </c>
      <c r="B181" s="94" t="n">
        <v>2019</v>
      </c>
      <c r="C181" s="94" t="inlineStr">
        <is>
          <t>2019-Q2</t>
        </is>
      </c>
      <c r="D181" s="186" t="n">
        <v>12352.1968659127</v>
      </c>
      <c r="E181" s="188" t="n">
        <v>219700496726.026</v>
      </c>
      <c r="F181" s="188" t="n">
        <v>44872003180.5463</v>
      </c>
    </row>
    <row r="182" ht="15" customHeight="1" s="95">
      <c r="A182" s="143" t="n">
        <v>43646</v>
      </c>
      <c r="B182" s="94" t="n">
        <v>2019</v>
      </c>
      <c r="C182" s="94" t="inlineStr">
        <is>
          <t>2019-Q2</t>
        </is>
      </c>
      <c r="D182" s="186" t="n">
        <v>11972.5556672209</v>
      </c>
      <c r="E182" s="188" t="n">
        <v>213020899675.13</v>
      </c>
      <c r="F182" s="188" t="n">
        <v>37724824506.9275</v>
      </c>
    </row>
    <row r="183" ht="15" customHeight="1" s="95">
      <c r="A183" s="143" t="n">
        <v>43647</v>
      </c>
      <c r="B183" s="94" t="n">
        <v>2019</v>
      </c>
      <c r="C183" s="94" t="inlineStr">
        <is>
          <t>2019-Q3</t>
        </is>
      </c>
      <c r="D183" s="186" t="n">
        <v>10888.0971816797</v>
      </c>
      <c r="E183" s="188" t="n">
        <v>193705059813.928</v>
      </c>
      <c r="F183" s="188" t="n">
        <v>34920211165.4048</v>
      </c>
    </row>
    <row r="184" ht="15" customHeight="1" s="95">
      <c r="A184" s="143" t="n">
        <v>43648</v>
      </c>
      <c r="B184" s="94" t="n">
        <v>2019</v>
      </c>
      <c r="C184" s="94" t="inlineStr">
        <is>
          <t>2019-Q3</t>
        </is>
      </c>
      <c r="D184" s="186" t="n">
        <v>10639.0462922321</v>
      </c>
      <c r="E184" s="188" t="n">
        <v>189075622551.363</v>
      </c>
      <c r="F184" s="188" t="n">
        <v>37463414436.6303</v>
      </c>
    </row>
    <row r="185" ht="15" customHeight="1" s="95">
      <c r="A185" s="143" t="n">
        <v>43649</v>
      </c>
      <c r="B185" s="94" t="n">
        <v>2019</v>
      </c>
      <c r="C185" s="94" t="inlineStr">
        <is>
          <t>2019-Q3</t>
        </is>
      </c>
      <c r="D185" s="186" t="n">
        <v>10822.7641783764</v>
      </c>
      <c r="E185" s="188" t="n">
        <v>191741802293.98</v>
      </c>
      <c r="F185" s="188" t="n">
        <v>39264695559.4057</v>
      </c>
    </row>
    <row r="186" ht="15" customHeight="1" s="95">
      <c r="A186" s="143" t="n">
        <v>43650</v>
      </c>
      <c r="B186" s="94" t="n">
        <v>2019</v>
      </c>
      <c r="C186" s="94" t="inlineStr">
        <is>
          <t>2019-Q3</t>
        </is>
      </c>
      <c r="D186" s="186" t="n">
        <v>11975.6373938188</v>
      </c>
      <c r="E186" s="188" t="n">
        <v>213139916541.648</v>
      </c>
      <c r="F186" s="188" t="n">
        <v>39944515601.673</v>
      </c>
    </row>
    <row r="187" ht="15" customHeight="1" s="95">
      <c r="A187" s="143" t="n">
        <v>43651</v>
      </c>
      <c r="B187" s="94" t="n">
        <v>2019</v>
      </c>
      <c r="C187" s="94" t="inlineStr">
        <is>
          <t>2019-Q3</t>
        </is>
      </c>
      <c r="D187" s="186" t="n">
        <v>11229.6056191249</v>
      </c>
      <c r="E187" s="188" t="n">
        <v>199869428146.841</v>
      </c>
      <c r="F187" s="188" t="n">
        <v>32487314999.6642</v>
      </c>
    </row>
    <row r="188" ht="15" customHeight="1" s="95">
      <c r="A188" s="143" t="n">
        <v>43652</v>
      </c>
      <c r="B188" s="94" t="n">
        <v>2019</v>
      </c>
      <c r="C188" s="94" t="inlineStr">
        <is>
          <t>2019-Q3</t>
        </is>
      </c>
      <c r="D188" s="186" t="n">
        <v>10987.2488562147</v>
      </c>
      <c r="E188" s="188" t="n">
        <v>195514947598.015</v>
      </c>
      <c r="F188" s="188" t="n">
        <v>31349147296.8411</v>
      </c>
    </row>
    <row r="189" ht="15" customHeight="1" s="95">
      <c r="A189" s="143" t="n">
        <v>43653</v>
      </c>
      <c r="B189" s="94" t="n">
        <v>2019</v>
      </c>
      <c r="C189" s="94" t="inlineStr">
        <is>
          <t>2019-Q3</t>
        </is>
      </c>
      <c r="D189" s="186" t="n">
        <v>11279.4763776724</v>
      </c>
      <c r="E189" s="188" t="n">
        <v>200989208002.572</v>
      </c>
      <c r="F189" s="188" t="n">
        <v>28013279880.5907</v>
      </c>
    </row>
    <row r="190" ht="15" customHeight="1" s="95">
      <c r="A190" s="143" t="n">
        <v>43654</v>
      </c>
      <c r="B190" s="94" t="n">
        <v>2019</v>
      </c>
      <c r="C190" s="94" t="inlineStr">
        <is>
          <t>2019-Q3</t>
        </is>
      </c>
      <c r="D190" s="186" t="n">
        <v>11436.4307469239</v>
      </c>
      <c r="E190" s="188" t="n">
        <v>203441013269.873</v>
      </c>
      <c r="F190" s="188" t="n">
        <v>25828700446.9478</v>
      </c>
    </row>
    <row r="191" ht="15" customHeight="1" s="95">
      <c r="A191" s="143" t="n">
        <v>43655</v>
      </c>
      <c r="B191" s="94" t="n">
        <v>2019</v>
      </c>
      <c r="C191" s="94" t="inlineStr">
        <is>
          <t>2019-Q3</t>
        </is>
      </c>
      <c r="D191" s="186" t="n">
        <v>12260.2826978726</v>
      </c>
      <c r="E191" s="188" t="n">
        <v>217909027168.133</v>
      </c>
      <c r="F191" s="188" t="n">
        <v>30917398835.9889</v>
      </c>
    </row>
    <row r="192" ht="15" customHeight="1" s="95">
      <c r="A192" s="143" t="n">
        <v>43656</v>
      </c>
      <c r="B192" s="94" t="n">
        <v>2019</v>
      </c>
      <c r="C192" s="94" t="inlineStr">
        <is>
          <t>2019-Q3</t>
        </is>
      </c>
      <c r="D192" s="186" t="n">
        <v>12544.1672617092</v>
      </c>
      <c r="E192" s="188" t="n">
        <v>223082925042.628</v>
      </c>
      <c r="F192" s="188" t="n">
        <v>35885342263.0427</v>
      </c>
    </row>
    <row r="193" ht="15" customHeight="1" s="95">
      <c r="A193" s="143" t="n">
        <v>43657</v>
      </c>
      <c r="B193" s="94" t="n">
        <v>2019</v>
      </c>
      <c r="C193" s="94" t="inlineStr">
        <is>
          <t>2019-Q3</t>
        </is>
      </c>
      <c r="D193" s="186" t="n">
        <v>12166.3982888686</v>
      </c>
      <c r="E193" s="188" t="n">
        <v>216918064309.909</v>
      </c>
      <c r="F193" s="188" t="n">
        <v>42163626088.1624</v>
      </c>
    </row>
    <row r="194" ht="15" customHeight="1" s="95">
      <c r="A194" s="143" t="n">
        <v>43658</v>
      </c>
      <c r="B194" s="94" t="n">
        <v>2019</v>
      </c>
      <c r="C194" s="94" t="inlineStr">
        <is>
          <t>2019-Q3</t>
        </is>
      </c>
      <c r="D194" s="186" t="n">
        <v>11385.0604905645</v>
      </c>
      <c r="E194" s="188" t="n">
        <v>202244103401.214</v>
      </c>
      <c r="F194" s="188" t="n">
        <v>37061858272.5272</v>
      </c>
    </row>
    <row r="195" ht="15" customHeight="1" s="95">
      <c r="A195" s="143" t="n">
        <v>43659</v>
      </c>
      <c r="B195" s="94" t="n">
        <v>2019</v>
      </c>
      <c r="C195" s="94" t="inlineStr">
        <is>
          <t>2019-Q3</t>
        </is>
      </c>
      <c r="D195" s="186" t="n">
        <v>11804.5627939055</v>
      </c>
      <c r="E195" s="188" t="n">
        <v>210058300503.645</v>
      </c>
      <c r="F195" s="188" t="n">
        <v>30078548879.9307</v>
      </c>
    </row>
    <row r="196" ht="15" customHeight="1" s="95">
      <c r="A196" s="143" t="n">
        <v>43660</v>
      </c>
      <c r="B196" s="94" t="n">
        <v>2019</v>
      </c>
      <c r="C196" s="94" t="inlineStr">
        <is>
          <t>2019-Q3</t>
        </is>
      </c>
      <c r="D196" s="186" t="n">
        <v>11418.5118554915</v>
      </c>
      <c r="E196" s="188" t="n">
        <v>202979011731.303</v>
      </c>
      <c r="F196" s="188" t="n">
        <v>28485045772.4438</v>
      </c>
    </row>
    <row r="197" ht="15" customHeight="1" s="95">
      <c r="A197" s="143" t="n">
        <v>43661</v>
      </c>
      <c r="B197" s="94" t="n">
        <v>2019</v>
      </c>
      <c r="C197" s="94" t="inlineStr">
        <is>
          <t>2019-Q3</t>
        </is>
      </c>
      <c r="D197" s="186" t="n">
        <v>10285.4611090669</v>
      </c>
      <c r="E197" s="188" t="n">
        <v>183265698057.305</v>
      </c>
      <c r="F197" s="188" t="n">
        <v>29857566850.9917</v>
      </c>
    </row>
    <row r="198" ht="15" customHeight="1" s="95">
      <c r="A198" s="143" t="n">
        <v>43662</v>
      </c>
      <c r="B198" s="94" t="n">
        <v>2019</v>
      </c>
      <c r="C198" s="94" t="inlineStr">
        <is>
          <t>2019-Q3</t>
        </is>
      </c>
      <c r="D198" s="186" t="n">
        <v>10911.3451583096</v>
      </c>
      <c r="E198" s="188" t="n">
        <v>195225460386.136</v>
      </c>
      <c r="F198" s="188" t="n">
        <v>37553147017.3278</v>
      </c>
    </row>
    <row r="199" ht="15" customHeight="1" s="95">
      <c r="A199" s="143" t="n">
        <v>43663</v>
      </c>
      <c r="B199" s="94" t="n">
        <v>2019</v>
      </c>
      <c r="C199" s="94" t="inlineStr">
        <is>
          <t>2019-Q3</t>
        </is>
      </c>
      <c r="D199" s="186" t="n">
        <v>9538.82712424387</v>
      </c>
      <c r="E199" s="188" t="n">
        <v>170100385848.084</v>
      </c>
      <c r="F199" s="188" t="n">
        <v>34409824868.7393</v>
      </c>
    </row>
    <row r="200" ht="15" customHeight="1" s="95">
      <c r="A200" s="143" t="n">
        <v>43664</v>
      </c>
      <c r="B200" s="94" t="n">
        <v>2019</v>
      </c>
      <c r="C200" s="94" t="inlineStr">
        <is>
          <t>2019-Q3</t>
        </is>
      </c>
      <c r="D200" s="186" t="n">
        <v>9657.30310131907</v>
      </c>
      <c r="E200" s="188" t="n">
        <v>172236725014.411</v>
      </c>
      <c r="F200" s="188" t="n">
        <v>33328381504.6166</v>
      </c>
    </row>
    <row r="201" ht="15" customHeight="1" s="95">
      <c r="A201" s="143" t="n">
        <v>43665</v>
      </c>
      <c r="B201" s="94" t="n">
        <v>2019</v>
      </c>
      <c r="C201" s="94" t="inlineStr">
        <is>
          <t>2019-Q3</t>
        </is>
      </c>
      <c r="D201" s="186" t="n">
        <v>10636.1557283607</v>
      </c>
      <c r="E201" s="188" t="n">
        <v>189588944050.242</v>
      </c>
      <c r="F201" s="188" t="n">
        <v>34034952895.2317</v>
      </c>
    </row>
    <row r="202" ht="15" customHeight="1" s="95">
      <c r="A202" s="143" t="n">
        <v>43666</v>
      </c>
      <c r="B202" s="94" t="n">
        <v>2019</v>
      </c>
      <c r="C202" s="94" t="inlineStr">
        <is>
          <t>2019-Q3</t>
        </is>
      </c>
      <c r="D202" s="186" t="n">
        <v>10536.5658495761</v>
      </c>
      <c r="E202" s="188" t="n">
        <v>187718958960.578</v>
      </c>
      <c r="F202" s="188" t="n">
        <v>28858600367.9899</v>
      </c>
    </row>
    <row r="203" ht="15" customHeight="1" s="95">
      <c r="A203" s="143" t="n">
        <v>43667</v>
      </c>
      <c r="B203" s="94" t="n">
        <v>2019</v>
      </c>
      <c r="C203" s="94" t="inlineStr">
        <is>
          <t>2019-Q3</t>
        </is>
      </c>
      <c r="D203" s="186" t="n">
        <v>10774.2811376339</v>
      </c>
      <c r="E203" s="188" t="n">
        <v>190839615019.195</v>
      </c>
      <c r="F203" s="188" t="n">
        <v>26163874235.1363</v>
      </c>
    </row>
    <row r="204" ht="15" customHeight="1" s="95">
      <c r="A204" s="143" t="n">
        <v>43668</v>
      </c>
      <c r="B204" s="94" t="n">
        <v>2019</v>
      </c>
      <c r="C204" s="94" t="inlineStr">
        <is>
          <t>2019-Q3</t>
        </is>
      </c>
      <c r="D204" s="186" t="n">
        <v>10607.4635607021</v>
      </c>
      <c r="E204" s="188" t="n">
        <v>189302289398</v>
      </c>
      <c r="F204" s="188" t="n">
        <v>22814710058.303</v>
      </c>
    </row>
    <row r="205" ht="15" customHeight="1" s="95">
      <c r="A205" s="143" t="n">
        <v>43669</v>
      </c>
      <c r="B205" s="94" t="n">
        <v>2019</v>
      </c>
      <c r="C205" s="94" t="inlineStr">
        <is>
          <t>2019-Q3</t>
        </is>
      </c>
      <c r="D205" s="186" t="n">
        <v>10343.3181395984</v>
      </c>
      <c r="E205" s="188" t="n">
        <v>184582963699.302</v>
      </c>
      <c r="F205" s="188" t="n">
        <v>21903683695.2552</v>
      </c>
    </row>
    <row r="206" ht="15" customHeight="1" s="95">
      <c r="A206" s="143" t="n">
        <v>43670</v>
      </c>
      <c r="B206" s="94" t="n">
        <v>2019</v>
      </c>
      <c r="C206" s="94" t="inlineStr">
        <is>
          <t>2019-Q3</t>
        </is>
      </c>
      <c r="D206" s="186" t="n">
        <v>9936.380762347029</v>
      </c>
      <c r="E206" s="188" t="n">
        <v>177060329754.314</v>
      </c>
      <c r="F206" s="188" t="n">
        <v>22986552398.1529</v>
      </c>
    </row>
    <row r="207" ht="15" customHeight="1" s="95">
      <c r="A207" s="143" t="n">
        <v>43671</v>
      </c>
      <c r="B207" s="94" t="n">
        <v>2019</v>
      </c>
      <c r="C207" s="94" t="inlineStr">
        <is>
          <t>2019-Q3</t>
        </is>
      </c>
      <c r="D207" s="186" t="n">
        <v>9799.306312967939</v>
      </c>
      <c r="E207" s="188" t="n">
        <v>175298806837.899</v>
      </c>
      <c r="F207" s="188" t="n">
        <v>33861034798.8304</v>
      </c>
    </row>
    <row r="208" ht="15" customHeight="1" s="95">
      <c r="A208" s="143" t="n">
        <v>43672</v>
      </c>
      <c r="B208" s="94" t="n">
        <v>2019</v>
      </c>
      <c r="C208" s="94" t="inlineStr">
        <is>
          <t>2019-Q3</t>
        </is>
      </c>
      <c r="D208" s="186" t="n">
        <v>9878.231932911151</v>
      </c>
      <c r="E208" s="188" t="n">
        <v>176569486287.931</v>
      </c>
      <c r="F208" s="188" t="n">
        <v>21622492404.3219</v>
      </c>
    </row>
    <row r="209" ht="15" customHeight="1" s="95">
      <c r="A209" s="143" t="n">
        <v>43673</v>
      </c>
      <c r="B209" s="94" t="n">
        <v>2019</v>
      </c>
      <c r="C209" s="94" t="inlineStr">
        <is>
          <t>2019-Q3</t>
        </is>
      </c>
      <c r="D209" s="186" t="n">
        <v>9845.9994470785</v>
      </c>
      <c r="E209" s="188" t="n">
        <v>175634298896.935</v>
      </c>
      <c r="F209" s="188" t="n">
        <v>19942172080.9222</v>
      </c>
    </row>
    <row r="210" ht="15" customHeight="1" s="95">
      <c r="A210" s="143" t="n">
        <v>43674</v>
      </c>
      <c r="B210" s="94" t="n">
        <v>2019</v>
      </c>
      <c r="C210" s="94" t="inlineStr">
        <is>
          <t>2019-Q3</t>
        </is>
      </c>
      <c r="D210" s="186" t="n">
        <v>9447.67840141331</v>
      </c>
      <c r="E210" s="188" t="n">
        <v>168472890623.837</v>
      </c>
      <c r="F210" s="188" t="n">
        <v>21257664351.4712</v>
      </c>
    </row>
    <row r="211" ht="15" customHeight="1" s="95">
      <c r="A211" s="143" t="n">
        <v>43675</v>
      </c>
      <c r="B211" s="94" t="n">
        <v>2019</v>
      </c>
      <c r="C211" s="94" t="inlineStr">
        <is>
          <t>2019-Q3</t>
        </is>
      </c>
      <c r="D211" s="186" t="n">
        <v>9534.75542683323</v>
      </c>
      <c r="E211" s="188" t="n">
        <v>170325673262.385</v>
      </c>
      <c r="F211" s="188" t="n">
        <v>18649152592.7214</v>
      </c>
    </row>
    <row r="212" ht="15" customHeight="1" s="95">
      <c r="A212" s="143" t="n">
        <v>43676</v>
      </c>
      <c r="B212" s="94" t="n">
        <v>2019</v>
      </c>
      <c r="C212" s="94" t="inlineStr">
        <is>
          <t>2019-Q3</t>
        </is>
      </c>
      <c r="D212" s="186" t="n">
        <v>9510.59355218165</v>
      </c>
      <c r="E212" s="188" t="n">
        <v>169247002246.278</v>
      </c>
      <c r="F212" s="188" t="n">
        <v>18424113909.5043</v>
      </c>
    </row>
    <row r="213" ht="15" customHeight="1" s="95">
      <c r="A213" s="143" t="n">
        <v>43677</v>
      </c>
      <c r="B213" s="94" t="n">
        <v>2019</v>
      </c>
      <c r="C213" s="94" t="inlineStr">
        <is>
          <t>2019-Q3</t>
        </is>
      </c>
      <c r="D213" s="186" t="n">
        <v>9568.43745216432</v>
      </c>
      <c r="E213" s="188" t="n">
        <v>170790961770.582</v>
      </c>
      <c r="F213" s="188" t="n">
        <v>20138691741.0841</v>
      </c>
    </row>
    <row r="214" ht="15" customHeight="1" s="95">
      <c r="A214" s="143" t="n">
        <v>43678</v>
      </c>
      <c r="B214" s="94" t="n">
        <v>2019</v>
      </c>
      <c r="C214" s="94" t="inlineStr">
        <is>
          <t>2019-Q3</t>
        </is>
      </c>
      <c r="D214" s="186" t="n">
        <v>10062.9962856633</v>
      </c>
      <c r="E214" s="188" t="n">
        <v>179525433372.044</v>
      </c>
      <c r="F214" s="188" t="n">
        <v>22957330875.7139</v>
      </c>
    </row>
    <row r="215" ht="15" customHeight="1" s="95">
      <c r="A215" s="143" t="n">
        <v>43679</v>
      </c>
      <c r="B215" s="94" t="n">
        <v>2019</v>
      </c>
      <c r="C215" s="94" t="inlineStr">
        <is>
          <t>2019-Q3</t>
        </is>
      </c>
      <c r="D215" s="186" t="n">
        <v>10361.3120000807</v>
      </c>
      <c r="E215" s="188" t="n">
        <v>185025579624.96</v>
      </c>
      <c r="F215" s="188" t="n">
        <v>23668036460.1226</v>
      </c>
    </row>
    <row r="216" ht="15" customHeight="1" s="95">
      <c r="A216" s="143" t="n">
        <v>43680</v>
      </c>
      <c r="B216" s="94" t="n">
        <v>2019</v>
      </c>
      <c r="C216" s="94" t="inlineStr">
        <is>
          <t>2019-Q3</t>
        </is>
      </c>
      <c r="D216" s="186" t="n">
        <v>10529.1719074276</v>
      </c>
      <c r="E216" s="188" t="n">
        <v>187993708173.329</v>
      </c>
      <c r="F216" s="188" t="n">
        <v>24128945574.5786</v>
      </c>
    </row>
    <row r="217" ht="15" customHeight="1" s="95">
      <c r="A217" s="143" t="n">
        <v>43681</v>
      </c>
      <c r="B217" s="94" t="n">
        <v>2019</v>
      </c>
      <c r="C217" s="94" t="inlineStr">
        <is>
          <t>2019-Q3</t>
        </is>
      </c>
      <c r="D217" s="186" t="n">
        <v>10791.200523159</v>
      </c>
      <c r="E217" s="188" t="n">
        <v>192658484290.18</v>
      </c>
      <c r="F217" s="188" t="n">
        <v>22296222952.5098</v>
      </c>
    </row>
    <row r="218" ht="15" customHeight="1" s="95">
      <c r="A218" s="143" t="n">
        <v>43682</v>
      </c>
      <c r="B218" s="94" t="n">
        <v>2019</v>
      </c>
      <c r="C218" s="94" t="inlineStr">
        <is>
          <t>2019-Q3</t>
        </is>
      </c>
      <c r="D218" s="186" t="n">
        <v>10951.5938348401</v>
      </c>
      <c r="E218" s="188" t="n">
        <v>195575205441.649</v>
      </c>
      <c r="F218" s="188" t="n">
        <v>23160251364.7594</v>
      </c>
    </row>
    <row r="219" ht="15" customHeight="1" s="95">
      <c r="A219" s="143" t="n">
        <v>43683</v>
      </c>
      <c r="B219" s="94" t="n">
        <v>2019</v>
      </c>
      <c r="C219" s="94" t="inlineStr">
        <is>
          <t>2019-Q3</t>
        </is>
      </c>
      <c r="D219" s="186" t="n">
        <v>11818.5255310661</v>
      </c>
      <c r="E219" s="188" t="n">
        <v>210831100251.75</v>
      </c>
      <c r="F219" s="188" t="n">
        <v>30944497414.3719</v>
      </c>
    </row>
    <row r="220" ht="15" customHeight="1" s="95">
      <c r="A220" s="143" t="n">
        <v>43684</v>
      </c>
      <c r="B220" s="94" t="n">
        <v>2019</v>
      </c>
      <c r="C220" s="94" t="inlineStr">
        <is>
          <t>2019-Q3</t>
        </is>
      </c>
      <c r="D220" s="186" t="n">
        <v>11510.16415473</v>
      </c>
      <c r="E220" s="188" t="n">
        <v>204493918413.868</v>
      </c>
      <c r="F220" s="188" t="n">
        <v>31588470767.8431</v>
      </c>
    </row>
    <row r="221" ht="15" customHeight="1" s="95">
      <c r="A221" s="143" t="n">
        <v>43685</v>
      </c>
      <c r="B221" s="94" t="n">
        <v>2019</v>
      </c>
      <c r="C221" s="94" t="inlineStr">
        <is>
          <t>2019-Q3</t>
        </is>
      </c>
      <c r="D221" s="186" t="n">
        <v>11970.657556452</v>
      </c>
      <c r="E221" s="188" t="n">
        <v>213446022648.575</v>
      </c>
      <c r="F221" s="188" t="n">
        <v>30083670251.8027</v>
      </c>
    </row>
    <row r="222" ht="15" customHeight="1" s="95">
      <c r="A222" s="143" t="n">
        <v>43686</v>
      </c>
      <c r="B222" s="94" t="n">
        <v>2019</v>
      </c>
      <c r="C222" s="94" t="inlineStr">
        <is>
          <t>2019-Q3</t>
        </is>
      </c>
      <c r="D222" s="186" t="n">
        <v>12024.3315709982</v>
      </c>
      <c r="E222" s="188" t="n">
        <v>214023992147.521</v>
      </c>
      <c r="F222" s="188" t="n">
        <v>26678574728.1354</v>
      </c>
    </row>
    <row r="223" ht="15" customHeight="1" s="95">
      <c r="A223" s="143" t="n">
        <v>43687</v>
      </c>
      <c r="B223" s="94" t="n">
        <v>2019</v>
      </c>
      <c r="C223" s="94" t="inlineStr">
        <is>
          <t>2019-Q3</t>
        </is>
      </c>
      <c r="D223" s="186" t="n">
        <v>11852.5616069955</v>
      </c>
      <c r="E223" s="188" t="n">
        <v>211775940827.033</v>
      </c>
      <c r="F223" s="188" t="n">
        <v>26240065034.9935</v>
      </c>
    </row>
    <row r="224" ht="15" customHeight="1" s="95">
      <c r="A224" s="143" t="n">
        <v>43688</v>
      </c>
      <c r="B224" s="94" t="n">
        <v>2019</v>
      </c>
      <c r="C224" s="94" t="inlineStr">
        <is>
          <t>2019-Q3</t>
        </is>
      </c>
      <c r="D224" s="186" t="n">
        <v>11327.8426422332</v>
      </c>
      <c r="E224" s="188" t="n">
        <v>202567916483.045</v>
      </c>
      <c r="F224" s="188" t="n">
        <v>24949094386.5128</v>
      </c>
    </row>
    <row r="225" ht="15" customHeight="1" s="95">
      <c r="A225" s="143" t="n">
        <v>43689</v>
      </c>
      <c r="B225" s="94" t="n">
        <v>2019</v>
      </c>
      <c r="C225" s="94" t="inlineStr">
        <is>
          <t>2019-Q3</t>
        </is>
      </c>
      <c r="D225" s="186" t="n">
        <v>11549.9983543225</v>
      </c>
      <c r="E225" s="188" t="n">
        <v>206323428608.198</v>
      </c>
      <c r="F225" s="188" t="n">
        <v>23042219585.4786</v>
      </c>
    </row>
    <row r="226" ht="15" customHeight="1" s="95">
      <c r="A226" s="143" t="n">
        <v>43690</v>
      </c>
      <c r="B226" s="94" t="n">
        <v>2019</v>
      </c>
      <c r="C226" s="94" t="inlineStr">
        <is>
          <t>2019-Q3</t>
        </is>
      </c>
      <c r="D226" s="186" t="n">
        <v>11381.2413556786</v>
      </c>
      <c r="E226" s="188" t="n">
        <v>203438784510.78</v>
      </c>
      <c r="F226" s="188" t="n">
        <v>19933740545.5565</v>
      </c>
    </row>
    <row r="227" ht="15" customHeight="1" s="95">
      <c r="A227" s="143" t="n">
        <v>43691</v>
      </c>
      <c r="B227" s="94" t="n">
        <v>2019</v>
      </c>
      <c r="C227" s="94" t="inlineStr">
        <is>
          <t>2019-Q3</t>
        </is>
      </c>
      <c r="D227" s="186" t="n">
        <v>10903.6549918801</v>
      </c>
      <c r="E227" s="188" t="n">
        <v>194716791550.168</v>
      </c>
      <c r="F227" s="188" t="n">
        <v>22886684527.8675</v>
      </c>
    </row>
    <row r="228" ht="15" customHeight="1" s="95">
      <c r="A228" s="143" t="n">
        <v>43692</v>
      </c>
      <c r="B228" s="94" t="n">
        <v>2019</v>
      </c>
      <c r="C228" s="94" t="inlineStr">
        <is>
          <t>2019-Q3</t>
        </is>
      </c>
      <c r="D228" s="186" t="n">
        <v>10016.2173892753</v>
      </c>
      <c r="E228" s="188" t="n">
        <v>178691691521.25</v>
      </c>
      <c r="F228" s="188" t="n">
        <v>26620934497.8541</v>
      </c>
    </row>
    <row r="229" ht="15" customHeight="1" s="95">
      <c r="A229" s="143" t="n">
        <v>43693</v>
      </c>
      <c r="B229" s="94" t="n">
        <v>2019</v>
      </c>
      <c r="C229" s="94" t="inlineStr">
        <is>
          <t>2019-Q3</t>
        </is>
      </c>
      <c r="D229" s="186" t="n">
        <v>10295.8771429096</v>
      </c>
      <c r="E229" s="188" t="n">
        <v>183808182261.63</v>
      </c>
      <c r="F229" s="188" t="n">
        <v>31003755661.5588</v>
      </c>
    </row>
    <row r="230" ht="15" customHeight="1" s="95">
      <c r="A230" s="143" t="n">
        <v>43694</v>
      </c>
      <c r="B230" s="94" t="n">
        <v>2019</v>
      </c>
      <c r="C230" s="94" t="inlineStr">
        <is>
          <t>2019-Q3</t>
        </is>
      </c>
      <c r="D230" s="186" t="n">
        <v>10324.9935974156</v>
      </c>
      <c r="E230" s="188" t="n">
        <v>184635409004.247</v>
      </c>
      <c r="F230" s="188" t="n">
        <v>28168163140.7521</v>
      </c>
    </row>
    <row r="231" ht="15" customHeight="1" s="95">
      <c r="A231" s="143" t="n">
        <v>43695</v>
      </c>
      <c r="B231" s="94" t="n">
        <v>2019</v>
      </c>
      <c r="C231" s="94" t="inlineStr">
        <is>
          <t>2019-Q3</t>
        </is>
      </c>
      <c r="D231" s="186" t="n">
        <v>10224.2187066339</v>
      </c>
      <c r="E231" s="188" t="n">
        <v>182893178091.066</v>
      </c>
      <c r="F231" s="188" t="n">
        <v>20998246406.6628</v>
      </c>
    </row>
    <row r="232" ht="15" customHeight="1" s="95">
      <c r="A232" s="143" t="n">
        <v>43696</v>
      </c>
      <c r="B232" s="94" t="n">
        <v>2019</v>
      </c>
      <c r="C232" s="94" t="inlineStr">
        <is>
          <t>2019-Q3</t>
        </is>
      </c>
      <c r="D232" s="186" t="n">
        <v>10309.8724359286</v>
      </c>
      <c r="E232" s="188" t="n">
        <v>184381498343.829</v>
      </c>
      <c r="F232" s="188" t="n">
        <v>19708814223.2402</v>
      </c>
    </row>
    <row r="233" ht="15" customHeight="1" s="95">
      <c r="A233" s="143" t="n">
        <v>43697</v>
      </c>
      <c r="B233" s="94" t="n">
        <v>2019</v>
      </c>
      <c r="C233" s="94" t="inlineStr">
        <is>
          <t>2019-Q3</t>
        </is>
      </c>
      <c r="D233" s="186" t="n">
        <v>10895.9718444292</v>
      </c>
      <c r="E233" s="188" t="n">
        <v>194884121164.643</v>
      </c>
      <c r="F233" s="188" t="n">
        <v>22097997941.5537</v>
      </c>
    </row>
    <row r="234" ht="15" customHeight="1" s="95">
      <c r="A234" s="143" t="n">
        <v>43698</v>
      </c>
      <c r="B234" s="94" t="n">
        <v>2019</v>
      </c>
      <c r="C234" s="94" t="inlineStr">
        <is>
          <t>2019-Q3</t>
        </is>
      </c>
      <c r="D234" s="186" t="n">
        <v>10743.7893133021</v>
      </c>
      <c r="E234" s="188" t="n">
        <v>192182485883.752</v>
      </c>
      <c r="F234" s="188" t="n">
        <v>19460170323.0146</v>
      </c>
    </row>
    <row r="235" ht="15" customHeight="1" s="95">
      <c r="A235" s="143" t="n">
        <v>43699</v>
      </c>
      <c r="B235" s="94" t="n">
        <v>2019</v>
      </c>
      <c r="C235" s="94" t="inlineStr">
        <is>
          <t>2019-Q3</t>
        </is>
      </c>
      <c r="D235" s="186" t="n">
        <v>10124.0582141689</v>
      </c>
      <c r="E235" s="188" t="n">
        <v>181094936743.768</v>
      </c>
      <c r="F235" s="188" t="n">
        <v>22757336326.1925</v>
      </c>
    </row>
    <row r="236" ht="15" customHeight="1" s="95">
      <c r="A236" s="143" t="n">
        <v>43700</v>
      </c>
      <c r="B236" s="94" t="n">
        <v>2019</v>
      </c>
      <c r="C236" s="94" t="inlineStr">
        <is>
          <t>2019-Q3</t>
        </is>
      </c>
      <c r="D236" s="186" t="n">
        <v>10127.7898576784</v>
      </c>
      <c r="E236" s="188" t="n">
        <v>181311699889.672</v>
      </c>
      <c r="F236" s="188" t="n">
        <v>20144228964.4731</v>
      </c>
    </row>
    <row r="237" ht="15" customHeight="1" s="95">
      <c r="A237" s="143" t="n">
        <v>43701</v>
      </c>
      <c r="B237" s="94" t="n">
        <v>2019</v>
      </c>
      <c r="C237" s="94" t="inlineStr">
        <is>
          <t>2019-Q3</t>
        </is>
      </c>
      <c r="D237" s="186" t="n">
        <v>10385.5090900339</v>
      </c>
      <c r="E237" s="188" t="n">
        <v>187878412535.863</v>
      </c>
      <c r="F237" s="188" t="n">
        <v>18313019852.7508</v>
      </c>
    </row>
    <row r="238" ht="15" customHeight="1" s="95">
      <c r="A238" s="143" t="n">
        <v>43702</v>
      </c>
      <c r="B238" s="94" t="n">
        <v>2019</v>
      </c>
      <c r="C238" s="94" t="inlineStr">
        <is>
          <t>2019-Q3</t>
        </is>
      </c>
      <c r="D238" s="186" t="n">
        <v>10145.012479707</v>
      </c>
      <c r="E238" s="188" t="n">
        <v>181764456091.202</v>
      </c>
      <c r="F238" s="188" t="n">
        <v>21187546608.0018</v>
      </c>
    </row>
    <row r="239" ht="15" customHeight="1" s="95">
      <c r="A239" s="143" t="n">
        <v>43703</v>
      </c>
      <c r="B239" s="94" t="n">
        <v>2019</v>
      </c>
      <c r="C239" s="94" t="inlineStr">
        <is>
          <t>2019-Q3</t>
        </is>
      </c>
      <c r="D239" s="186" t="n">
        <v>10090.061576031</v>
      </c>
      <c r="E239" s="188" t="n">
        <v>180491202154.333</v>
      </c>
      <c r="F239" s="188" t="n">
        <v>17899166778.0101</v>
      </c>
    </row>
    <row r="240" ht="15" customHeight="1" s="95">
      <c r="A240" s="143" t="n">
        <v>43704</v>
      </c>
      <c r="B240" s="94" t="n">
        <v>2019</v>
      </c>
      <c r="C240" s="94" t="inlineStr">
        <is>
          <t>2019-Q3</t>
        </is>
      </c>
      <c r="D240" s="186" t="n">
        <v>10334.9118544713</v>
      </c>
      <c r="E240" s="188" t="n">
        <v>184989701185.553</v>
      </c>
      <c r="F240" s="188" t="n">
        <v>23392461462.6059</v>
      </c>
    </row>
    <row r="241" ht="15" customHeight="1" s="95">
      <c r="A241" s="143" t="n">
        <v>43705</v>
      </c>
      <c r="B241" s="94" t="n">
        <v>2019</v>
      </c>
      <c r="C241" s="94" t="inlineStr">
        <is>
          <t>2019-Q3</t>
        </is>
      </c>
      <c r="D241" s="186" t="n">
        <v>10167.8893900203</v>
      </c>
      <c r="E241" s="188" t="n">
        <v>181891056658.032</v>
      </c>
      <c r="F241" s="188" t="n">
        <v>20937236587.0267</v>
      </c>
    </row>
    <row r="242" ht="15" customHeight="1" s="95">
      <c r="A242" s="143" t="n">
        <v>43706</v>
      </c>
      <c r="B242" s="94" t="n">
        <v>2019</v>
      </c>
      <c r="C242" s="94" t="inlineStr">
        <is>
          <t>2019-Q3</t>
        </is>
      </c>
      <c r="D242" s="186" t="n">
        <v>9753.48704889705</v>
      </c>
      <c r="E242" s="188" t="n">
        <v>174174790993.24</v>
      </c>
      <c r="F242" s="188" t="n">
        <v>22948105441.5709</v>
      </c>
    </row>
    <row r="243" ht="15" customHeight="1" s="95">
      <c r="A243" s="143" t="n">
        <v>43707</v>
      </c>
      <c r="B243" s="94" t="n">
        <v>2019</v>
      </c>
      <c r="C243" s="94" t="inlineStr">
        <is>
          <t>2019-Q3</t>
        </is>
      </c>
      <c r="D243" s="186" t="n">
        <v>9485.14142378076</v>
      </c>
      <c r="E243" s="188" t="n">
        <v>169825879929.637</v>
      </c>
      <c r="F243" s="188" t="n">
        <v>20461661030.3937</v>
      </c>
    </row>
    <row r="244" ht="15" customHeight="1" s="95">
      <c r="A244" s="143" t="n">
        <v>43708</v>
      </c>
      <c r="B244" s="94" t="n">
        <v>2019</v>
      </c>
      <c r="C244" s="94" t="inlineStr">
        <is>
          <t>2019-Q3</t>
        </is>
      </c>
      <c r="D244" s="186" t="n">
        <v>9588.987502058149</v>
      </c>
      <c r="E244" s="188" t="n">
        <v>171703455568.171</v>
      </c>
      <c r="F244" s="188" t="n">
        <v>16388578393.608</v>
      </c>
    </row>
    <row r="245" ht="15" customHeight="1" s="95">
      <c r="A245" s="143" t="n">
        <v>43709</v>
      </c>
      <c r="B245" s="94" t="n">
        <v>2019</v>
      </c>
      <c r="C245" s="94" t="inlineStr">
        <is>
          <t>2019-Q3</t>
        </is>
      </c>
      <c r="D245" s="186" t="n">
        <v>9607.289264302581</v>
      </c>
      <c r="E245" s="188" t="n">
        <v>172069023390.102</v>
      </c>
      <c r="F245" s="188" t="n">
        <v>15364904438.8648</v>
      </c>
    </row>
    <row r="246" ht="15" customHeight="1" s="95">
      <c r="A246" s="143" t="n">
        <v>43710</v>
      </c>
      <c r="B246" s="94" t="n">
        <v>2019</v>
      </c>
      <c r="C246" s="94" t="inlineStr">
        <is>
          <t>2019-Q3</t>
        </is>
      </c>
      <c r="D246" s="186" t="n">
        <v>9729.26623186781</v>
      </c>
      <c r="E246" s="188" t="n">
        <v>174169160998.934</v>
      </c>
      <c r="F246" s="188" t="n">
        <v>15003447441.308</v>
      </c>
    </row>
    <row r="247" ht="15" customHeight="1" s="95">
      <c r="A247" s="143" t="n">
        <v>43711</v>
      </c>
      <c r="B247" s="94" t="n">
        <v>2019</v>
      </c>
      <c r="C247" s="94" t="inlineStr">
        <is>
          <t>2019-Q3</t>
        </is>
      </c>
      <c r="D247" s="186" t="n">
        <v>10323.0226603781</v>
      </c>
      <c r="E247" s="188" t="n">
        <v>184367332385.843</v>
      </c>
      <c r="F247" s="188" t="n">
        <v>20258697359.1237</v>
      </c>
    </row>
    <row r="248" ht="15" customHeight="1" s="95">
      <c r="A248" s="143" t="n">
        <v>43712</v>
      </c>
      <c r="B248" s="94" t="n">
        <v>2019</v>
      </c>
      <c r="C248" s="94" t="inlineStr">
        <is>
          <t>2019-Q3</t>
        </is>
      </c>
      <c r="D248" s="186" t="n">
        <v>10620.1651893569</v>
      </c>
      <c r="E248" s="188" t="n">
        <v>190297653628.604</v>
      </c>
      <c r="F248" s="188" t="n">
        <v>23588848898.3165</v>
      </c>
    </row>
    <row r="249" ht="15" customHeight="1" s="95">
      <c r="A249" s="143" t="n">
        <v>43713</v>
      </c>
      <c r="B249" s="94" t="n">
        <v>2019</v>
      </c>
      <c r="C249" s="94" t="inlineStr">
        <is>
          <t>2019-Q3</t>
        </is>
      </c>
      <c r="D249" s="186" t="n">
        <v>10573.5151790279</v>
      </c>
      <c r="E249" s="188" t="n">
        <v>189378108188.93</v>
      </c>
      <c r="F249" s="188" t="n">
        <v>21198071664.6622</v>
      </c>
    </row>
    <row r="250" ht="15" customHeight="1" s="95">
      <c r="A250" s="143" t="n">
        <v>43714</v>
      </c>
      <c r="B250" s="94" t="n">
        <v>2019</v>
      </c>
      <c r="C250" s="94" t="inlineStr">
        <is>
          <t>2019-Q3</t>
        </is>
      </c>
      <c r="D250" s="186" t="n">
        <v>10570.2499407862</v>
      </c>
      <c r="E250" s="188" t="n">
        <v>189354988380.255</v>
      </c>
      <c r="F250" s="188" t="n">
        <v>18952591605.0508</v>
      </c>
    </row>
    <row r="251" ht="15" customHeight="1" s="95">
      <c r="A251" s="143" t="n">
        <v>43715</v>
      </c>
      <c r="B251" s="94" t="n">
        <v>2019</v>
      </c>
      <c r="C251" s="94" t="inlineStr">
        <is>
          <t>2019-Q3</t>
        </is>
      </c>
      <c r="D251" s="186" t="n">
        <v>10350.7483257172</v>
      </c>
      <c r="E251" s="188" t="n">
        <v>185513074361.892</v>
      </c>
      <c r="F251" s="188" t="n">
        <v>23555216964.1564</v>
      </c>
    </row>
    <row r="252" ht="15" customHeight="1" s="95">
      <c r="A252" s="143" t="n">
        <v>43716</v>
      </c>
      <c r="B252" s="94" t="n">
        <v>2019</v>
      </c>
      <c r="C252" s="94" t="inlineStr">
        <is>
          <t>2019-Q3</t>
        </is>
      </c>
      <c r="D252" s="186" t="n">
        <v>10461.5477312024</v>
      </c>
      <c r="E252" s="188" t="n">
        <v>187490153206.33</v>
      </c>
      <c r="F252" s="188" t="n">
        <v>18658457493.7489</v>
      </c>
    </row>
    <row r="253" ht="15" customHeight="1" s="95">
      <c r="A253" s="143" t="n">
        <v>43717</v>
      </c>
      <c r="B253" s="94" t="n">
        <v>2019</v>
      </c>
      <c r="C253" s="94" t="inlineStr">
        <is>
          <t>2019-Q3</t>
        </is>
      </c>
      <c r="D253" s="186" t="n">
        <v>10404.333900446</v>
      </c>
      <c r="E253" s="188" t="n">
        <v>186487925900.296</v>
      </c>
      <c r="F253" s="188" t="n">
        <v>16804085431.1597</v>
      </c>
    </row>
    <row r="254" ht="15" customHeight="1" s="95">
      <c r="A254" s="143" t="n">
        <v>43718</v>
      </c>
      <c r="B254" s="94" t="n">
        <v>2019</v>
      </c>
      <c r="C254" s="94" t="inlineStr">
        <is>
          <t>2019-Q3</t>
        </is>
      </c>
      <c r="D254" s="186" t="n">
        <v>10321.9316135258</v>
      </c>
      <c r="E254" s="188" t="n">
        <v>185101736449.479</v>
      </c>
      <c r="F254" s="188" t="n">
        <v>21012460993.6568</v>
      </c>
    </row>
    <row r="255" ht="15" customHeight="1" s="95">
      <c r="A255" s="143" t="n">
        <v>43719</v>
      </c>
      <c r="B255" s="94" t="n">
        <v>2019</v>
      </c>
      <c r="C255" s="94" t="inlineStr">
        <is>
          <t>2019-Q3</t>
        </is>
      </c>
      <c r="D255" s="186" t="n">
        <v>10121.1022972143</v>
      </c>
      <c r="E255" s="188" t="n">
        <v>181228983504.871</v>
      </c>
      <c r="F255" s="188" t="n">
        <v>17425806760.6617</v>
      </c>
    </row>
    <row r="256" ht="15" customHeight="1" s="95">
      <c r="A256" s="143" t="n">
        <v>43720</v>
      </c>
      <c r="B256" s="94" t="n">
        <v>2019</v>
      </c>
      <c r="C256" s="94" t="inlineStr">
        <is>
          <t>2019-Q3</t>
        </is>
      </c>
      <c r="D256" s="186" t="n">
        <v>10150.7100236371</v>
      </c>
      <c r="E256" s="188" t="n">
        <v>182006412816.342</v>
      </c>
      <c r="F256" s="188" t="n">
        <v>19989784060.8021</v>
      </c>
    </row>
    <row r="257" ht="15" customHeight="1" s="95">
      <c r="A257" s="143" t="n">
        <v>43721</v>
      </c>
      <c r="B257" s="94" t="n">
        <v>2019</v>
      </c>
      <c r="C257" s="94" t="inlineStr">
        <is>
          <t>2019-Q3</t>
        </is>
      </c>
      <c r="D257" s="186" t="n">
        <v>10401.3199193422</v>
      </c>
      <c r="E257" s="188" t="n">
        <v>186490286819.086</v>
      </c>
      <c r="F257" s="188" t="n">
        <v>17986804176.9415</v>
      </c>
    </row>
    <row r="258" ht="15" customHeight="1" s="95">
      <c r="A258" s="143" t="n">
        <v>43722</v>
      </c>
      <c r="B258" s="94" t="n">
        <v>2019</v>
      </c>
      <c r="C258" s="94" t="inlineStr">
        <is>
          <t>2019-Q3</t>
        </is>
      </c>
      <c r="D258" s="186" t="n">
        <v>10355.62689862</v>
      </c>
      <c r="E258" s="188" t="n">
        <v>185791118116.526</v>
      </c>
      <c r="F258" s="188" t="n">
        <v>16650634275.9245</v>
      </c>
    </row>
    <row r="259" ht="15" customHeight="1" s="95">
      <c r="A259" s="143" t="n">
        <v>43723</v>
      </c>
      <c r="B259" s="94" t="n">
        <v>2019</v>
      </c>
      <c r="C259" s="94" t="inlineStr">
        <is>
          <t>2019-Q3</t>
        </is>
      </c>
      <c r="D259" s="186" t="n">
        <v>10349.5519582318</v>
      </c>
      <c r="E259" s="188" t="n">
        <v>185709926005.056</v>
      </c>
      <c r="F259" s="188" t="n">
        <v>16529697331.0775</v>
      </c>
    </row>
    <row r="260" ht="15" customHeight="1" s="95">
      <c r="A260" s="143" t="n">
        <v>43724</v>
      </c>
      <c r="B260" s="94" t="n">
        <v>2019</v>
      </c>
      <c r="C260" s="94" t="inlineStr">
        <is>
          <t>2019-Q3</t>
        </is>
      </c>
      <c r="D260" s="186" t="n">
        <v>10305.675020157</v>
      </c>
      <c r="E260" s="188" t="n">
        <v>184860740267.845</v>
      </c>
      <c r="F260" s="188" t="n">
        <v>13781855194.2745</v>
      </c>
    </row>
    <row r="261" ht="15" customHeight="1" s="95">
      <c r="A261" s="143" t="n">
        <v>43725</v>
      </c>
      <c r="B261" s="94" t="n">
        <v>2019</v>
      </c>
      <c r="C261" s="94" t="inlineStr">
        <is>
          <t>2019-Q3</t>
        </is>
      </c>
      <c r="D261" s="186" t="n">
        <v>10268.4216968822</v>
      </c>
      <c r="E261" s="188" t="n">
        <v>184216635305.296</v>
      </c>
      <c r="F261" s="188" t="n">
        <v>17580630287.9539</v>
      </c>
    </row>
    <row r="262" ht="15" customHeight="1" s="95">
      <c r="A262" s="143" t="n">
        <v>43726</v>
      </c>
      <c r="B262" s="94" t="n">
        <v>2019</v>
      </c>
      <c r="C262" s="94" t="inlineStr">
        <is>
          <t>2019-Q3</t>
        </is>
      </c>
      <c r="D262" s="186" t="n">
        <v>10203.0710468162</v>
      </c>
      <c r="E262" s="188" t="n">
        <v>183148194810.272</v>
      </c>
      <c r="F262" s="188" t="n">
        <v>17279102873.1521</v>
      </c>
    </row>
    <row r="263" ht="15" customHeight="1" s="95">
      <c r="A263" s="143" t="n">
        <v>43727</v>
      </c>
      <c r="B263" s="94" t="n">
        <v>2019</v>
      </c>
      <c r="C263" s="94" t="inlineStr">
        <is>
          <t>2019-Q3</t>
        </is>
      </c>
      <c r="D263" s="186" t="n">
        <v>10158.8545173761</v>
      </c>
      <c r="E263" s="188" t="n">
        <v>182304851001.815</v>
      </c>
      <c r="F263" s="188" t="n">
        <v>18848349197.546</v>
      </c>
    </row>
    <row r="264" ht="15" customHeight="1" s="95">
      <c r="A264" s="143" t="n">
        <v>43728</v>
      </c>
      <c r="B264" s="94" t="n">
        <v>2019</v>
      </c>
      <c r="C264" s="94" t="inlineStr">
        <is>
          <t>2019-Q3</t>
        </is>
      </c>
      <c r="D264" s="186" t="n">
        <v>10253.2323746803</v>
      </c>
      <c r="E264" s="188" t="n">
        <v>183793185092.943</v>
      </c>
      <c r="F264" s="188" t="n">
        <v>23532550737.7606</v>
      </c>
    </row>
    <row r="265" ht="15" customHeight="1" s="95">
      <c r="A265" s="143" t="n">
        <v>43729</v>
      </c>
      <c r="B265" s="94" t="n">
        <v>2019</v>
      </c>
      <c r="C265" s="94" t="inlineStr">
        <is>
          <t>2019-Q3</t>
        </is>
      </c>
      <c r="D265" s="186" t="n">
        <v>10178.4425726982</v>
      </c>
      <c r="E265" s="188" t="n">
        <v>182621118150.382</v>
      </c>
      <c r="F265" s="188" t="n">
        <v>17281137871.7928</v>
      </c>
    </row>
    <row r="266" ht="15" customHeight="1" s="95">
      <c r="A266" s="143" t="n">
        <v>43730</v>
      </c>
      <c r="B266" s="94" t="n">
        <v>2019</v>
      </c>
      <c r="C266" s="94" t="inlineStr">
        <is>
          <t>2019-Q3</t>
        </is>
      </c>
      <c r="D266" s="186" t="n">
        <v>9997.19988781678</v>
      </c>
      <c r="E266" s="188" t="n">
        <v>179541584400.574</v>
      </c>
      <c r="F266" s="188" t="n">
        <v>15973816316.0635</v>
      </c>
    </row>
    <row r="267" ht="15" customHeight="1" s="95">
      <c r="A267" s="143" t="n">
        <v>43731</v>
      </c>
      <c r="B267" s="94" t="n">
        <v>2019</v>
      </c>
      <c r="C267" s="94" t="inlineStr">
        <is>
          <t>2019-Q3</t>
        </is>
      </c>
      <c r="D267" s="186" t="n">
        <v>10041.3042006249</v>
      </c>
      <c r="E267" s="188" t="n">
        <v>180261864537.874</v>
      </c>
      <c r="F267" s="188" t="n">
        <v>16268084726.8931</v>
      </c>
    </row>
    <row r="268" ht="15" customHeight="1" s="95">
      <c r="A268" s="143" t="n">
        <v>43732</v>
      </c>
      <c r="B268" s="94" t="n">
        <v>2019</v>
      </c>
      <c r="C268" s="94" t="inlineStr">
        <is>
          <t>2019-Q3</t>
        </is>
      </c>
      <c r="D268" s="186" t="n">
        <v>9699.504938095961</v>
      </c>
      <c r="E268" s="188" t="n">
        <v>174073117682.947</v>
      </c>
      <c r="F268" s="188" t="n">
        <v>17797331461.8632</v>
      </c>
    </row>
    <row r="269" ht="15" customHeight="1" s="95">
      <c r="A269" s="143" t="n">
        <v>43733</v>
      </c>
      <c r="B269" s="94" t="n">
        <v>2019</v>
      </c>
      <c r="C269" s="94" t="inlineStr">
        <is>
          <t>2019-Q3</t>
        </is>
      </c>
      <c r="D269" s="186" t="n">
        <v>8702.713528026239</v>
      </c>
      <c r="E269" s="188" t="n">
        <v>158225996381.237</v>
      </c>
      <c r="F269" s="188" t="n">
        <v>27762368999.1487</v>
      </c>
    </row>
    <row r="270" ht="15" customHeight="1" s="95">
      <c r="A270" s="143" t="n">
        <v>43734</v>
      </c>
      <c r="B270" s="94" t="n">
        <v>2019</v>
      </c>
      <c r="C270" s="94" t="inlineStr">
        <is>
          <t>2019-Q3</t>
        </is>
      </c>
      <c r="D270" s="186" t="n">
        <v>8446.24411554853</v>
      </c>
      <c r="E270" s="188" t="n">
        <v>151968918856.479</v>
      </c>
      <c r="F270" s="188" t="n">
        <v>25000732108.2125</v>
      </c>
    </row>
    <row r="271" ht="15" customHeight="1" s="95">
      <c r="A271" s="143" t="n">
        <v>43735</v>
      </c>
      <c r="B271" s="94" t="n">
        <v>2019</v>
      </c>
      <c r="C271" s="94" t="inlineStr">
        <is>
          <t>2019-Q3</t>
        </is>
      </c>
      <c r="D271" s="186" t="n">
        <v>8098.80982048931</v>
      </c>
      <c r="E271" s="188" t="n">
        <v>145450672156.796</v>
      </c>
      <c r="F271" s="188" t="n">
        <v>22627889543.8224</v>
      </c>
    </row>
    <row r="272" ht="15" customHeight="1" s="95">
      <c r="A272" s="143" t="n">
        <v>43736</v>
      </c>
      <c r="B272" s="94" t="n">
        <v>2019</v>
      </c>
      <c r="C272" s="94" t="inlineStr">
        <is>
          <t>2019-Q3</t>
        </is>
      </c>
      <c r="D272" s="186" t="n">
        <v>8183.48234756703</v>
      </c>
      <c r="E272" s="188" t="n">
        <v>147034755881.784</v>
      </c>
      <c r="F272" s="188" t="n">
        <v>19755414533.4721</v>
      </c>
    </row>
    <row r="273" ht="15" customHeight="1" s="95">
      <c r="A273" s="143" t="n">
        <v>43737</v>
      </c>
      <c r="B273" s="94" t="n">
        <v>2019</v>
      </c>
      <c r="C273" s="94" t="inlineStr">
        <is>
          <t>2019-Q3</t>
        </is>
      </c>
      <c r="D273" s="186" t="n">
        <v>8225.110371851921</v>
      </c>
      <c r="E273" s="188" t="n">
        <v>147518938470.125</v>
      </c>
      <c r="F273" s="188" t="n">
        <v>17936691398.4113</v>
      </c>
    </row>
    <row r="274" ht="15" customHeight="1" s="95">
      <c r="A274" s="143" t="n">
        <v>43738</v>
      </c>
      <c r="B274" s="94" t="n">
        <v>2019</v>
      </c>
      <c r="C274" s="94" t="inlineStr">
        <is>
          <t>2019-Q3</t>
        </is>
      </c>
      <c r="D274" s="186" t="n">
        <v>8064.38098338527</v>
      </c>
      <c r="E274" s="188" t="n">
        <v>144886125387.557</v>
      </c>
      <c r="F274" s="188" t="n">
        <v>16673592219.8841</v>
      </c>
    </row>
    <row r="275" ht="15" customHeight="1" s="95">
      <c r="A275" s="143" t="n">
        <v>43739</v>
      </c>
      <c r="B275" s="94" t="n">
        <v>2019</v>
      </c>
      <c r="C275" s="94" t="inlineStr">
        <is>
          <t>2019-Q4</t>
        </is>
      </c>
      <c r="D275" s="186" t="n">
        <v>8271.29085546536</v>
      </c>
      <c r="E275" s="188" t="n">
        <v>148699326425.139</v>
      </c>
      <c r="F275" s="188" t="n">
        <v>21681424234.6807</v>
      </c>
    </row>
    <row r="276" ht="15" customHeight="1" s="95">
      <c r="A276" s="143" t="n">
        <v>43740</v>
      </c>
      <c r="B276" s="94" t="n">
        <v>2019</v>
      </c>
      <c r="C276" s="94" t="inlineStr">
        <is>
          <t>2019-Q4</t>
        </is>
      </c>
      <c r="D276" s="186" t="n">
        <v>8366.503905663571</v>
      </c>
      <c r="E276" s="188" t="n">
        <v>150346803070.614</v>
      </c>
      <c r="F276" s="188" t="n">
        <v>17832872037.1166</v>
      </c>
    </row>
    <row r="277" ht="15" customHeight="1" s="95">
      <c r="A277" s="143" t="n">
        <v>43741</v>
      </c>
      <c r="B277" s="94" t="n">
        <v>2019</v>
      </c>
      <c r="C277" s="94" t="inlineStr">
        <is>
          <t>2019-Q4</t>
        </is>
      </c>
      <c r="D277" s="186" t="n">
        <v>8350.132163242941</v>
      </c>
      <c r="E277" s="188" t="n">
        <v>150093691781.893</v>
      </c>
      <c r="F277" s="188" t="n">
        <v>17676173879.1488</v>
      </c>
    </row>
    <row r="278" ht="15" customHeight="1" s="95">
      <c r="A278" s="143" t="n">
        <v>43742</v>
      </c>
      <c r="B278" s="94" t="n">
        <v>2019</v>
      </c>
      <c r="C278" s="94" t="inlineStr">
        <is>
          <t>2019-Q4</t>
        </is>
      </c>
      <c r="D278" s="186" t="n">
        <v>8176.35467940658</v>
      </c>
      <c r="E278" s="188" t="n">
        <v>146959035399.772</v>
      </c>
      <c r="F278" s="188" t="n">
        <v>17383555314.2769</v>
      </c>
    </row>
    <row r="279" ht="15" customHeight="1" s="95">
      <c r="A279" s="143" t="n">
        <v>43743</v>
      </c>
      <c r="B279" s="94" t="n">
        <v>2019</v>
      </c>
      <c r="C279" s="94" t="inlineStr">
        <is>
          <t>2019-Q4</t>
        </is>
      </c>
      <c r="D279" s="186" t="n">
        <v>8156.51955384096</v>
      </c>
      <c r="E279" s="188" t="n">
        <v>146603545122.073</v>
      </c>
      <c r="F279" s="188" t="n">
        <v>16931274118.1278</v>
      </c>
    </row>
    <row r="280" ht="15" customHeight="1" s="95">
      <c r="A280" s="143" t="n">
        <v>43744</v>
      </c>
      <c r="B280" s="94" t="n">
        <v>2019</v>
      </c>
      <c r="C280" s="94" t="inlineStr">
        <is>
          <t>2019-Q4</t>
        </is>
      </c>
      <c r="D280" s="186" t="n">
        <v>8140.24248426843</v>
      </c>
      <c r="E280" s="188" t="n">
        <v>146326858013.436</v>
      </c>
      <c r="F280" s="188" t="n">
        <v>16751341177.8003</v>
      </c>
    </row>
    <row r="281" ht="15" customHeight="1" s="95">
      <c r="A281" s="143" t="n">
        <v>43745</v>
      </c>
      <c r="B281" s="94" t="n">
        <v>2019</v>
      </c>
      <c r="C281" s="94" t="inlineStr">
        <is>
          <t>2019-Q4</t>
        </is>
      </c>
      <c r="D281" s="186" t="n">
        <v>7890.23434986466</v>
      </c>
      <c r="E281" s="188" t="n">
        <v>141846566055.101</v>
      </c>
      <c r="F281" s="188" t="n">
        <v>16860212059.0761</v>
      </c>
    </row>
    <row r="282" ht="15" customHeight="1" s="95">
      <c r="A282" s="143" t="n">
        <v>43746</v>
      </c>
      <c r="B282" s="94" t="n">
        <v>2019</v>
      </c>
      <c r="C282" s="94" t="inlineStr">
        <is>
          <t>2019-Q4</t>
        </is>
      </c>
      <c r="D282" s="186" t="n">
        <v>8182.25159308419</v>
      </c>
      <c r="E282" s="188" t="n">
        <v>147113201630.437</v>
      </c>
      <c r="F282" s="188" t="n">
        <v>21702135918.5127</v>
      </c>
    </row>
    <row r="283" ht="15" customHeight="1" s="95">
      <c r="A283" s="143" t="n">
        <v>43747</v>
      </c>
      <c r="B283" s="94" t="n">
        <v>2019</v>
      </c>
      <c r="C283" s="94" t="inlineStr">
        <is>
          <t>2019-Q4</t>
        </is>
      </c>
      <c r="D283" s="186" t="n">
        <v>8180.69113018462</v>
      </c>
      <c r="E283" s="188" t="n">
        <v>147101302074.693</v>
      </c>
      <c r="F283" s="188" t="n">
        <v>19349468269.4988</v>
      </c>
    </row>
    <row r="284" ht="15" customHeight="1" s="95">
      <c r="A284" s="143" t="n">
        <v>43748</v>
      </c>
      <c r="B284" s="94" t="n">
        <v>2019</v>
      </c>
      <c r="C284" s="94" t="inlineStr">
        <is>
          <t>2019-Q4</t>
        </is>
      </c>
      <c r="D284" s="186" t="n">
        <v>8573.060086448741</v>
      </c>
      <c r="E284" s="188" t="n">
        <v>154173400068.152</v>
      </c>
      <c r="F284" s="188" t="n">
        <v>21622617282.7713</v>
      </c>
    </row>
    <row r="285" ht="15" customHeight="1" s="95">
      <c r="A285" s="143" t="n">
        <v>43749</v>
      </c>
      <c r="B285" s="94" t="n">
        <v>2019</v>
      </c>
      <c r="C285" s="94" t="inlineStr">
        <is>
          <t>2019-Q4</t>
        </is>
      </c>
      <c r="D285" s="186" t="n">
        <v>8561.519329217719</v>
      </c>
      <c r="E285" s="188" t="n">
        <v>153974523119.163</v>
      </c>
      <c r="F285" s="188" t="n">
        <v>21307956536.7699</v>
      </c>
    </row>
    <row r="286" ht="15" customHeight="1" s="95">
      <c r="A286" s="143" t="n">
        <v>43750</v>
      </c>
      <c r="B286" s="94" t="n">
        <v>2019</v>
      </c>
      <c r="C286" s="94" t="inlineStr">
        <is>
          <t>2019-Q4</t>
        </is>
      </c>
      <c r="D286" s="186" t="n">
        <v>8277.84835108504</v>
      </c>
      <c r="E286" s="188" t="n">
        <v>148684409190.171</v>
      </c>
      <c r="F286" s="188" t="n">
        <v>22522161253.6063</v>
      </c>
    </row>
    <row r="287" ht="15" customHeight="1" s="95">
      <c r="A287" s="143" t="n">
        <v>43751</v>
      </c>
      <c r="B287" s="94" t="n">
        <v>2019</v>
      </c>
      <c r="C287" s="94" t="inlineStr">
        <is>
          <t>2019-Q4</t>
        </is>
      </c>
      <c r="D287" s="186" t="n">
        <v>8308.47096743343</v>
      </c>
      <c r="E287" s="188" t="n">
        <v>149460560799.489</v>
      </c>
      <c r="F287" s="188" t="n">
        <v>18009645880.9185</v>
      </c>
    </row>
    <row r="288" ht="15" customHeight="1" s="95">
      <c r="A288" s="143" t="n">
        <v>43752</v>
      </c>
      <c r="B288" s="94" t="n">
        <v>2019</v>
      </c>
      <c r="C288" s="94" t="inlineStr">
        <is>
          <t>2019-Q4</t>
        </is>
      </c>
      <c r="D288" s="186" t="n">
        <v>8289.497236618899</v>
      </c>
      <c r="E288" s="188" t="n">
        <v>149295847366.547</v>
      </c>
      <c r="F288" s="188" t="n">
        <v>17006193531.8922</v>
      </c>
    </row>
    <row r="289" ht="15" customHeight="1" s="95">
      <c r="A289" s="143" t="n">
        <v>43753</v>
      </c>
      <c r="B289" s="94" t="n">
        <v>2019</v>
      </c>
      <c r="C289" s="94" t="inlineStr">
        <is>
          <t>2019-Q4</t>
        </is>
      </c>
      <c r="D289" s="186" t="n">
        <v>8347.350350085449</v>
      </c>
      <c r="E289" s="188" t="n">
        <v>150188449071.36</v>
      </c>
      <c r="F289" s="188" t="n">
        <v>17384052860.8071</v>
      </c>
    </row>
    <row r="290" ht="15" customHeight="1" s="95">
      <c r="A290" s="143" t="n">
        <v>43754</v>
      </c>
      <c r="B290" s="94" t="n">
        <v>2019</v>
      </c>
      <c r="C290" s="94" t="inlineStr">
        <is>
          <t>2019-Q4</t>
        </is>
      </c>
      <c r="D290" s="186" t="n">
        <v>8175.86311210512</v>
      </c>
      <c r="E290" s="188" t="n">
        <v>147132917995.711</v>
      </c>
      <c r="F290" s="188" t="n">
        <v>17879549108.6343</v>
      </c>
    </row>
    <row r="291" ht="15" customHeight="1" s="95">
      <c r="A291" s="143" t="n">
        <v>43755</v>
      </c>
      <c r="B291" s="94" t="n">
        <v>2019</v>
      </c>
      <c r="C291" s="94" t="inlineStr">
        <is>
          <t>2019-Q4</t>
        </is>
      </c>
      <c r="D291" s="186" t="n">
        <v>8010.30217979417</v>
      </c>
      <c r="E291" s="188" t="n">
        <v>144153894666.311</v>
      </c>
      <c r="F291" s="188" t="n">
        <v>18700096464.7866</v>
      </c>
    </row>
    <row r="292" ht="15" customHeight="1" s="95">
      <c r="A292" s="143" t="n">
        <v>43756</v>
      </c>
      <c r="B292" s="94" t="n">
        <v>2019</v>
      </c>
      <c r="C292" s="94" t="inlineStr">
        <is>
          <t>2019-Q4</t>
        </is>
      </c>
      <c r="D292" s="186" t="n">
        <v>8079.93145947974</v>
      </c>
      <c r="E292" s="188" t="n">
        <v>145395122717.347</v>
      </c>
      <c r="F292" s="188" t="n">
        <v>17154383746.9438</v>
      </c>
    </row>
    <row r="293" ht="15" customHeight="1" s="95">
      <c r="A293" s="143" t="n">
        <v>43757</v>
      </c>
      <c r="B293" s="94" t="n">
        <v>2019</v>
      </c>
      <c r="C293" s="94" t="inlineStr">
        <is>
          <t>2019-Q4</t>
        </is>
      </c>
      <c r="D293" s="186" t="n">
        <v>7957.3140939958</v>
      </c>
      <c r="E293" s="188" t="n">
        <v>143241128773.447</v>
      </c>
      <c r="F293" s="188" t="n">
        <v>18867966948.3337</v>
      </c>
    </row>
    <row r="294" ht="15" customHeight="1" s="95">
      <c r="A294" s="143" t="n">
        <v>43758</v>
      </c>
      <c r="B294" s="94" t="n">
        <v>2019</v>
      </c>
      <c r="C294" s="94" t="inlineStr">
        <is>
          <t>2019-Q4</t>
        </is>
      </c>
      <c r="D294" s="186" t="n">
        <v>7949.80226860983</v>
      </c>
      <c r="E294" s="188" t="n">
        <v>143016860664.092</v>
      </c>
      <c r="F294" s="188" t="n">
        <v>16704267725.1434</v>
      </c>
    </row>
    <row r="295" ht="15" customHeight="1" s="95">
      <c r="A295" s="143" t="n">
        <v>43759</v>
      </c>
      <c r="B295" s="94" t="n">
        <v>2019</v>
      </c>
      <c r="C295" s="94" t="inlineStr">
        <is>
          <t>2019-Q4</t>
        </is>
      </c>
      <c r="D295" s="186" t="n">
        <v>8208.36262175871</v>
      </c>
      <c r="E295" s="188" t="n">
        <v>147845092519.854</v>
      </c>
      <c r="F295" s="188" t="n">
        <v>18477598769.7905</v>
      </c>
    </row>
    <row r="296" ht="15" customHeight="1" s="95">
      <c r="A296" s="143" t="n">
        <v>43760</v>
      </c>
      <c r="B296" s="94" t="n">
        <v>2019</v>
      </c>
      <c r="C296" s="94" t="inlineStr">
        <is>
          <t>2019-Q4</t>
        </is>
      </c>
      <c r="D296" s="186" t="n">
        <v>8220.91853113097</v>
      </c>
      <c r="E296" s="188" t="n">
        <v>147972317568.96</v>
      </c>
      <c r="F296" s="188" t="n">
        <v>17608633115.7399</v>
      </c>
    </row>
    <row r="297" ht="15" customHeight="1" s="95">
      <c r="A297" s="143" t="n">
        <v>43761</v>
      </c>
      <c r="B297" s="94" t="n">
        <v>2019</v>
      </c>
      <c r="C297" s="94" t="inlineStr">
        <is>
          <t>2019-Q4</t>
        </is>
      </c>
      <c r="D297" s="186" t="n">
        <v>8045.29424680726</v>
      </c>
      <c r="E297" s="188" t="n">
        <v>144778678025.77</v>
      </c>
      <c r="F297" s="188" t="n">
        <v>19789278104.487</v>
      </c>
    </row>
    <row r="298" ht="15" customHeight="1" s="95">
      <c r="A298" s="143" t="n">
        <v>43762</v>
      </c>
      <c r="B298" s="94" t="n">
        <v>2019</v>
      </c>
      <c r="C298" s="94" t="inlineStr">
        <is>
          <t>2019-Q4</t>
        </is>
      </c>
      <c r="D298" s="186" t="n">
        <v>7468.5325324369</v>
      </c>
      <c r="E298" s="188" t="n">
        <v>134533554377.158</v>
      </c>
      <c r="F298" s="188" t="n">
        <v>23372887462.7368</v>
      </c>
    </row>
    <row r="299" ht="15" customHeight="1" s="95">
      <c r="A299" s="143" t="n">
        <v>43763</v>
      </c>
      <c r="B299" s="94" t="n">
        <v>2019</v>
      </c>
      <c r="C299" s="94" t="inlineStr">
        <is>
          <t>2019-Q4</t>
        </is>
      </c>
      <c r="D299" s="186" t="n">
        <v>7433.91534567917</v>
      </c>
      <c r="E299" s="188" t="n">
        <v>133881191476.353</v>
      </c>
      <c r="F299" s="188" t="n">
        <v>18827850066.7239</v>
      </c>
    </row>
    <row r="300" ht="15" customHeight="1" s="95">
      <c r="A300" s="143" t="n">
        <v>43764</v>
      </c>
      <c r="B300" s="94" t="n">
        <v>2019</v>
      </c>
      <c r="C300" s="94" t="inlineStr">
        <is>
          <t>2019-Q4</t>
        </is>
      </c>
      <c r="D300" s="186" t="n">
        <v>8652.030029867459</v>
      </c>
      <c r="E300" s="188" t="n">
        <v>155391555503.116</v>
      </c>
      <c r="F300" s="188" t="n">
        <v>33573878835.9482</v>
      </c>
    </row>
    <row r="301" ht="15" customHeight="1" s="95">
      <c r="A301" s="143" t="n">
        <v>43765</v>
      </c>
      <c r="B301" s="94" t="n">
        <v>2019</v>
      </c>
      <c r="C301" s="94" t="inlineStr">
        <is>
          <t>2019-Q4</t>
        </is>
      </c>
      <c r="D301" s="186" t="n">
        <v>9217.236031536289</v>
      </c>
      <c r="E301" s="188" t="n">
        <v>166118326255.249</v>
      </c>
      <c r="F301" s="188" t="n">
        <v>49973845766.748</v>
      </c>
    </row>
    <row r="302" ht="15" customHeight="1" s="95">
      <c r="A302" s="143" t="n">
        <v>43766</v>
      </c>
      <c r="B302" s="94" t="n">
        <v>2019</v>
      </c>
      <c r="C302" s="94" t="inlineStr">
        <is>
          <t>2019-Q4</t>
        </is>
      </c>
      <c r="D302" s="186" t="n">
        <v>9502.020114436131</v>
      </c>
      <c r="E302" s="188" t="n">
        <v>171191596562.46</v>
      </c>
      <c r="F302" s="188" t="n">
        <v>38396780063.8031</v>
      </c>
    </row>
    <row r="303" ht="15" customHeight="1" s="95">
      <c r="A303" s="143" t="n">
        <v>43767</v>
      </c>
      <c r="B303" s="94" t="n">
        <v>2019</v>
      </c>
      <c r="C303" s="94" t="inlineStr">
        <is>
          <t>2019-Q4</t>
        </is>
      </c>
      <c r="D303" s="186" t="n">
        <v>9239.89728377967</v>
      </c>
      <c r="E303" s="188" t="n">
        <v>166074573773.052</v>
      </c>
      <c r="F303" s="188" t="n">
        <v>36102429175.3557</v>
      </c>
    </row>
    <row r="304" ht="15" customHeight="1" s="95">
      <c r="A304" s="143" t="n">
        <v>43768</v>
      </c>
      <c r="B304" s="94" t="n">
        <v>2019</v>
      </c>
      <c r="C304" s="94" t="inlineStr">
        <is>
          <t>2019-Q4</t>
        </is>
      </c>
      <c r="D304" s="186" t="n">
        <v>9407.16335145943</v>
      </c>
      <c r="E304" s="188" t="n">
        <v>169552821617.468</v>
      </c>
      <c r="F304" s="188" t="n">
        <v>32395177164.6473</v>
      </c>
    </row>
    <row r="305" ht="15" customHeight="1" s="95">
      <c r="A305" s="143" t="n">
        <v>43769</v>
      </c>
      <c r="B305" s="94" t="n">
        <v>2019</v>
      </c>
      <c r="C305" s="94" t="inlineStr">
        <is>
          <t>2019-Q4</t>
        </is>
      </c>
      <c r="D305" s="186" t="n">
        <v>9171.87447405419</v>
      </c>
      <c r="E305" s="188" t="n">
        <v>165289440818.628</v>
      </c>
      <c r="F305" s="188" t="n">
        <v>30846909824.0246</v>
      </c>
    </row>
    <row r="306" ht="15" customHeight="1" s="95">
      <c r="A306" s="143" t="n">
        <v>43770</v>
      </c>
      <c r="B306" s="94" t="n">
        <v>2019</v>
      </c>
      <c r="C306" s="94" t="inlineStr">
        <is>
          <t>2019-Q4</t>
        </is>
      </c>
      <c r="D306" s="186" t="n">
        <v>9151.824594459769</v>
      </c>
      <c r="E306" s="188" t="n">
        <v>165197797836.508</v>
      </c>
      <c r="F306" s="188" t="n">
        <v>30452200168.0083</v>
      </c>
    </row>
    <row r="307" ht="15" customHeight="1" s="95">
      <c r="A307" s="143" t="n">
        <v>43771</v>
      </c>
      <c r="B307" s="94" t="n">
        <v>2019</v>
      </c>
      <c r="C307" s="94" t="inlineStr">
        <is>
          <t>2019-Q4</t>
        </is>
      </c>
      <c r="D307" s="186" t="n">
        <v>9233.413801605901</v>
      </c>
      <c r="E307" s="188" t="n">
        <v>166428932044.737</v>
      </c>
      <c r="F307" s="188" t="n">
        <v>28239184318.8184</v>
      </c>
    </row>
    <row r="308" ht="15" customHeight="1" s="95">
      <c r="A308" s="143" t="n">
        <v>43772</v>
      </c>
      <c r="B308" s="94" t="n">
        <v>2019</v>
      </c>
      <c r="C308" s="94" t="inlineStr">
        <is>
          <t>2019-Q4</t>
        </is>
      </c>
      <c r="D308" s="186" t="n">
        <v>9302.83461784109</v>
      </c>
      <c r="E308" s="188" t="n">
        <v>167702162283.479</v>
      </c>
      <c r="F308" s="188" t="n">
        <v>24723381192.2559</v>
      </c>
    </row>
    <row r="309" ht="15" customHeight="1" s="95">
      <c r="A309" s="143" t="n">
        <v>43773</v>
      </c>
      <c r="B309" s="94" t="n">
        <v>2019</v>
      </c>
      <c r="C309" s="94" t="inlineStr">
        <is>
          <t>2019-Q4</t>
        </is>
      </c>
      <c r="D309" s="186" t="n">
        <v>9204.28635045127</v>
      </c>
      <c r="E309" s="188" t="n">
        <v>166118344447.821</v>
      </c>
      <c r="F309" s="188" t="n">
        <v>24204135432.7604</v>
      </c>
    </row>
    <row r="310" ht="15" customHeight="1" s="95">
      <c r="A310" s="143" t="n">
        <v>43774</v>
      </c>
      <c r="B310" s="94" t="n">
        <v>2019</v>
      </c>
      <c r="C310" s="94" t="inlineStr">
        <is>
          <t>2019-Q4</t>
        </is>
      </c>
      <c r="D310" s="186" t="n">
        <v>9378.953914330919</v>
      </c>
      <c r="E310" s="188" t="n">
        <v>169099256441.517</v>
      </c>
      <c r="F310" s="188" t="n">
        <v>30915689705.6593</v>
      </c>
    </row>
    <row r="311" ht="15" customHeight="1" s="95">
      <c r="A311" s="143" t="n">
        <v>43775</v>
      </c>
      <c r="B311" s="94" t="n">
        <v>2019</v>
      </c>
      <c r="C311" s="94" t="inlineStr">
        <is>
          <t>2019-Q4</t>
        </is>
      </c>
      <c r="D311" s="186" t="n">
        <v>9300.373963047081</v>
      </c>
      <c r="E311" s="188" t="n">
        <v>167676477990.569</v>
      </c>
      <c r="F311" s="188" t="n">
        <v>30247351915.7983</v>
      </c>
    </row>
    <row r="312" ht="15" customHeight="1" s="95">
      <c r="A312" s="143" t="n">
        <v>43776</v>
      </c>
      <c r="B312" s="94" t="n">
        <v>2019</v>
      </c>
      <c r="C312" s="94" t="inlineStr">
        <is>
          <t>2019-Q4</t>
        </is>
      </c>
      <c r="D312" s="186" t="n">
        <v>9340.0486515749</v>
      </c>
      <c r="E312" s="188" t="n">
        <v>168462131862.396</v>
      </c>
      <c r="F312" s="188" t="n">
        <v>28787468129.5814</v>
      </c>
    </row>
    <row r="313" ht="15" customHeight="1" s="95">
      <c r="A313" s="143" t="n">
        <v>43777</v>
      </c>
      <c r="B313" s="94" t="n">
        <v>2019</v>
      </c>
      <c r="C313" s="94" t="inlineStr">
        <is>
          <t>2019-Q4</t>
        </is>
      </c>
      <c r="D313" s="186" t="n">
        <v>9221.073784983801</v>
      </c>
      <c r="E313" s="188" t="n">
        <v>166326340114.013</v>
      </c>
      <c r="F313" s="188" t="n">
        <v>27099310469.6538</v>
      </c>
    </row>
    <row r="314" ht="15" customHeight="1" s="95">
      <c r="A314" s="143" t="n">
        <v>43778</v>
      </c>
      <c r="B314" s="94" t="n">
        <v>2019</v>
      </c>
      <c r="C314" s="94" t="inlineStr">
        <is>
          <t>2019-Q4</t>
        </is>
      </c>
      <c r="D314" s="186" t="n">
        <v>8795.896069400231</v>
      </c>
      <c r="E314" s="188" t="n">
        <v>158619022798.021</v>
      </c>
      <c r="F314" s="188" t="n">
        <v>30263888374.6472</v>
      </c>
    </row>
    <row r="315" ht="15" customHeight="1" s="95">
      <c r="A315" s="143" t="n">
        <v>43779</v>
      </c>
      <c r="B315" s="94" t="n">
        <v>2019</v>
      </c>
      <c r="C315" s="94" t="inlineStr">
        <is>
          <t>2019-Q4</t>
        </is>
      </c>
      <c r="D315" s="186" t="n">
        <v>8809.78367388588</v>
      </c>
      <c r="E315" s="188" t="n">
        <v>159050488591.968</v>
      </c>
      <c r="F315" s="188" t="n">
        <v>22726115538.6609</v>
      </c>
    </row>
    <row r="316" ht="15" customHeight="1" s="95">
      <c r="A316" s="143" t="n">
        <v>43780</v>
      </c>
      <c r="B316" s="94" t="n">
        <v>2019</v>
      </c>
      <c r="C316" s="94" t="inlineStr">
        <is>
          <t>2019-Q4</t>
        </is>
      </c>
      <c r="D316" s="186" t="n">
        <v>9043.67329239707</v>
      </c>
      <c r="E316" s="188" t="n">
        <v>162996713000.822</v>
      </c>
      <c r="F316" s="188" t="n">
        <v>24973742612.6874</v>
      </c>
    </row>
    <row r="317" ht="15" customHeight="1" s="95">
      <c r="A317" s="143" t="n">
        <v>43781</v>
      </c>
      <c r="B317" s="94" t="n">
        <v>2019</v>
      </c>
      <c r="C317" s="94" t="inlineStr">
        <is>
          <t>2019-Q4</t>
        </is>
      </c>
      <c r="D317" s="186" t="n">
        <v>8729.91741849073</v>
      </c>
      <c r="E317" s="188" t="n">
        <v>157759659438.003</v>
      </c>
      <c r="F317" s="188" t="n">
        <v>24569575079.5969</v>
      </c>
    </row>
    <row r="318" ht="15" customHeight="1" s="95">
      <c r="A318" s="143" t="n">
        <v>43782</v>
      </c>
      <c r="B318" s="94" t="n">
        <v>2019</v>
      </c>
      <c r="C318" s="94" t="inlineStr">
        <is>
          <t>2019-Q4</t>
        </is>
      </c>
      <c r="D318" s="186" t="n">
        <v>8806.751998954011</v>
      </c>
      <c r="E318" s="188" t="n">
        <v>158722325407.938</v>
      </c>
      <c r="F318" s="188" t="n">
        <v>25677565875.9683</v>
      </c>
    </row>
    <row r="319" ht="15" customHeight="1" s="95">
      <c r="A319" s="143" t="n">
        <v>43783</v>
      </c>
      <c r="B319" s="94" t="n">
        <v>2019</v>
      </c>
      <c r="C319" s="94" t="inlineStr">
        <is>
          <t>2019-Q4</t>
        </is>
      </c>
      <c r="D319" s="186" t="n">
        <v>8770.780825231361</v>
      </c>
      <c r="E319" s="188" t="n">
        <v>158380664653.97</v>
      </c>
      <c r="F319" s="188" t="n">
        <v>22919706604.1916</v>
      </c>
    </row>
    <row r="320" ht="15" customHeight="1" s="95">
      <c r="A320" s="143" t="n">
        <v>43784</v>
      </c>
      <c r="B320" s="94" t="n">
        <v>2019</v>
      </c>
      <c r="C320" s="94" t="inlineStr">
        <is>
          <t>2019-Q4</t>
        </is>
      </c>
      <c r="D320" s="186" t="n">
        <v>8652.025288272331</v>
      </c>
      <c r="E320" s="188" t="n">
        <v>156230551241.273</v>
      </c>
      <c r="F320" s="188" t="n">
        <v>24149531741.8782</v>
      </c>
    </row>
    <row r="321" ht="15" customHeight="1" s="95">
      <c r="A321" s="143" t="n">
        <v>43785</v>
      </c>
      <c r="B321" s="94" t="n">
        <v>2019</v>
      </c>
      <c r="C321" s="94" t="inlineStr">
        <is>
          <t>2019-Q4</t>
        </is>
      </c>
      <c r="D321" s="186" t="n">
        <v>8480.4355418746</v>
      </c>
      <c r="E321" s="188" t="n">
        <v>152925645908.668</v>
      </c>
      <c r="F321" s="188" t="n">
        <v>27102692384.5755</v>
      </c>
    </row>
    <row r="322" ht="15" customHeight="1" s="95">
      <c r="A322" s="143" t="n">
        <v>43786</v>
      </c>
      <c r="B322" s="94" t="n">
        <v>2019</v>
      </c>
      <c r="C322" s="94" t="inlineStr">
        <is>
          <t>2019-Q4</t>
        </is>
      </c>
      <c r="D322" s="186" t="n">
        <v>8496.37695914586</v>
      </c>
      <c r="E322" s="188" t="n">
        <v>153343011226.43</v>
      </c>
      <c r="F322" s="188" t="n">
        <v>21153024163.0743</v>
      </c>
    </row>
    <row r="323" ht="15" customHeight="1" s="95">
      <c r="A323" s="143" t="n">
        <v>43787</v>
      </c>
      <c r="B323" s="94" t="n">
        <v>2019</v>
      </c>
      <c r="C323" s="94" t="inlineStr">
        <is>
          <t>2019-Q4</t>
        </is>
      </c>
      <c r="D323" s="186" t="n">
        <v>8508.499434051761</v>
      </c>
      <c r="E323" s="188" t="n">
        <v>153491320212.842</v>
      </c>
      <c r="F323" s="188" t="n">
        <v>22808991914.5634</v>
      </c>
    </row>
    <row r="324" ht="15" customHeight="1" s="95">
      <c r="A324" s="143" t="n">
        <v>43788</v>
      </c>
      <c r="B324" s="94" t="n">
        <v>2019</v>
      </c>
      <c r="C324" s="94" t="inlineStr">
        <is>
          <t>2019-Q4</t>
        </is>
      </c>
      <c r="D324" s="186" t="n">
        <v>8202.83444610791</v>
      </c>
      <c r="E324" s="188" t="n">
        <v>148089631526.636</v>
      </c>
      <c r="F324" s="188" t="n">
        <v>25563738775.7369</v>
      </c>
    </row>
    <row r="325" ht="15" customHeight="1" s="95">
      <c r="A325" s="143" t="n">
        <v>43789</v>
      </c>
      <c r="B325" s="94" t="n">
        <v>2019</v>
      </c>
      <c r="C325" s="94" t="inlineStr">
        <is>
          <t>2019-Q4</t>
        </is>
      </c>
      <c r="D325" s="186" t="n">
        <v>8138.83160535906</v>
      </c>
      <c r="E325" s="188" t="n">
        <v>146797393103.31</v>
      </c>
      <c r="F325" s="188" t="n">
        <v>24993518393.5512</v>
      </c>
    </row>
    <row r="326" ht="15" customHeight="1" s="95">
      <c r="A326" s="143" t="n">
        <v>43790</v>
      </c>
      <c r="B326" s="94" t="n">
        <v>2019</v>
      </c>
      <c r="C326" s="94" t="inlineStr">
        <is>
          <t>2019-Q4</t>
        </is>
      </c>
      <c r="D326" s="186" t="n">
        <v>8095.86563801164</v>
      </c>
      <c r="E326" s="188" t="n">
        <v>146173851045.956</v>
      </c>
      <c r="F326" s="188" t="n">
        <v>23442272034.866</v>
      </c>
    </row>
    <row r="327" ht="15" customHeight="1" s="95">
      <c r="A327" s="143" t="n">
        <v>43791</v>
      </c>
      <c r="B327" s="94" t="n">
        <v>2019</v>
      </c>
      <c r="C327" s="94" t="inlineStr">
        <is>
          <t>2019-Q4</t>
        </is>
      </c>
      <c r="D327" s="186" t="n">
        <v>7632.49476549865</v>
      </c>
      <c r="E327" s="188" t="n">
        <v>137741605692.473</v>
      </c>
      <c r="F327" s="188" t="n">
        <v>26390689050.1007</v>
      </c>
    </row>
    <row r="328" ht="15" customHeight="1" s="95">
      <c r="A328" s="143" t="n">
        <v>43792</v>
      </c>
      <c r="B328" s="94" t="n">
        <v>2019</v>
      </c>
      <c r="C328" s="94" t="inlineStr">
        <is>
          <t>2019-Q4</t>
        </is>
      </c>
      <c r="D328" s="186" t="n">
        <v>7293.0139491723</v>
      </c>
      <c r="E328" s="188" t="n">
        <v>131796120680.404</v>
      </c>
      <c r="F328" s="188" t="n">
        <v>39111609334.1376</v>
      </c>
    </row>
    <row r="329" ht="15" customHeight="1" s="95">
      <c r="A329" s="143" t="n">
        <v>43793</v>
      </c>
      <c r="B329" s="94" t="n">
        <v>2019</v>
      </c>
      <c r="C329" s="94" t="inlineStr">
        <is>
          <t>2019-Q4</t>
        </is>
      </c>
      <c r="D329" s="186" t="n">
        <v>7309.68924356632</v>
      </c>
      <c r="E329" s="188" t="n">
        <v>132153647357.585</v>
      </c>
      <c r="F329" s="188" t="n">
        <v>23984198665.4314</v>
      </c>
    </row>
    <row r="330" ht="15" customHeight="1" s="95">
      <c r="A330" s="143" t="n">
        <v>43794</v>
      </c>
      <c r="B330" s="94" t="n">
        <v>2019</v>
      </c>
      <c r="C330" s="94" t="inlineStr">
        <is>
          <t>2019-Q4</t>
        </is>
      </c>
      <c r="D330" s="186" t="n">
        <v>6935.73862740252</v>
      </c>
      <c r="E330" s="188" t="n">
        <v>126056411448.449</v>
      </c>
      <c r="F330" s="188" t="n">
        <v>25073885715.2156</v>
      </c>
    </row>
    <row r="331" ht="15" customHeight="1" s="95">
      <c r="A331" s="143" t="n">
        <v>43795</v>
      </c>
      <c r="B331" s="94" t="n">
        <v>2019</v>
      </c>
      <c r="C331" s="94" t="inlineStr">
        <is>
          <t>2019-Q4</t>
        </is>
      </c>
      <c r="D331" s="186" t="n">
        <v>7118.26488339321</v>
      </c>
      <c r="E331" s="188" t="n">
        <v>128442554040.631</v>
      </c>
      <c r="F331" s="188" t="n">
        <v>34693320000.2678</v>
      </c>
    </row>
    <row r="332" ht="15" customHeight="1" s="95">
      <c r="A332" s="143" t="n">
        <v>43796</v>
      </c>
      <c r="B332" s="94" t="n">
        <v>2019</v>
      </c>
      <c r="C332" s="94" t="inlineStr">
        <is>
          <t>2019-Q4</t>
        </is>
      </c>
      <c r="D332" s="186" t="n">
        <v>7157.68473105447</v>
      </c>
      <c r="E332" s="188" t="n">
        <v>129550686418.963</v>
      </c>
      <c r="F332" s="188" t="n">
        <v>25650766567.6193</v>
      </c>
    </row>
    <row r="333" ht="15" customHeight="1" s="95">
      <c r="A333" s="143" t="n">
        <v>43797</v>
      </c>
      <c r="B333" s="94" t="n">
        <v>2019</v>
      </c>
      <c r="C333" s="94" t="inlineStr">
        <is>
          <t>2019-Q4</t>
        </is>
      </c>
      <c r="D333" s="186" t="n">
        <v>7483.7541921768</v>
      </c>
      <c r="E333" s="188" t="n">
        <v>135280930611.905</v>
      </c>
      <c r="F333" s="188" t="n">
        <v>28972696169.3381</v>
      </c>
    </row>
    <row r="334" ht="15" customHeight="1" s="95">
      <c r="A334" s="143" t="n">
        <v>43798</v>
      </c>
      <c r="B334" s="94" t="n">
        <v>2019</v>
      </c>
      <c r="C334" s="94" t="inlineStr">
        <is>
          <t>2019-Q4</t>
        </is>
      </c>
      <c r="D334" s="186" t="n">
        <v>7438.62176930885</v>
      </c>
      <c r="E334" s="188" t="n">
        <v>134540136588.586</v>
      </c>
      <c r="F334" s="188" t="n">
        <v>22282583660.6264</v>
      </c>
    </row>
    <row r="335" ht="15" customHeight="1" s="95">
      <c r="A335" s="143" t="n">
        <v>43799</v>
      </c>
      <c r="B335" s="94" t="n">
        <v>2019</v>
      </c>
      <c r="C335" s="94" t="inlineStr">
        <is>
          <t>2019-Q4</t>
        </is>
      </c>
      <c r="D335" s="186" t="n">
        <v>7720.86501126084</v>
      </c>
      <c r="E335" s="188" t="n">
        <v>139585890644.027</v>
      </c>
      <c r="F335" s="188" t="n">
        <v>23595242633.9322</v>
      </c>
    </row>
    <row r="336" ht="15" customHeight="1" s="95">
      <c r="A336" s="143" t="n">
        <v>43800</v>
      </c>
      <c r="B336" s="94" t="n">
        <v>2019</v>
      </c>
      <c r="C336" s="94" t="inlineStr">
        <is>
          <t>2019-Q4</t>
        </is>
      </c>
      <c r="D336" s="186" t="n">
        <v>7556.39758581577</v>
      </c>
      <c r="E336" s="188" t="n">
        <v>136619988247.824</v>
      </c>
      <c r="F336" s="188" t="n">
        <v>19070509164.5225</v>
      </c>
    </row>
    <row r="337" ht="15" customHeight="1" s="95">
      <c r="A337" s="143" t="n">
        <v>43801</v>
      </c>
      <c r="B337" s="94" t="n">
        <v>2019</v>
      </c>
      <c r="C337" s="94" t="inlineStr">
        <is>
          <t>2019-Q4</t>
        </is>
      </c>
      <c r="D337" s="186" t="n">
        <v>7405.80847875248</v>
      </c>
      <c r="E337" s="188" t="n">
        <v>133806709251.171</v>
      </c>
      <c r="F337" s="188" t="n">
        <v>22892863739.7377</v>
      </c>
    </row>
    <row r="338" ht="15" customHeight="1" s="95">
      <c r="A338" s="143" t="n">
        <v>43802</v>
      </c>
      <c r="B338" s="94" t="n">
        <v>2019</v>
      </c>
      <c r="C338" s="94" t="inlineStr">
        <is>
          <t>2019-Q4</t>
        </is>
      </c>
      <c r="D338" s="186" t="n">
        <v>7308.98244442379</v>
      </c>
      <c r="E338" s="188" t="n">
        <v>132186853223.485</v>
      </c>
      <c r="F338" s="188" t="n">
        <v>19403364522.9967</v>
      </c>
    </row>
    <row r="339" ht="15" customHeight="1" s="95">
      <c r="A339" s="143" t="n">
        <v>43803</v>
      </c>
      <c r="B339" s="94" t="n">
        <v>2019</v>
      </c>
      <c r="C339" s="94" t="inlineStr">
        <is>
          <t>2019-Q4</t>
        </is>
      </c>
      <c r="D339" s="186" t="n">
        <v>7286.08095151144</v>
      </c>
      <c r="E339" s="188" t="n">
        <v>131920184619.247</v>
      </c>
      <c r="F339" s="188" t="n">
        <v>17246866850.787</v>
      </c>
    </row>
    <row r="340" ht="15" customHeight="1" s="95">
      <c r="A340" s="143" t="n">
        <v>43804</v>
      </c>
      <c r="B340" s="94" t="n">
        <v>2019</v>
      </c>
      <c r="C340" s="94" t="inlineStr">
        <is>
          <t>2019-Q4</t>
        </is>
      </c>
      <c r="D340" s="186" t="n">
        <v>7209.97141745478</v>
      </c>
      <c r="E340" s="188" t="n">
        <v>130707605071.546</v>
      </c>
      <c r="F340" s="188" t="n">
        <v>24794733347.3341</v>
      </c>
    </row>
    <row r="341" ht="15" customHeight="1" s="95">
      <c r="A341" s="143" t="n">
        <v>43805</v>
      </c>
      <c r="B341" s="94" t="n">
        <v>2019</v>
      </c>
      <c r="C341" s="94" t="inlineStr">
        <is>
          <t>2019-Q4</t>
        </is>
      </c>
      <c r="D341" s="186" t="n">
        <v>7373.78249857765</v>
      </c>
      <c r="E341" s="188" t="n">
        <v>133644089121.625</v>
      </c>
      <c r="F341" s="188" t="n">
        <v>22344057773.817</v>
      </c>
    </row>
    <row r="342" ht="15" customHeight="1" s="95">
      <c r="A342" s="143" t="n">
        <v>43806</v>
      </c>
      <c r="B342" s="94" t="n">
        <v>2019</v>
      </c>
      <c r="C342" s="94" t="inlineStr">
        <is>
          <t>2019-Q4</t>
        </is>
      </c>
      <c r="D342" s="186" t="n">
        <v>7530.92283040495</v>
      </c>
      <c r="E342" s="188" t="n">
        <v>135763797983.311</v>
      </c>
      <c r="F342" s="188" t="n">
        <v>20930338571.6336</v>
      </c>
    </row>
    <row r="343" ht="15" customHeight="1" s="95">
      <c r="A343" s="143" t="n">
        <v>43807</v>
      </c>
      <c r="B343" s="94" t="n">
        <v>2019</v>
      </c>
      <c r="C343" s="94" t="inlineStr">
        <is>
          <t>2019-Q4</t>
        </is>
      </c>
      <c r="D343" s="186" t="n">
        <v>7493.54515455675</v>
      </c>
      <c r="E343" s="188" t="n">
        <v>135655571430.996</v>
      </c>
      <c r="F343" s="188" t="n">
        <v>17579259210.7771</v>
      </c>
    </row>
    <row r="344" ht="15" customHeight="1" s="95">
      <c r="A344" s="143" t="n">
        <v>43808</v>
      </c>
      <c r="B344" s="94" t="n">
        <v>2019</v>
      </c>
      <c r="C344" s="94" t="inlineStr">
        <is>
          <t>2019-Q4</t>
        </is>
      </c>
      <c r="D344" s="186" t="n">
        <v>7508.31566913911</v>
      </c>
      <c r="E344" s="188" t="n">
        <v>135886870643.253</v>
      </c>
      <c r="F344" s="188" t="n">
        <v>17330633418.242</v>
      </c>
    </row>
    <row r="345" ht="15" customHeight="1" s="95">
      <c r="A345" s="143" t="n">
        <v>43809</v>
      </c>
      <c r="B345" s="94" t="n">
        <v>2019</v>
      </c>
      <c r="C345" s="94" t="inlineStr">
        <is>
          <t>2019-Q4</t>
        </is>
      </c>
      <c r="D345" s="186" t="n">
        <v>7347.03695124536</v>
      </c>
      <c r="E345" s="188" t="n">
        <v>133091781420.791</v>
      </c>
      <c r="F345" s="188" t="n">
        <v>19646929698.9358</v>
      </c>
    </row>
    <row r="346" ht="15" customHeight="1" s="95">
      <c r="A346" s="143" t="n">
        <v>43810</v>
      </c>
      <c r="B346" s="94" t="n">
        <v>2019</v>
      </c>
      <c r="C346" s="94" t="inlineStr">
        <is>
          <t>2019-Q4</t>
        </is>
      </c>
      <c r="D346" s="186" t="n">
        <v>7233.9504871714</v>
      </c>
      <c r="E346" s="188" t="n">
        <v>130970047495.478</v>
      </c>
      <c r="F346" s="188" t="n">
        <v>19546221321.5063</v>
      </c>
    </row>
    <row r="347" ht="15" customHeight="1" s="95">
      <c r="A347" s="143" t="n">
        <v>43811</v>
      </c>
      <c r="B347" s="94" t="n">
        <v>2019</v>
      </c>
      <c r="C347" s="94" t="inlineStr">
        <is>
          <t>2019-Q4</t>
        </is>
      </c>
      <c r="D347" s="186" t="n">
        <v>7197.42682588083</v>
      </c>
      <c r="E347" s="188" t="n">
        <v>130242932604.269</v>
      </c>
      <c r="F347" s="188" t="n">
        <v>18016936696.2286</v>
      </c>
    </row>
    <row r="348" ht="15" customHeight="1" s="95">
      <c r="A348" s="143" t="n">
        <v>43812</v>
      </c>
      <c r="B348" s="94" t="n">
        <v>2019</v>
      </c>
      <c r="C348" s="94" t="inlineStr">
        <is>
          <t>2019-Q4</t>
        </is>
      </c>
      <c r="D348" s="186" t="n">
        <v>7200.7070180298</v>
      </c>
      <c r="E348" s="188" t="n">
        <v>130489545691.809</v>
      </c>
      <c r="F348" s="188" t="n">
        <v>19829801017.9617</v>
      </c>
    </row>
    <row r="349" ht="15" customHeight="1" s="95">
      <c r="A349" s="143" t="n">
        <v>43813</v>
      </c>
      <c r="B349" s="94" t="n">
        <v>2019</v>
      </c>
      <c r="C349" s="94" t="inlineStr">
        <is>
          <t>2019-Q4</t>
        </is>
      </c>
      <c r="D349" s="186" t="n">
        <v>7247.35027701092</v>
      </c>
      <c r="E349" s="188" t="n">
        <v>131188243085.057</v>
      </c>
      <c r="F349" s="188" t="n">
        <v>18535665729.0976</v>
      </c>
    </row>
    <row r="350" ht="15" customHeight="1" s="95">
      <c r="A350" s="143" t="n">
        <v>43814</v>
      </c>
      <c r="B350" s="94" t="n">
        <v>2019</v>
      </c>
      <c r="C350" s="94" t="inlineStr">
        <is>
          <t>2019-Q4</t>
        </is>
      </c>
      <c r="D350" s="186" t="n">
        <v>7081.74025526573</v>
      </c>
      <c r="E350" s="188" t="n">
        <v>128114177662.377</v>
      </c>
      <c r="F350" s="188" t="n">
        <v>19497758114.1504</v>
      </c>
    </row>
    <row r="351" ht="15" customHeight="1" s="95">
      <c r="A351" s="143" t="n">
        <v>43815</v>
      </c>
      <c r="B351" s="94" t="n">
        <v>2019</v>
      </c>
      <c r="C351" s="94" t="inlineStr">
        <is>
          <t>2019-Q4</t>
        </is>
      </c>
      <c r="D351" s="186" t="n">
        <v>7108.56302177805</v>
      </c>
      <c r="E351" s="188" t="n">
        <v>128886696696.607</v>
      </c>
      <c r="F351" s="188" t="n">
        <v>18896096612.0759</v>
      </c>
    </row>
    <row r="352" ht="15" customHeight="1" s="95">
      <c r="A352" s="143" t="n">
        <v>43816</v>
      </c>
      <c r="B352" s="94" t="n">
        <v>2019</v>
      </c>
      <c r="C352" s="94" t="inlineStr">
        <is>
          <t>2019-Q4</t>
        </is>
      </c>
      <c r="D352" s="186" t="n">
        <v>6901.03691533609</v>
      </c>
      <c r="E352" s="188" t="n">
        <v>124984942945.927</v>
      </c>
      <c r="F352" s="188" t="n">
        <v>22208927988.5423</v>
      </c>
    </row>
    <row r="353" ht="15" customHeight="1" s="95">
      <c r="A353" s="143" t="n">
        <v>43817</v>
      </c>
      <c r="B353" s="94" t="n">
        <v>2019</v>
      </c>
      <c r="C353" s="94" t="inlineStr">
        <is>
          <t>2019-Q4</t>
        </is>
      </c>
      <c r="D353" s="186" t="n">
        <v>6627.16251455314</v>
      </c>
      <c r="E353" s="188" t="n">
        <v>119931733577.12</v>
      </c>
      <c r="F353" s="188" t="n">
        <v>26481385708.6603</v>
      </c>
    </row>
    <row r="354" ht="15" customHeight="1" s="95">
      <c r="A354" s="143" t="n">
        <v>43818</v>
      </c>
      <c r="B354" s="94" t="n">
        <v>2019</v>
      </c>
      <c r="C354" s="94" t="inlineStr">
        <is>
          <t>2019-Q4</t>
        </is>
      </c>
      <c r="D354" s="186" t="n">
        <v>7274.7685037925</v>
      </c>
      <c r="E354" s="188" t="n">
        <v>131230049166.534</v>
      </c>
      <c r="F354" s="188" t="n">
        <v>57308255783.65</v>
      </c>
    </row>
    <row r="355" ht="15" customHeight="1" s="95">
      <c r="A355" s="143" t="n">
        <v>43819</v>
      </c>
      <c r="B355" s="94" t="n">
        <v>2019</v>
      </c>
      <c r="C355" s="94" t="inlineStr">
        <is>
          <t>2019-Q4</t>
        </is>
      </c>
      <c r="D355" s="186" t="n">
        <v>7152.55869163288</v>
      </c>
      <c r="E355" s="188" t="n">
        <v>129498636860.963</v>
      </c>
      <c r="F355" s="188" t="n">
        <v>23539013331.219</v>
      </c>
    </row>
    <row r="356" ht="15" customHeight="1" s="95">
      <c r="A356" s="143" t="n">
        <v>43820</v>
      </c>
      <c r="B356" s="94" t="n">
        <v>2019</v>
      </c>
      <c r="C356" s="94" t="inlineStr">
        <is>
          <t>2019-Q4</t>
        </is>
      </c>
      <c r="D356" s="186" t="n">
        <v>7185.43917963076</v>
      </c>
      <c r="E356" s="188" t="n">
        <v>130122764301.366</v>
      </c>
      <c r="F356" s="188" t="n">
        <v>22483207163.8762</v>
      </c>
    </row>
    <row r="357" ht="15" customHeight="1" s="95">
      <c r="A357" s="143" t="n">
        <v>43821</v>
      </c>
      <c r="B357" s="94" t="n">
        <v>2019</v>
      </c>
      <c r="C357" s="94" t="inlineStr">
        <is>
          <t>2019-Q4</t>
        </is>
      </c>
      <c r="D357" s="186" t="n">
        <v>7141.55485704626</v>
      </c>
      <c r="E357" s="188" t="n">
        <v>129342305760.325</v>
      </c>
      <c r="F357" s="188" t="n">
        <v>18632480432.8422</v>
      </c>
    </row>
    <row r="358" ht="15" customHeight="1" s="95">
      <c r="A358" s="143" t="n">
        <v>43822</v>
      </c>
      <c r="B358" s="94" t="n">
        <v>2019</v>
      </c>
      <c r="C358" s="94" t="inlineStr">
        <is>
          <t>2019-Q4</t>
        </is>
      </c>
      <c r="D358" s="186" t="n">
        <v>7488.19617460147</v>
      </c>
      <c r="E358" s="188" t="n">
        <v>135086328271.262</v>
      </c>
      <c r="F358" s="188" t="n">
        <v>24325792143.8415</v>
      </c>
    </row>
    <row r="359" ht="15" customHeight="1" s="95">
      <c r="A359" s="143" t="n">
        <v>43823</v>
      </c>
      <c r="B359" s="94" t="n">
        <v>2019</v>
      </c>
      <c r="C359" s="94" t="inlineStr">
        <is>
          <t>2019-Q4</t>
        </is>
      </c>
      <c r="D359" s="186" t="n">
        <v>7335.20761617702</v>
      </c>
      <c r="E359" s="188" t="n">
        <v>132931613272.251</v>
      </c>
      <c r="F359" s="188" t="n">
        <v>30235862118.6774</v>
      </c>
    </row>
    <row r="360" ht="15" customHeight="1" s="95">
      <c r="A360" s="143" t="n">
        <v>43824</v>
      </c>
      <c r="B360" s="94" t="n">
        <v>2019</v>
      </c>
      <c r="C360" s="94" t="inlineStr">
        <is>
          <t>2019-Q4</t>
        </is>
      </c>
      <c r="D360" s="186" t="n">
        <v>7266.60819662888</v>
      </c>
      <c r="E360" s="188" t="n">
        <v>131358497318.595</v>
      </c>
      <c r="F360" s="188" t="n">
        <v>26519710985.4797</v>
      </c>
    </row>
    <row r="361" ht="15" customHeight="1" s="95">
      <c r="A361" s="143" t="n">
        <v>43825</v>
      </c>
      <c r="B361" s="94" t="n">
        <v>2019</v>
      </c>
      <c r="C361" s="94" t="inlineStr">
        <is>
          <t>2019-Q4</t>
        </is>
      </c>
      <c r="D361" s="186" t="n">
        <v>7204.1848756886</v>
      </c>
      <c r="E361" s="188" t="n">
        <v>130643567866.792</v>
      </c>
      <c r="F361" s="188" t="n">
        <v>23546783550.7203</v>
      </c>
    </row>
    <row r="362" ht="15" customHeight="1" s="95">
      <c r="A362" s="143" t="n">
        <v>43826</v>
      </c>
      <c r="B362" s="94" t="n">
        <v>2019</v>
      </c>
      <c r="C362" s="94" t="inlineStr">
        <is>
          <t>2019-Q4</t>
        </is>
      </c>
      <c r="D362" s="186" t="n">
        <v>7208.48930789215</v>
      </c>
      <c r="E362" s="188" t="n">
        <v>130768750218.36</v>
      </c>
      <c r="F362" s="188" t="n">
        <v>24771695136.0454</v>
      </c>
    </row>
    <row r="363" ht="15" customHeight="1" s="95">
      <c r="A363" s="143" t="n">
        <v>43827</v>
      </c>
      <c r="B363" s="94" t="n">
        <v>2019</v>
      </c>
      <c r="C363" s="94" t="inlineStr">
        <is>
          <t>2019-Q4</t>
        </is>
      </c>
      <c r="D363" s="186" t="n">
        <v>7247.62371236525</v>
      </c>
      <c r="E363" s="188" t="n">
        <v>131349923253.425</v>
      </c>
      <c r="F363" s="188" t="n">
        <v>25893684880.0032</v>
      </c>
    </row>
    <row r="364" ht="15" customHeight="1" s="95">
      <c r="A364" s="143" t="n">
        <v>43828</v>
      </c>
      <c r="B364" s="94" t="n">
        <v>2019</v>
      </c>
      <c r="C364" s="94" t="inlineStr">
        <is>
          <t>2019-Q4</t>
        </is>
      </c>
      <c r="D364" s="186" t="n">
        <v>7307.88752268333</v>
      </c>
      <c r="E364" s="188" t="n">
        <v>132567576727.868</v>
      </c>
      <c r="F364" s="188" t="n">
        <v>21437778061.8769</v>
      </c>
    </row>
    <row r="365" ht="15" customHeight="1" s="95">
      <c r="A365" s="143" t="n">
        <v>43829</v>
      </c>
      <c r="B365" s="94" t="n">
        <v>2019</v>
      </c>
      <c r="C365" s="94" t="inlineStr">
        <is>
          <t>2019-Q4</t>
        </is>
      </c>
      <c r="D365" s="186" t="n">
        <v>7394.02928553099</v>
      </c>
      <c r="E365" s="188" t="n">
        <v>133997529973.309</v>
      </c>
      <c r="F365" s="188" t="n">
        <v>22035194451.0093</v>
      </c>
    </row>
    <row r="366" ht="15" customHeight="1" s="95">
      <c r="A366" s="143" t="n">
        <v>43830</v>
      </c>
      <c r="B366" s="94" t="n">
        <v>2019</v>
      </c>
      <c r="C366" s="94" t="inlineStr">
        <is>
          <t>2019-Q4</t>
        </is>
      </c>
      <c r="D366" s="186" t="n">
        <v>7240.42891225182</v>
      </c>
      <c r="E366" s="188" t="n">
        <v>131377523457.072</v>
      </c>
      <c r="F366" s="188" t="n">
        <v>22320671263.7171</v>
      </c>
    </row>
    <row r="367" ht="15" customHeight="1" s="95">
      <c r="A367" s="143" t="n">
        <v>43831</v>
      </c>
      <c r="B367" s="94" t="n">
        <v>2020</v>
      </c>
      <c r="C367" s="94" t="inlineStr">
        <is>
          <t>2020-Q1</t>
        </is>
      </c>
      <c r="D367" s="186" t="n">
        <v>7195.15389543003</v>
      </c>
      <c r="E367" s="188" t="n">
        <v>130394101535.61</v>
      </c>
      <c r="F367" s="188" t="n">
        <v>21187883711.185</v>
      </c>
    </row>
    <row r="368" ht="15" customHeight="1" s="95">
      <c r="A368" s="143" t="n">
        <v>43832</v>
      </c>
      <c r="B368" s="94" t="n">
        <v>2020</v>
      </c>
      <c r="C368" s="94" t="inlineStr">
        <is>
          <t>2020-Q1</t>
        </is>
      </c>
      <c r="D368" s="186" t="n">
        <v>7193.7546679601</v>
      </c>
      <c r="E368" s="188" t="n">
        <v>130422953817.668</v>
      </c>
      <c r="F368" s="188" t="n">
        <v>18123516838.8979</v>
      </c>
    </row>
    <row r="369" ht="15" customHeight="1" s="95">
      <c r="A369" s="143" t="n">
        <v>43833</v>
      </c>
      <c r="B369" s="94" t="n">
        <v>2020</v>
      </c>
      <c r="C369" s="94" t="inlineStr">
        <is>
          <t>2020-Q1</t>
        </is>
      </c>
      <c r="D369" s="186" t="n">
        <v>6963.85335398349</v>
      </c>
      <c r="E369" s="188" t="n">
        <v>126280790200.202</v>
      </c>
      <c r="F369" s="188" t="n">
        <v>20313194628.0945</v>
      </c>
    </row>
    <row r="370" ht="15" customHeight="1" s="95">
      <c r="A370" s="143" t="n">
        <v>43834</v>
      </c>
      <c r="B370" s="94" t="n">
        <v>2020</v>
      </c>
      <c r="C370" s="94" t="inlineStr">
        <is>
          <t>2020-Q1</t>
        </is>
      </c>
      <c r="D370" s="186" t="n">
        <v>7300.34693530511</v>
      </c>
      <c r="E370" s="188" t="n">
        <v>132766262579.095</v>
      </c>
      <c r="F370" s="188" t="n">
        <v>31015776262.2187</v>
      </c>
    </row>
    <row r="371" ht="15" customHeight="1" s="95">
      <c r="A371" s="143" t="n">
        <v>43835</v>
      </c>
      <c r="B371" s="94" t="n">
        <v>2020</v>
      </c>
      <c r="C371" s="94" t="inlineStr">
        <is>
          <t>2020-Q1</t>
        </is>
      </c>
      <c r="D371" s="186" t="n">
        <v>7351.37705316663</v>
      </c>
      <c r="E371" s="188" t="n">
        <v>133474716218.183</v>
      </c>
      <c r="F371" s="188" t="n">
        <v>20611640058.3416</v>
      </c>
    </row>
    <row r="372" ht="15" customHeight="1" s="95">
      <c r="A372" s="143" t="n">
        <v>43836</v>
      </c>
      <c r="B372" s="94" t="n">
        <v>2020</v>
      </c>
      <c r="C372" s="94" t="inlineStr">
        <is>
          <t>2020-Q1</t>
        </is>
      </c>
      <c r="D372" s="186" t="n">
        <v>7349.97224805063</v>
      </c>
      <c r="E372" s="188" t="n">
        <v>133388991086.88</v>
      </c>
      <c r="F372" s="188" t="n">
        <v>21929224570.561</v>
      </c>
    </row>
    <row r="373" ht="15" customHeight="1" s="95">
      <c r="A373" s="143" t="n">
        <v>43837</v>
      </c>
      <c r="B373" s="94" t="n">
        <v>2020</v>
      </c>
      <c r="C373" s="94" t="inlineStr">
        <is>
          <t>2020-Q1</t>
        </is>
      </c>
      <c r="D373" s="186" t="n">
        <v>7734.67551578529</v>
      </c>
      <c r="E373" s="188" t="n">
        <v>140557168287.444</v>
      </c>
      <c r="F373" s="188" t="n">
        <v>28148518761.5116</v>
      </c>
    </row>
    <row r="374" ht="15" customHeight="1" s="95">
      <c r="A374" s="143" t="n">
        <v>43838</v>
      </c>
      <c r="B374" s="94" t="n">
        <v>2020</v>
      </c>
      <c r="C374" s="94" t="inlineStr">
        <is>
          <t>2020-Q1</t>
        </is>
      </c>
      <c r="D374" s="186" t="n">
        <v>8147.41523763637</v>
      </c>
      <c r="E374" s="188" t="n">
        <v>147798610895.501</v>
      </c>
      <c r="F374" s="188" t="n">
        <v>34823187724.29</v>
      </c>
    </row>
    <row r="375" ht="15" customHeight="1" s="95">
      <c r="A375" s="143" t="n">
        <v>43839</v>
      </c>
      <c r="B375" s="94" t="n">
        <v>2020</v>
      </c>
      <c r="C375" s="94" t="inlineStr">
        <is>
          <t>2020-Q1</t>
        </is>
      </c>
      <c r="D375" s="186" t="n">
        <v>8045.78912459297</v>
      </c>
      <c r="E375" s="188" t="n">
        <v>146089575425.28</v>
      </c>
      <c r="F375" s="188" t="n">
        <v>39971512000.0682</v>
      </c>
    </row>
    <row r="376" ht="15" customHeight="1" s="95">
      <c r="A376" s="143" t="n">
        <v>43840</v>
      </c>
      <c r="B376" s="94" t="n">
        <v>2020</v>
      </c>
      <c r="C376" s="94" t="inlineStr">
        <is>
          <t>2020-Q1</t>
        </is>
      </c>
      <c r="D376" s="186" t="n">
        <v>7832.79564384039</v>
      </c>
      <c r="E376" s="188" t="n">
        <v>141913856953.479</v>
      </c>
      <c r="F376" s="188" t="n">
        <v>29276053440.8847</v>
      </c>
    </row>
    <row r="377" ht="15" customHeight="1" s="95">
      <c r="A377" s="143" t="n">
        <v>43841</v>
      </c>
      <c r="B377" s="94" t="n">
        <v>2020</v>
      </c>
      <c r="C377" s="94" t="inlineStr">
        <is>
          <t>2020-Q1</t>
        </is>
      </c>
      <c r="D377" s="186" t="n">
        <v>8180.51316980381</v>
      </c>
      <c r="E377" s="188" t="n">
        <v>146879934259.309</v>
      </c>
      <c r="F377" s="188" t="n">
        <v>35777298156.263</v>
      </c>
    </row>
    <row r="378" ht="15" customHeight="1" s="95">
      <c r="A378" s="143" t="n">
        <v>43842</v>
      </c>
      <c r="B378" s="94" t="n">
        <v>2020</v>
      </c>
      <c r="C378" s="94" t="inlineStr">
        <is>
          <t>2020-Q1</t>
        </is>
      </c>
      <c r="D378" s="186" t="n">
        <v>8012.08578181453</v>
      </c>
      <c r="E378" s="188" t="n">
        <v>145561586658.574</v>
      </c>
      <c r="F378" s="188" t="n">
        <v>31504583511.0361</v>
      </c>
    </row>
    <row r="379" ht="15" customHeight="1" s="95">
      <c r="A379" s="143" t="n">
        <v>43843</v>
      </c>
      <c r="B379" s="94" t="n">
        <v>2020</v>
      </c>
      <c r="C379" s="94" t="inlineStr">
        <is>
          <t>2020-Q1</t>
        </is>
      </c>
      <c r="D379" s="186" t="n">
        <v>8171.40118532094</v>
      </c>
      <c r="E379" s="188" t="n">
        <v>148204228775.388</v>
      </c>
      <c r="F379" s="188" t="n">
        <v>27533390875.5199</v>
      </c>
    </row>
    <row r="380" ht="15" customHeight="1" s="95">
      <c r="A380" s="143" t="n">
        <v>43844</v>
      </c>
      <c r="B380" s="94" t="n">
        <v>2020</v>
      </c>
      <c r="C380" s="94" t="inlineStr">
        <is>
          <t>2020-Q1</t>
        </is>
      </c>
      <c r="D380" s="186" t="n">
        <v>8110.64796450377</v>
      </c>
      <c r="E380" s="188" t="n">
        <v>147446058196.459</v>
      </c>
      <c r="F380" s="188" t="n">
        <v>27962176780.6282</v>
      </c>
    </row>
    <row r="381" ht="15" customHeight="1" s="95">
      <c r="A381" s="143" t="n">
        <v>43845</v>
      </c>
      <c r="B381" s="94" t="n">
        <v>2020</v>
      </c>
      <c r="C381" s="94" t="inlineStr">
        <is>
          <t>2020-Q1</t>
        </is>
      </c>
      <c r="D381" s="186" t="n">
        <v>8801.871213137751</v>
      </c>
      <c r="E381" s="188" t="n">
        <v>159481192213.821</v>
      </c>
      <c r="F381" s="188" t="n">
        <v>55384169405.5193</v>
      </c>
    </row>
    <row r="382" ht="15" customHeight="1" s="95">
      <c r="A382" s="143" t="n">
        <v>43846</v>
      </c>
      <c r="B382" s="94" t="n">
        <v>2020</v>
      </c>
      <c r="C382" s="94" t="inlineStr">
        <is>
          <t>2020-Q1</t>
        </is>
      </c>
      <c r="D382" s="186" t="n">
        <v>8820.850105996131</v>
      </c>
      <c r="E382" s="188" t="n">
        <v>159960761751.85</v>
      </c>
      <c r="F382" s="188" t="n">
        <v>48160401007.254</v>
      </c>
    </row>
    <row r="383" ht="15" customHeight="1" s="95">
      <c r="A383" s="143" t="n">
        <v>43847</v>
      </c>
      <c r="B383" s="94" t="n">
        <v>2020</v>
      </c>
      <c r="C383" s="94" t="inlineStr">
        <is>
          <t>2020-Q1</t>
        </is>
      </c>
      <c r="D383" s="186" t="n">
        <v>8720.919501374239</v>
      </c>
      <c r="E383" s="188" t="n">
        <v>158412991117.647</v>
      </c>
      <c r="F383" s="188" t="n">
        <v>36462155571.2176</v>
      </c>
    </row>
    <row r="384" ht="15" customHeight="1" s="95">
      <c r="A384" s="143" t="n">
        <v>43848</v>
      </c>
      <c r="B384" s="94" t="n">
        <v>2020</v>
      </c>
      <c r="C384" s="94" t="inlineStr">
        <is>
          <t>2020-Q1</t>
        </is>
      </c>
      <c r="D384" s="186" t="n">
        <v>8902.568995225331</v>
      </c>
      <c r="E384" s="188" t="n">
        <v>161848747742.151</v>
      </c>
      <c r="F384" s="188" t="n">
        <v>41671910798.3409</v>
      </c>
    </row>
    <row r="385" ht="15" customHeight="1" s="95">
      <c r="A385" s="143" t="n">
        <v>43849</v>
      </c>
      <c r="B385" s="94" t="n">
        <v>2020</v>
      </c>
      <c r="C385" s="94" t="inlineStr">
        <is>
          <t>2020-Q1</t>
        </is>
      </c>
      <c r="D385" s="186" t="n">
        <v>8906.90267515107</v>
      </c>
      <c r="E385" s="188" t="n">
        <v>161823609428.346</v>
      </c>
      <c r="F385" s="188" t="n">
        <v>36801813631.5124</v>
      </c>
    </row>
    <row r="386" ht="15" customHeight="1" s="95">
      <c r="A386" s="143" t="n">
        <v>43850</v>
      </c>
      <c r="B386" s="94" t="n">
        <v>2020</v>
      </c>
      <c r="C386" s="94" t="inlineStr">
        <is>
          <t>2020-Q1</t>
        </is>
      </c>
      <c r="D386" s="186" t="n">
        <v>8690.380569544621</v>
      </c>
      <c r="E386" s="188" t="n">
        <v>157906057309.307</v>
      </c>
      <c r="F386" s="188" t="n">
        <v>39242297095.9422</v>
      </c>
    </row>
    <row r="387" ht="15" customHeight="1" s="95">
      <c r="A387" s="143" t="n">
        <v>43851</v>
      </c>
      <c r="B387" s="94" t="n">
        <v>2020</v>
      </c>
      <c r="C387" s="94" t="inlineStr">
        <is>
          <t>2020-Q1</t>
        </is>
      </c>
      <c r="D387" s="186" t="n">
        <v>8631.253954333761</v>
      </c>
      <c r="E387" s="188" t="n">
        <v>156848009983.549</v>
      </c>
      <c r="F387" s="188" t="n">
        <v>29527689342.8855</v>
      </c>
    </row>
    <row r="388" ht="15" customHeight="1" s="95">
      <c r="A388" s="143" t="n">
        <v>43852</v>
      </c>
      <c r="B388" s="94" t="n">
        <v>2020</v>
      </c>
      <c r="C388" s="94" t="inlineStr">
        <is>
          <t>2020-Q1</t>
        </is>
      </c>
      <c r="D388" s="186" t="n">
        <v>8724.818622931471</v>
      </c>
      <c r="E388" s="188" t="n">
        <v>158564958350.98</v>
      </c>
      <c r="F388" s="188" t="n">
        <v>27057681779.7467</v>
      </c>
    </row>
    <row r="389" ht="15" customHeight="1" s="95">
      <c r="A389" s="143" t="n">
        <v>43853</v>
      </c>
      <c r="B389" s="94" t="n">
        <v>2020</v>
      </c>
      <c r="C389" s="94" t="inlineStr">
        <is>
          <t>2020-Q1</t>
        </is>
      </c>
      <c r="D389" s="186" t="n">
        <v>8665.436914096899</v>
      </c>
      <c r="E389" s="188" t="n">
        <v>157502652064.023</v>
      </c>
      <c r="F389" s="188" t="n">
        <v>25628542094.5013</v>
      </c>
    </row>
    <row r="390" ht="15" customHeight="1" s="95">
      <c r="A390" s="143" t="n">
        <v>43854</v>
      </c>
      <c r="B390" s="94" t="n">
        <v>2020</v>
      </c>
      <c r="C390" s="94" t="inlineStr">
        <is>
          <t>2020-Q1</t>
        </is>
      </c>
      <c r="D390" s="186" t="n">
        <v>8415.95602733554</v>
      </c>
      <c r="E390" s="188" t="n">
        <v>152984928858.576</v>
      </c>
      <c r="F390" s="188" t="n">
        <v>30696020541.208</v>
      </c>
    </row>
    <row r="391" ht="15" customHeight="1" s="95">
      <c r="A391" s="143" t="n">
        <v>43855</v>
      </c>
      <c r="B391" s="94" t="n">
        <v>2020</v>
      </c>
      <c r="C391" s="94" t="inlineStr">
        <is>
          <t>2020-Q1</t>
        </is>
      </c>
      <c r="D391" s="186" t="n">
        <v>8432.09667578942</v>
      </c>
      <c r="E391" s="188" t="n">
        <v>153294353936.51</v>
      </c>
      <c r="F391" s="188" t="n">
        <v>30691734305.1287</v>
      </c>
    </row>
    <row r="392" ht="15" customHeight="1" s="95">
      <c r="A392" s="143" t="n">
        <v>43856</v>
      </c>
      <c r="B392" s="94" t="n">
        <v>2020</v>
      </c>
      <c r="C392" s="94" t="inlineStr">
        <is>
          <t>2020-Q1</t>
        </is>
      </c>
      <c r="D392" s="186" t="n">
        <v>8348.66566507933</v>
      </c>
      <c r="E392" s="188" t="n">
        <v>151794495723.252</v>
      </c>
      <c r="F392" s="188" t="n">
        <v>26582198966.2987</v>
      </c>
    </row>
    <row r="393" ht="15" customHeight="1" s="95">
      <c r="A393" s="143" t="n">
        <v>43857</v>
      </c>
      <c r="B393" s="94" t="n">
        <v>2020</v>
      </c>
      <c r="C393" s="94" t="inlineStr">
        <is>
          <t>2020-Q1</t>
        </is>
      </c>
      <c r="D393" s="186" t="n">
        <v>8595.728298493121</v>
      </c>
      <c r="E393" s="188" t="n">
        <v>156302144661.309</v>
      </c>
      <c r="F393" s="188" t="n">
        <v>30241155463.2706</v>
      </c>
    </row>
    <row r="394" ht="15" customHeight="1" s="95">
      <c r="A394" s="143" t="n">
        <v>43858</v>
      </c>
      <c r="B394" s="94" t="n">
        <v>2020</v>
      </c>
      <c r="C394" s="94" t="inlineStr">
        <is>
          <t>2020-Q1</t>
        </is>
      </c>
      <c r="D394" s="186" t="n">
        <v>8879.335548714551</v>
      </c>
      <c r="E394" s="188" t="n">
        <v>161473602737.428</v>
      </c>
      <c r="F394" s="188" t="n">
        <v>39661537339.9221</v>
      </c>
    </row>
    <row r="395" ht="15" customHeight="1" s="95">
      <c r="A395" s="143" t="n">
        <v>43859</v>
      </c>
      <c r="B395" s="94" t="n">
        <v>2020</v>
      </c>
      <c r="C395" s="94" t="inlineStr">
        <is>
          <t>2020-Q1</t>
        </is>
      </c>
      <c r="D395" s="186" t="n">
        <v>9320.805853868471</v>
      </c>
      <c r="E395" s="188" t="n">
        <v>169518428144.891</v>
      </c>
      <c r="F395" s="188" t="n">
        <v>49812761504.1306</v>
      </c>
    </row>
    <row r="396" ht="15" customHeight="1" s="95">
      <c r="A396" s="143" t="n">
        <v>43860</v>
      </c>
      <c r="B396" s="94" t="n">
        <v>2020</v>
      </c>
      <c r="C396" s="94" t="inlineStr">
        <is>
          <t>2020-Q1</t>
        </is>
      </c>
      <c r="D396" s="186" t="n">
        <v>9276.893821086491</v>
      </c>
      <c r="E396" s="188" t="n">
        <v>168738228801.505</v>
      </c>
      <c r="F396" s="188" t="n">
        <v>47273353143.7575</v>
      </c>
    </row>
    <row r="397" ht="15" customHeight="1" s="95">
      <c r="A397" s="143" t="n">
        <v>43861</v>
      </c>
      <c r="B397" s="94" t="n">
        <v>2020</v>
      </c>
      <c r="C397" s="94" t="inlineStr">
        <is>
          <t>2020-Q1</t>
        </is>
      </c>
      <c r="D397" s="186" t="n">
        <v>9509.80513557522</v>
      </c>
      <c r="E397" s="188" t="n">
        <v>172993102966.377</v>
      </c>
      <c r="F397" s="188" t="n">
        <v>51037775414.9802</v>
      </c>
    </row>
    <row r="398" ht="15" customHeight="1" s="95">
      <c r="A398" s="143" t="n">
        <v>43862</v>
      </c>
      <c r="B398" s="94" t="n">
        <v>2020</v>
      </c>
      <c r="C398" s="94" t="inlineStr">
        <is>
          <t>2020-Q1</t>
        </is>
      </c>
      <c r="D398" s="186" t="n">
        <v>9308.060285564779</v>
      </c>
      <c r="E398" s="188" t="n">
        <v>169340144566.237</v>
      </c>
      <c r="F398" s="188" t="n">
        <v>50102814005.6802</v>
      </c>
    </row>
    <row r="399" ht="15" customHeight="1" s="95">
      <c r="A399" s="143" t="n">
        <v>43863</v>
      </c>
      <c r="B399" s="94" t="n">
        <v>2020</v>
      </c>
      <c r="C399" s="94" t="inlineStr">
        <is>
          <t>2020-Q1</t>
        </is>
      </c>
      <c r="D399" s="186" t="n">
        <v>9363.224206800571</v>
      </c>
      <c r="E399" s="188" t="n">
        <v>170361167834.165</v>
      </c>
      <c r="F399" s="188" t="n">
        <v>48307978233.848</v>
      </c>
    </row>
    <row r="400" ht="15" customHeight="1" s="95">
      <c r="A400" s="143" t="n">
        <v>43864</v>
      </c>
      <c r="B400" s="94" t="n">
        <v>2020</v>
      </c>
      <c r="C400" s="94" t="inlineStr">
        <is>
          <t>2020-Q1</t>
        </is>
      </c>
      <c r="D400" s="186" t="n">
        <v>9338.416631939401</v>
      </c>
      <c r="E400" s="188" t="n">
        <v>169926610304.085</v>
      </c>
      <c r="F400" s="188" t="n">
        <v>55025402183.6822</v>
      </c>
    </row>
    <row r="401" ht="15" customHeight="1" s="95">
      <c r="A401" s="143" t="n">
        <v>43865</v>
      </c>
      <c r="B401" s="94" t="n">
        <v>2020</v>
      </c>
      <c r="C401" s="94" t="inlineStr">
        <is>
          <t>2020-Q1</t>
        </is>
      </c>
      <c r="D401" s="186" t="n">
        <v>9308.912702291211</v>
      </c>
      <c r="E401" s="188" t="n">
        <v>169406963182.694</v>
      </c>
      <c r="F401" s="188" t="n">
        <v>56824765307.8146</v>
      </c>
    </row>
    <row r="402" ht="15" customHeight="1" s="95">
      <c r="A402" s="143" t="n">
        <v>43866</v>
      </c>
      <c r="B402" s="94" t="n">
        <v>2020</v>
      </c>
      <c r="C402" s="94" t="inlineStr">
        <is>
          <t>2020-Q1</t>
        </is>
      </c>
      <c r="D402" s="186" t="n">
        <v>9179.95928107711</v>
      </c>
      <c r="E402" s="188" t="n">
        <v>167075369075.115</v>
      </c>
      <c r="F402" s="188" t="n">
        <v>55377658455.6233</v>
      </c>
    </row>
    <row r="403" ht="15" customHeight="1" s="95">
      <c r="A403" s="143" t="n">
        <v>43867</v>
      </c>
      <c r="B403" s="94" t="n">
        <v>2020</v>
      </c>
      <c r="C403" s="94" t="inlineStr">
        <is>
          <t>2020-Q1</t>
        </is>
      </c>
      <c r="D403" s="186" t="n">
        <v>9592.18387389791</v>
      </c>
      <c r="E403" s="188" t="n">
        <v>174596806174.299</v>
      </c>
      <c r="F403" s="188" t="n">
        <v>65675565620.9108</v>
      </c>
    </row>
    <row r="404" ht="15" customHeight="1" s="95">
      <c r="A404" s="143" t="n">
        <v>43868</v>
      </c>
      <c r="B404" s="94" t="n">
        <v>2020</v>
      </c>
      <c r="C404" s="94" t="inlineStr">
        <is>
          <t>2020-Q1</t>
        </is>
      </c>
      <c r="D404" s="186" t="n">
        <v>9744.63657815939</v>
      </c>
      <c r="E404" s="188" t="n">
        <v>177388314197.565</v>
      </c>
      <c r="F404" s="188" t="n">
        <v>71141695218.03951</v>
      </c>
    </row>
    <row r="405" ht="15" customHeight="1" s="95">
      <c r="A405" s="143" t="n">
        <v>43869</v>
      </c>
      <c r="B405" s="94" t="n">
        <v>2020</v>
      </c>
      <c r="C405" s="94" t="inlineStr">
        <is>
          <t>2020-Q1</t>
        </is>
      </c>
      <c r="D405" s="186" t="n">
        <v>9799.44845582468</v>
      </c>
      <c r="E405" s="188" t="n">
        <v>178414902529.152</v>
      </c>
      <c r="F405" s="188" t="n">
        <v>69495711755.6292</v>
      </c>
    </row>
    <row r="406" ht="15" customHeight="1" s="95">
      <c r="A406" s="143" t="n">
        <v>43870</v>
      </c>
      <c r="B406" s="94" t="n">
        <v>2020</v>
      </c>
      <c r="C406" s="94" t="inlineStr">
        <is>
          <t>2020-Q1</t>
        </is>
      </c>
      <c r="D406" s="186" t="n">
        <v>9890.70165819487</v>
      </c>
      <c r="E406" s="188" t="n">
        <v>180081607384.423</v>
      </c>
      <c r="F406" s="188" t="n">
        <v>71561797135.19991</v>
      </c>
    </row>
    <row r="407" ht="15" customHeight="1" s="95">
      <c r="A407" s="143" t="n">
        <v>43871</v>
      </c>
      <c r="B407" s="94" t="n">
        <v>2020</v>
      </c>
      <c r="C407" s="94" t="inlineStr">
        <is>
          <t>2020-Q1</t>
        </is>
      </c>
      <c r="D407" s="186" t="n">
        <v>10148.3797191318</v>
      </c>
      <c r="E407" s="188" t="n">
        <v>184792100015.164</v>
      </c>
      <c r="F407" s="188" t="n">
        <v>78110955304.52139</v>
      </c>
    </row>
    <row r="408" ht="15" customHeight="1" s="95">
      <c r="A408" s="143" t="n">
        <v>43872</v>
      </c>
      <c r="B408" s="94" t="n">
        <v>2020</v>
      </c>
      <c r="C408" s="94" t="inlineStr">
        <is>
          <t>2020-Q1</t>
        </is>
      </c>
      <c r="D408" s="186" t="n">
        <v>9890.121224019969</v>
      </c>
      <c r="E408" s="188" t="n">
        <v>180145850760.053</v>
      </c>
      <c r="F408" s="188" t="n">
        <v>81406687324.35091</v>
      </c>
    </row>
    <row r="409" ht="15" customHeight="1" s="95">
      <c r="A409" s="143" t="n">
        <v>43873</v>
      </c>
      <c r="B409" s="94" t="n">
        <v>2020</v>
      </c>
      <c r="C409" s="94" t="inlineStr">
        <is>
          <t>2020-Q1</t>
        </is>
      </c>
      <c r="D409" s="186" t="n">
        <v>10226.9257692153</v>
      </c>
      <c r="E409" s="188" t="n">
        <v>186262984851.993</v>
      </c>
      <c r="F409" s="188" t="n">
        <v>38930644711.9042</v>
      </c>
    </row>
    <row r="410" ht="15" customHeight="1" s="95">
      <c r="A410" s="143" t="n">
        <v>43874</v>
      </c>
      <c r="B410" s="94" t="n">
        <v>2020</v>
      </c>
      <c r="C410" s="94" t="inlineStr">
        <is>
          <t>2020-Q1</t>
        </is>
      </c>
      <c r="D410" s="186" t="n">
        <v>10328.8975658364</v>
      </c>
      <c r="E410" s="188" t="n">
        <v>188132988212.868</v>
      </c>
      <c r="F410" s="188" t="n">
        <v>45456624047.8339</v>
      </c>
    </row>
    <row r="411" ht="15" customHeight="1" s="95">
      <c r="A411" s="143" t="n">
        <v>43875</v>
      </c>
      <c r="B411" s="94" t="n">
        <v>2020</v>
      </c>
      <c r="C411" s="94" t="inlineStr">
        <is>
          <t>2020-Q1</t>
        </is>
      </c>
      <c r="D411" s="186" t="n">
        <v>10221.2603092016</v>
      </c>
      <c r="E411" s="188" t="n">
        <v>186190344916.033</v>
      </c>
      <c r="F411" s="188" t="n">
        <v>54151236617.5586</v>
      </c>
    </row>
    <row r="412" ht="15" customHeight="1" s="95">
      <c r="A412" s="143" t="n">
        <v>43876</v>
      </c>
      <c r="B412" s="94" t="n">
        <v>2020</v>
      </c>
      <c r="C412" s="94" t="inlineStr">
        <is>
          <t>2020-Q1</t>
        </is>
      </c>
      <c r="D412" s="186" t="n">
        <v>10320.157140514</v>
      </c>
      <c r="E412" s="188" t="n">
        <v>187680301470.739</v>
      </c>
      <c r="F412" s="188" t="n">
        <v>50206573483.0498</v>
      </c>
    </row>
    <row r="413" ht="15" customHeight="1" s="95">
      <c r="A413" s="143" t="n">
        <v>43877</v>
      </c>
      <c r="B413" s="94" t="n">
        <v>2020</v>
      </c>
      <c r="C413" s="94" t="inlineStr">
        <is>
          <t>2020-Q1</t>
        </is>
      </c>
      <c r="D413" s="186" t="n">
        <v>9894.13612378916</v>
      </c>
      <c r="E413" s="188" t="n">
        <v>180265718400.57</v>
      </c>
      <c r="F413" s="188" t="n">
        <v>51460340288.8981</v>
      </c>
    </row>
    <row r="414" ht="15" customHeight="1" s="95">
      <c r="A414" s="143" t="n">
        <v>43878</v>
      </c>
      <c r="B414" s="94" t="n">
        <v>2020</v>
      </c>
      <c r="C414" s="94" t="inlineStr">
        <is>
          <t>2020-Q1</t>
        </is>
      </c>
      <c r="D414" s="186" t="n">
        <v>9943.67360257874</v>
      </c>
      <c r="E414" s="188" t="n">
        <v>181221481668.741</v>
      </c>
      <c r="F414" s="188" t="n">
        <v>42364906261.0548</v>
      </c>
    </row>
    <row r="415" ht="15" customHeight="1" s="95">
      <c r="A415" s="143" t="n">
        <v>43879</v>
      </c>
      <c r="B415" s="94" t="n">
        <v>2020</v>
      </c>
      <c r="C415" s="94" t="inlineStr">
        <is>
          <t>2020-Q1</t>
        </is>
      </c>
      <c r="D415" s="186" t="n">
        <v>9723.6050264225</v>
      </c>
      <c r="E415" s="188" t="n">
        <v>176547652266.397</v>
      </c>
      <c r="F415" s="188" t="n">
        <v>48517591137.468</v>
      </c>
    </row>
    <row r="416" ht="15" customHeight="1" s="95">
      <c r="A416" s="143" t="n">
        <v>43880</v>
      </c>
      <c r="B416" s="94" t="n">
        <v>2020</v>
      </c>
      <c r="C416" s="94" t="inlineStr">
        <is>
          <t>2020-Q1</t>
        </is>
      </c>
      <c r="D416" s="186" t="n">
        <v>10133.8174170847</v>
      </c>
      <c r="E416" s="188" t="n">
        <v>184918071499.101</v>
      </c>
      <c r="F416" s="188" t="n">
        <v>54648014949.725</v>
      </c>
    </row>
    <row r="417" ht="15" customHeight="1" s="95">
      <c r="A417" s="143" t="n">
        <v>43881</v>
      </c>
      <c r="B417" s="94" t="n">
        <v>2020</v>
      </c>
      <c r="C417" s="94" t="inlineStr">
        <is>
          <t>2020-Q1</t>
        </is>
      </c>
      <c r="D417" s="186" t="n">
        <v>9618.409248250409</v>
      </c>
      <c r="E417" s="188" t="n">
        <v>175312937106.922</v>
      </c>
      <c r="F417" s="188" t="n">
        <v>50502739123.7538</v>
      </c>
    </row>
    <row r="418" ht="15" customHeight="1" s="95">
      <c r="A418" s="143" t="n">
        <v>43882</v>
      </c>
      <c r="B418" s="94" t="n">
        <v>2020</v>
      </c>
      <c r="C418" s="94" t="inlineStr">
        <is>
          <t>2020-Q1</t>
        </is>
      </c>
      <c r="D418" s="186" t="n">
        <v>9608.169181282459</v>
      </c>
      <c r="E418" s="188" t="n">
        <v>174871048291.166</v>
      </c>
      <c r="F418" s="188" t="n">
        <v>53579139400.8085</v>
      </c>
    </row>
    <row r="419" ht="15" customHeight="1" s="95">
      <c r="A419" s="143" t="n">
        <v>43883</v>
      </c>
      <c r="B419" s="94" t="n">
        <v>2020</v>
      </c>
      <c r="C419" s="94" t="inlineStr">
        <is>
          <t>2020-Q1</t>
        </is>
      </c>
      <c r="D419" s="186" t="n">
        <v>9673.011800270349</v>
      </c>
      <c r="E419" s="188" t="n">
        <v>176701844101.557</v>
      </c>
      <c r="F419" s="188" t="n">
        <v>37678167400.7192</v>
      </c>
    </row>
    <row r="420" ht="15" customHeight="1" s="95">
      <c r="A420" s="143" t="n">
        <v>43884</v>
      </c>
      <c r="B420" s="94" t="n">
        <v>2020</v>
      </c>
      <c r="C420" s="94" t="inlineStr">
        <is>
          <t>2020-Q1</t>
        </is>
      </c>
      <c r="D420" s="186" t="n">
        <v>9658.60605837547</v>
      </c>
      <c r="E420" s="188" t="n">
        <v>176097270350.483</v>
      </c>
      <c r="F420" s="188" t="n">
        <v>32555342237.0844</v>
      </c>
    </row>
    <row r="421" ht="15" customHeight="1" s="95">
      <c r="A421" s="143" t="n">
        <v>43885</v>
      </c>
      <c r="B421" s="94" t="n">
        <v>2020</v>
      </c>
      <c r="C421" s="94" t="inlineStr">
        <is>
          <t>2020-Q1</t>
        </is>
      </c>
      <c r="D421" s="186" t="n">
        <v>9946.71612346752</v>
      </c>
      <c r="E421" s="188" t="n">
        <v>181368043820.094</v>
      </c>
      <c r="F421" s="188" t="n">
        <v>38743680759.3286</v>
      </c>
    </row>
    <row r="422" ht="15" customHeight="1" s="95">
      <c r="A422" s="143" t="n">
        <v>43886</v>
      </c>
      <c r="B422" s="94" t="n">
        <v>2020</v>
      </c>
      <c r="C422" s="94" t="inlineStr">
        <is>
          <t>2020-Q1</t>
        </is>
      </c>
      <c r="D422" s="186" t="n">
        <v>9670.9608064677</v>
      </c>
      <c r="E422" s="188" t="n">
        <v>175872097740.407</v>
      </c>
      <c r="F422" s="188" t="n">
        <v>41928789500.123</v>
      </c>
    </row>
    <row r="423" ht="15" customHeight="1" s="95">
      <c r="A423" s="143" t="n">
        <v>43887</v>
      </c>
      <c r="B423" s="94" t="n">
        <v>2020</v>
      </c>
      <c r="C423" s="94" t="inlineStr">
        <is>
          <t>2020-Q1</t>
        </is>
      </c>
      <c r="D423" s="186" t="n">
        <v>9345.342701734849</v>
      </c>
      <c r="E423" s="188" t="n">
        <v>170478976467.624</v>
      </c>
      <c r="F423" s="188" t="n">
        <v>39441760776.3185</v>
      </c>
    </row>
    <row r="424" ht="15" customHeight="1" s="95">
      <c r="A424" s="143" t="n">
        <v>43888</v>
      </c>
      <c r="B424" s="94" t="n">
        <v>2020</v>
      </c>
      <c r="C424" s="94" t="inlineStr">
        <is>
          <t>2020-Q1</t>
        </is>
      </c>
      <c r="D424" s="186" t="n">
        <v>8801.6571294725</v>
      </c>
      <c r="E424" s="188" t="n">
        <v>160731785487.815</v>
      </c>
      <c r="F424" s="188" t="n">
        <v>45140119229.636</v>
      </c>
    </row>
    <row r="425" ht="15" customHeight="1" s="95">
      <c r="A425" s="143" t="n">
        <v>43889</v>
      </c>
      <c r="B425" s="94" t="n">
        <v>2020</v>
      </c>
      <c r="C425" s="94" t="inlineStr">
        <is>
          <t>2020-Q1</t>
        </is>
      </c>
      <c r="D425" s="186" t="n">
        <v>8781.175282202361</v>
      </c>
      <c r="E425" s="188" t="n">
        <v>160149975301.42</v>
      </c>
      <c r="F425" s="188" t="n">
        <v>43045469000.9768</v>
      </c>
    </row>
    <row r="426" ht="15" customHeight="1" s="95">
      <c r="A426" s="143" t="n">
        <v>43890</v>
      </c>
      <c r="B426" s="94" t="n">
        <v>2020</v>
      </c>
      <c r="C426" s="94" t="inlineStr">
        <is>
          <t>2020-Q1</t>
        </is>
      </c>
      <c r="D426" s="186" t="n">
        <v>8717.33143135942</v>
      </c>
      <c r="E426" s="188" t="n">
        <v>159030381910.267</v>
      </c>
      <c r="F426" s="188" t="n">
        <v>41297721067.3018</v>
      </c>
    </row>
    <row r="427" ht="15" customHeight="1" s="95">
      <c r="A427" s="143" t="n">
        <v>43891</v>
      </c>
      <c r="B427" s="94" t="n">
        <v>2020</v>
      </c>
      <c r="C427" s="94" t="inlineStr">
        <is>
          <t>2020-Q1</t>
        </is>
      </c>
      <c r="D427" s="186" t="n">
        <v>8552.98911858164</v>
      </c>
      <c r="E427" s="188" t="n">
        <v>156047250857.112</v>
      </c>
      <c r="F427" s="188" t="n">
        <v>33291626663.0067</v>
      </c>
    </row>
    <row r="428" ht="15" customHeight="1" s="95">
      <c r="A428" s="143" t="n">
        <v>43892</v>
      </c>
      <c r="B428" s="94" t="n">
        <v>2020</v>
      </c>
      <c r="C428" s="94" t="inlineStr">
        <is>
          <t>2020-Q1</t>
        </is>
      </c>
      <c r="D428" s="186" t="n">
        <v>8567.802248679231</v>
      </c>
      <c r="E428" s="188" t="n">
        <v>155934421965.273</v>
      </c>
      <c r="F428" s="188" t="n">
        <v>34310775733.3222</v>
      </c>
    </row>
    <row r="429" ht="15" customHeight="1" s="95">
      <c r="A429" s="143" t="n">
        <v>43893</v>
      </c>
      <c r="B429" s="94" t="n">
        <v>2020</v>
      </c>
      <c r="C429" s="94" t="inlineStr">
        <is>
          <t>2020-Q1</t>
        </is>
      </c>
      <c r="D429" s="186" t="n">
        <v>8905.87610426219</v>
      </c>
      <c r="E429" s="188" t="n">
        <v>162521881368.876</v>
      </c>
      <c r="F429" s="188" t="n">
        <v>59776629742.5713</v>
      </c>
    </row>
    <row r="430" ht="15" customHeight="1" s="95">
      <c r="A430" s="143" t="n">
        <v>43894</v>
      </c>
      <c r="B430" s="94" t="n">
        <v>2020</v>
      </c>
      <c r="C430" s="94" t="inlineStr">
        <is>
          <t>2020-Q1</t>
        </is>
      </c>
      <c r="D430" s="186" t="n">
        <v>8756.718576742551</v>
      </c>
      <c r="E430" s="188" t="n">
        <v>159816567727.143</v>
      </c>
      <c r="F430" s="188" t="n">
        <v>68336042797.3885</v>
      </c>
    </row>
    <row r="431" ht="15" customHeight="1" s="95">
      <c r="A431" s="143" t="n">
        <v>43895</v>
      </c>
      <c r="B431" s="94" t="n">
        <v>2020</v>
      </c>
      <c r="C431" s="94" t="inlineStr">
        <is>
          <t>2020-Q1</t>
        </is>
      </c>
      <c r="D431" s="186" t="n">
        <v>8758.64699319192</v>
      </c>
      <c r="E431" s="188" t="n">
        <v>159869936941.097</v>
      </c>
      <c r="F431" s="188" t="n">
        <v>38832067216.8779</v>
      </c>
    </row>
    <row r="432" ht="15" customHeight="1" s="95">
      <c r="A432" s="143" t="n">
        <v>43896</v>
      </c>
      <c r="B432" s="94" t="n">
        <v>2020</v>
      </c>
      <c r="C432" s="94" t="inlineStr">
        <is>
          <t>2020-Q1</t>
        </is>
      </c>
      <c r="D432" s="186" t="n">
        <v>9038.87032323343</v>
      </c>
      <c r="E432" s="188" t="n">
        <v>165070261612.788</v>
      </c>
      <c r="F432" s="188" t="n">
        <v>38122635173.1504</v>
      </c>
    </row>
    <row r="433" ht="15" customHeight="1" s="95">
      <c r="A433" s="143" t="n">
        <v>43897</v>
      </c>
      <c r="B433" s="94" t="n">
        <v>2020</v>
      </c>
      <c r="C433" s="94" t="inlineStr">
        <is>
          <t>2020-Q1</t>
        </is>
      </c>
      <c r="D433" s="186" t="n">
        <v>9135.845066033209</v>
      </c>
      <c r="E433" s="188" t="n">
        <v>166791067805.428</v>
      </c>
      <c r="F433" s="188" t="n">
        <v>41388087588.4427</v>
      </c>
    </row>
    <row r="434" ht="15" customHeight="1" s="95">
      <c r="A434" s="143" t="n">
        <v>43898</v>
      </c>
      <c r="B434" s="94" t="n">
        <v>2020</v>
      </c>
      <c r="C434" s="94" t="inlineStr">
        <is>
          <t>2020-Q1</t>
        </is>
      </c>
      <c r="D434" s="186" t="n">
        <v>8902.20195010789</v>
      </c>
      <c r="E434" s="188" t="n">
        <v>162543409238.005</v>
      </c>
      <c r="F434" s="188" t="n">
        <v>36764763103.1224</v>
      </c>
    </row>
    <row r="435" ht="15" customHeight="1" s="95">
      <c r="A435" s="143" t="n">
        <v>43899</v>
      </c>
      <c r="B435" s="94" t="n">
        <v>2020</v>
      </c>
      <c r="C435" s="94" t="inlineStr">
        <is>
          <t>2020-Q1</t>
        </is>
      </c>
      <c r="D435" s="186" t="n">
        <v>8041.36553807184</v>
      </c>
      <c r="E435" s="188" t="n">
        <v>147076617271.689</v>
      </c>
      <c r="F435" s="188" t="n">
        <v>39132209137.6972</v>
      </c>
    </row>
    <row r="436" ht="15" customHeight="1" s="95">
      <c r="A436" s="143" t="n">
        <v>43900</v>
      </c>
      <c r="B436" s="94" t="n">
        <v>2020</v>
      </c>
      <c r="C436" s="94" t="inlineStr">
        <is>
          <t>2020-Q1</t>
        </is>
      </c>
      <c r="D436" s="186" t="n">
        <v>7921.33200691072</v>
      </c>
      <c r="E436" s="188" t="n">
        <v>144664117909.408</v>
      </c>
      <c r="F436" s="188" t="n">
        <v>45678665163.1102</v>
      </c>
    </row>
    <row r="437" ht="15" customHeight="1" s="95">
      <c r="A437" s="143" t="n">
        <v>43901</v>
      </c>
      <c r="B437" s="94" t="n">
        <v>2020</v>
      </c>
      <c r="C437" s="94" t="inlineStr">
        <is>
          <t>2020-Q1</t>
        </is>
      </c>
      <c r="D437" s="186" t="n">
        <v>7906.73152851063</v>
      </c>
      <c r="E437" s="188" t="n">
        <v>144410718987.889</v>
      </c>
      <c r="F437" s="188" t="n">
        <v>40882213633.9465</v>
      </c>
    </row>
    <row r="438" ht="15" customHeight="1" s="95">
      <c r="A438" s="143" t="n">
        <v>43902</v>
      </c>
      <c r="B438" s="94" t="n">
        <v>2020</v>
      </c>
      <c r="C438" s="94" t="inlineStr">
        <is>
          <t>2020-Q1</t>
        </is>
      </c>
      <c r="D438" s="186" t="n">
        <v>7935.52204017055</v>
      </c>
      <c r="E438" s="188" t="n">
        <v>144948460093.296</v>
      </c>
      <c r="F438" s="188" t="n">
        <v>38689036552.8113</v>
      </c>
    </row>
    <row r="439" ht="15" customHeight="1" s="95">
      <c r="A439" s="143" t="n">
        <v>43903</v>
      </c>
      <c r="B439" s="94" t="n">
        <v>2020</v>
      </c>
      <c r="C439" s="94" t="inlineStr">
        <is>
          <t>2020-Q1</t>
        </is>
      </c>
      <c r="D439" s="186" t="n">
        <v>5142.99045901832</v>
      </c>
      <c r="E439" s="188" t="n">
        <v>93092131086.97031</v>
      </c>
      <c r="F439" s="188" t="n">
        <v>50009548492.0749</v>
      </c>
    </row>
    <row r="440" ht="15" customHeight="1" s="95">
      <c r="A440" s="143" t="n">
        <v>43904</v>
      </c>
      <c r="B440" s="94" t="n">
        <v>2020</v>
      </c>
      <c r="C440" s="94" t="inlineStr">
        <is>
          <t>2020-Q1</t>
        </is>
      </c>
      <c r="D440" s="186" t="n">
        <v>5542.81954237315</v>
      </c>
      <c r="E440" s="188" t="n">
        <v>101262945297.358</v>
      </c>
      <c r="F440" s="188" t="n">
        <v>74329688818.104</v>
      </c>
    </row>
    <row r="441" ht="15" customHeight="1" s="95">
      <c r="A441" s="143" t="n">
        <v>43905</v>
      </c>
      <c r="B441" s="94" t="n">
        <v>2020</v>
      </c>
      <c r="C441" s="94" t="inlineStr">
        <is>
          <t>2020-Q1</t>
        </is>
      </c>
      <c r="D441" s="186" t="n">
        <v>5214.18911238392</v>
      </c>
      <c r="E441" s="188" t="n">
        <v>95216478864.65559</v>
      </c>
      <c r="F441" s="188" t="n">
        <v>36054625746.8282</v>
      </c>
    </row>
    <row r="442" ht="15" customHeight="1" s="95">
      <c r="A442" s="143" t="n">
        <v>43906</v>
      </c>
      <c r="B442" s="94" t="n">
        <v>2020</v>
      </c>
      <c r="C442" s="94" t="inlineStr">
        <is>
          <t>2020-Q1</t>
        </is>
      </c>
      <c r="D442" s="186" t="n">
        <v>5397.93335743919</v>
      </c>
      <c r="E442" s="188" t="n">
        <v>98632587514.0025</v>
      </c>
      <c r="F442" s="188" t="n">
        <v>32985693209.7478</v>
      </c>
    </row>
    <row r="443" ht="15" customHeight="1" s="95">
      <c r="A443" s="143" t="n">
        <v>43907</v>
      </c>
      <c r="B443" s="94" t="n">
        <v>2020</v>
      </c>
      <c r="C443" s="94" t="inlineStr">
        <is>
          <t>2020-Q1</t>
        </is>
      </c>
      <c r="D443" s="186" t="n">
        <v>5032.50135148772</v>
      </c>
      <c r="E443" s="188" t="n">
        <v>91962797384.2825</v>
      </c>
      <c r="F443" s="188" t="n">
        <v>44034438467.9668</v>
      </c>
    </row>
    <row r="444" ht="15" customHeight="1" s="95">
      <c r="A444" s="143" t="n">
        <v>43908</v>
      </c>
      <c r="B444" s="94" t="n">
        <v>2020</v>
      </c>
      <c r="C444" s="94" t="inlineStr">
        <is>
          <t>2020-Q1</t>
        </is>
      </c>
      <c r="D444" s="186" t="n">
        <v>5389.41577503409</v>
      </c>
      <c r="E444" s="188" t="n">
        <v>98079756006.79289</v>
      </c>
      <c r="F444" s="188" t="n">
        <v>36007089253.8226</v>
      </c>
    </row>
    <row r="445" ht="15" customHeight="1" s="95">
      <c r="A445" s="143" t="n">
        <v>43909</v>
      </c>
      <c r="B445" s="94" t="n">
        <v>2020</v>
      </c>
      <c r="C445" s="94" t="inlineStr">
        <is>
          <t>2020-Q1</t>
        </is>
      </c>
      <c r="D445" s="186" t="n">
        <v>5376.28074784544</v>
      </c>
      <c r="E445" s="188" t="n">
        <v>98259998309.05321</v>
      </c>
      <c r="F445" s="188" t="n">
        <v>37618067230.4141</v>
      </c>
    </row>
    <row r="446" ht="15" customHeight="1" s="95">
      <c r="A446" s="143" t="n">
        <v>43910</v>
      </c>
      <c r="B446" s="94" t="n">
        <v>2020</v>
      </c>
      <c r="C446" s="94" t="inlineStr">
        <is>
          <t>2020-Q1</t>
        </is>
      </c>
      <c r="D446" s="186" t="n">
        <v>6170.20060023768</v>
      </c>
      <c r="E446" s="188" t="n">
        <v>112778383593.491</v>
      </c>
      <c r="F446" s="188" t="n">
        <v>48056214948.1565</v>
      </c>
    </row>
    <row r="447" ht="15" customHeight="1" s="95">
      <c r="A447" s="143" t="n">
        <v>43911</v>
      </c>
      <c r="B447" s="94" t="n">
        <v>2020</v>
      </c>
      <c r="C447" s="94" t="inlineStr">
        <is>
          <t>2020-Q1</t>
        </is>
      </c>
      <c r="D447" s="186" t="n">
        <v>6195.60350525763</v>
      </c>
      <c r="E447" s="188" t="n">
        <v>113030383272.514</v>
      </c>
      <c r="F447" s="188" t="n">
        <v>50936770688.254</v>
      </c>
    </row>
    <row r="448" ht="15" customHeight="1" s="95">
      <c r="A448" s="143" t="n">
        <v>43912</v>
      </c>
      <c r="B448" s="94" t="n">
        <v>2020</v>
      </c>
      <c r="C448" s="94" t="inlineStr">
        <is>
          <t>2020-Q1</t>
        </is>
      </c>
      <c r="D448" s="186" t="n">
        <v>6145.7708912524</v>
      </c>
      <c r="E448" s="188" t="n">
        <v>112349835902.33</v>
      </c>
      <c r="F448" s="188" t="n">
        <v>40189198131.4632</v>
      </c>
    </row>
    <row r="449" ht="15" customHeight="1" s="95">
      <c r="A449" s="143" t="n">
        <v>43913</v>
      </c>
      <c r="B449" s="94" t="n">
        <v>2020</v>
      </c>
      <c r="C449" s="94" t="inlineStr">
        <is>
          <t>2020-Q1</t>
        </is>
      </c>
      <c r="D449" s="186" t="n">
        <v>5859.64743029939</v>
      </c>
      <c r="E449" s="188" t="n">
        <v>107128564670.891</v>
      </c>
      <c r="F449" s="188" t="n">
        <v>37255748385.3039</v>
      </c>
    </row>
    <row r="450" ht="15" customHeight="1" s="95">
      <c r="A450" s="143" t="n">
        <v>43914</v>
      </c>
      <c r="B450" s="94" t="n">
        <v>2020</v>
      </c>
      <c r="C450" s="94" t="inlineStr">
        <is>
          <t>2020-Q1</t>
        </is>
      </c>
      <c r="D450" s="186" t="n">
        <v>6456.34748596342</v>
      </c>
      <c r="E450" s="188" t="n">
        <v>118046727572.545</v>
      </c>
      <c r="F450" s="188" t="n">
        <v>45578824447.6458</v>
      </c>
    </row>
    <row r="451" ht="15" customHeight="1" s="95">
      <c r="A451" s="143" t="n">
        <v>43915</v>
      </c>
      <c r="B451" s="94" t="n">
        <v>2020</v>
      </c>
      <c r="C451" s="94" t="inlineStr">
        <is>
          <t>2020-Q1</t>
        </is>
      </c>
      <c r="D451" s="186" t="n">
        <v>6730.17378237119</v>
      </c>
      <c r="E451" s="188" t="n">
        <v>123064256188.859</v>
      </c>
      <c r="F451" s="188" t="n">
        <v>45846522059.3732</v>
      </c>
    </row>
    <row r="452" ht="15" customHeight="1" s="95">
      <c r="A452" s="143" t="n">
        <v>43916</v>
      </c>
      <c r="B452" s="94" t="n">
        <v>2020</v>
      </c>
      <c r="C452" s="94" t="inlineStr">
        <is>
          <t>2020-Q1</t>
        </is>
      </c>
      <c r="D452" s="186" t="n">
        <v>6695.90061839772</v>
      </c>
      <c r="E452" s="188" t="n">
        <v>122445336599.199</v>
      </c>
      <c r="F452" s="188" t="n">
        <v>42082295491.0308</v>
      </c>
    </row>
    <row r="453" ht="15" customHeight="1" s="95">
      <c r="A453" s="143" t="n">
        <v>43917</v>
      </c>
      <c r="B453" s="94" t="n">
        <v>2020</v>
      </c>
      <c r="C453" s="94" t="inlineStr">
        <is>
          <t>2020-Q1</t>
        </is>
      </c>
      <c r="D453" s="186" t="n">
        <v>6765.56207892991</v>
      </c>
      <c r="E453" s="188" t="n">
        <v>123732739823.463</v>
      </c>
      <c r="F453" s="188" t="n">
        <v>34840544710.1089</v>
      </c>
    </row>
    <row r="454" ht="15" customHeight="1" s="95">
      <c r="A454" s="143" t="n">
        <v>43918</v>
      </c>
      <c r="B454" s="94" t="n">
        <v>2020</v>
      </c>
      <c r="C454" s="94" t="inlineStr">
        <is>
          <t>2020-Q1</t>
        </is>
      </c>
      <c r="D454" s="186" t="n">
        <v>6397.8263283256</v>
      </c>
      <c r="E454" s="188" t="n">
        <v>117019679177.814</v>
      </c>
      <c r="F454" s="188" t="n">
        <v>32910551599.4724</v>
      </c>
    </row>
    <row r="455" ht="15" customHeight="1" s="95">
      <c r="A455" s="143" t="n">
        <v>43919</v>
      </c>
      <c r="B455" s="94" t="n">
        <v>2020</v>
      </c>
      <c r="C455" s="94" t="inlineStr">
        <is>
          <t>2020-Q1</t>
        </is>
      </c>
      <c r="D455" s="186" t="n">
        <v>6255.00039869363</v>
      </c>
      <c r="E455" s="188" t="n">
        <v>114171796491.499</v>
      </c>
      <c r="F455" s="188" t="n">
        <v>35231848358.5514</v>
      </c>
    </row>
    <row r="456" ht="15" customHeight="1" s="95">
      <c r="A456" s="143" t="n">
        <v>43920</v>
      </c>
      <c r="B456" s="94" t="n">
        <v>2020</v>
      </c>
      <c r="C456" s="94" t="inlineStr">
        <is>
          <t>2020-Q1</t>
        </is>
      </c>
      <c r="D456" s="186" t="n">
        <v>5915.3371547919</v>
      </c>
      <c r="E456" s="188" t="n">
        <v>108551603303.51</v>
      </c>
      <c r="F456" s="188" t="n">
        <v>25923471292.1764</v>
      </c>
    </row>
    <row r="457" ht="15" customHeight="1" s="95">
      <c r="A457" s="143" t="n">
        <v>43921</v>
      </c>
      <c r="B457" s="94" t="n">
        <v>2020</v>
      </c>
      <c r="C457" s="94" t="inlineStr">
        <is>
          <t>2020-Q1</t>
        </is>
      </c>
      <c r="D457" s="186" t="n">
        <v>6403.14123556522</v>
      </c>
      <c r="E457" s="188" t="n">
        <v>117151628726.534</v>
      </c>
      <c r="F457" s="188" t="n">
        <v>34907149977.5792</v>
      </c>
    </row>
    <row r="458" ht="15" customHeight="1" s="95">
      <c r="A458" s="143" t="n">
        <v>43922</v>
      </c>
      <c r="B458" s="94" t="n">
        <v>2020</v>
      </c>
      <c r="C458" s="94" t="inlineStr">
        <is>
          <t>2020-Q2</t>
        </is>
      </c>
      <c r="D458" s="186" t="n">
        <v>6421.70541388854</v>
      </c>
      <c r="E458" s="188" t="n">
        <v>117750205634.4</v>
      </c>
      <c r="F458" s="188" t="n">
        <v>32287674952.1782</v>
      </c>
    </row>
    <row r="459" ht="15" customHeight="1" s="95">
      <c r="A459" s="143" t="n">
        <v>43923</v>
      </c>
      <c r="B459" s="94" t="n">
        <v>2020</v>
      </c>
      <c r="C459" s="94" t="inlineStr">
        <is>
          <t>2020-Q2</t>
        </is>
      </c>
      <c r="D459" s="186" t="n">
        <v>6640.79766631013</v>
      </c>
      <c r="E459" s="188" t="n">
        <v>120921617010.348</v>
      </c>
      <c r="F459" s="188" t="n">
        <v>35886963977.7153</v>
      </c>
    </row>
    <row r="460" ht="15" customHeight="1" s="95">
      <c r="A460" s="143" t="n">
        <v>43924</v>
      </c>
      <c r="B460" s="94" t="n">
        <v>2020</v>
      </c>
      <c r="C460" s="94" t="inlineStr">
        <is>
          <t>2020-Q2</t>
        </is>
      </c>
      <c r="D460" s="186" t="n">
        <v>6807.89701789057</v>
      </c>
      <c r="E460" s="188" t="n">
        <v>124719708453.635</v>
      </c>
      <c r="F460" s="188" t="n">
        <v>47638672293.7378</v>
      </c>
    </row>
    <row r="461" ht="15" customHeight="1" s="95">
      <c r="A461" s="143" t="n">
        <v>43925</v>
      </c>
      <c r="B461" s="94" t="n">
        <v>2020</v>
      </c>
      <c r="C461" s="94" t="inlineStr">
        <is>
          <t>2020-Q2</t>
        </is>
      </c>
      <c r="D461" s="186" t="n">
        <v>6732.85201839461</v>
      </c>
      <c r="E461" s="188" t="n">
        <v>123234164427.708</v>
      </c>
      <c r="F461" s="188" t="n">
        <v>39867535857.2539</v>
      </c>
    </row>
    <row r="462" ht="15" customHeight="1" s="95">
      <c r="A462" s="143" t="n">
        <v>43926</v>
      </c>
      <c r="B462" s="94" t="n">
        <v>2020</v>
      </c>
      <c r="C462" s="94" t="inlineStr">
        <is>
          <t>2020-Q2</t>
        </is>
      </c>
      <c r="D462" s="186" t="n">
        <v>6859.42492372194</v>
      </c>
      <c r="E462" s="188" t="n">
        <v>125564427826.176</v>
      </c>
      <c r="F462" s="188" t="n">
        <v>35009177102.1324</v>
      </c>
    </row>
    <row r="463" ht="15" customHeight="1" s="95">
      <c r="A463" s="143" t="n">
        <v>43927</v>
      </c>
      <c r="B463" s="94" t="n">
        <v>2020</v>
      </c>
      <c r="C463" s="94" t="inlineStr">
        <is>
          <t>2020-Q2</t>
        </is>
      </c>
      <c r="D463" s="186" t="n">
        <v>6788.04827260592</v>
      </c>
      <c r="E463" s="188" t="n">
        <v>124272363451.94</v>
      </c>
      <c r="F463" s="188" t="n">
        <v>31885662165.0149</v>
      </c>
    </row>
    <row r="464" ht="15" customHeight="1" s="95">
      <c r="A464" s="143" t="n">
        <v>43928</v>
      </c>
      <c r="B464" s="94" t="n">
        <v>2020</v>
      </c>
      <c r="C464" s="94" t="inlineStr">
        <is>
          <t>2020-Q2</t>
        </is>
      </c>
      <c r="D464" s="186" t="n">
        <v>7297.6355582895</v>
      </c>
      <c r="E464" s="188" t="n">
        <v>133484854333.45</v>
      </c>
      <c r="F464" s="188" t="n">
        <v>45370138560.8249</v>
      </c>
    </row>
    <row r="465" ht="15" customHeight="1" s="95">
      <c r="A465" s="143" t="n">
        <v>43929</v>
      </c>
      <c r="B465" s="94" t="n">
        <v>2020</v>
      </c>
      <c r="C465" s="94" t="inlineStr">
        <is>
          <t>2020-Q2</t>
        </is>
      </c>
      <c r="D465" s="186" t="n">
        <v>7196.78220244205</v>
      </c>
      <c r="E465" s="188" t="n">
        <v>131782164465.853</v>
      </c>
      <c r="F465" s="188" t="n">
        <v>43386074290.7147</v>
      </c>
    </row>
    <row r="466" ht="15" customHeight="1" s="95">
      <c r="A466" s="143" t="n">
        <v>43930</v>
      </c>
      <c r="B466" s="94" t="n">
        <v>2020</v>
      </c>
      <c r="C466" s="94" t="inlineStr">
        <is>
          <t>2020-Q2</t>
        </is>
      </c>
      <c r="D466" s="186" t="n">
        <v>7342.29160114802</v>
      </c>
      <c r="E466" s="188" t="n">
        <v>134518720640.023</v>
      </c>
      <c r="F466" s="188" t="n">
        <v>38922547592.8621</v>
      </c>
    </row>
    <row r="467" ht="15" customHeight="1" s="95">
      <c r="A467" s="143" t="n">
        <v>43931</v>
      </c>
      <c r="B467" s="94" t="n">
        <v>2020</v>
      </c>
      <c r="C467" s="94" t="inlineStr">
        <is>
          <t>2020-Q2</t>
        </is>
      </c>
      <c r="D467" s="186" t="n">
        <v>7294.48887512155</v>
      </c>
      <c r="E467" s="188" t="n">
        <v>133598651281.718</v>
      </c>
      <c r="F467" s="188" t="n">
        <v>34921486435.0605</v>
      </c>
    </row>
    <row r="468" ht="15" customHeight="1" s="95">
      <c r="A468" s="143" t="n">
        <v>43932</v>
      </c>
      <c r="B468" s="94" t="n">
        <v>2020</v>
      </c>
      <c r="C468" s="94" t="inlineStr">
        <is>
          <t>2020-Q2</t>
        </is>
      </c>
      <c r="D468" s="186" t="n">
        <v>6864.6942570065</v>
      </c>
      <c r="E468" s="188" t="n">
        <v>125740858699.276</v>
      </c>
      <c r="F468" s="188" t="n">
        <v>37828011010.9016</v>
      </c>
    </row>
    <row r="469" ht="15" customHeight="1" s="95">
      <c r="A469" s="143" t="n">
        <v>43933</v>
      </c>
      <c r="B469" s="94" t="n">
        <v>2020</v>
      </c>
      <c r="C469" s="94" t="inlineStr">
        <is>
          <t>2020-Q2</t>
        </is>
      </c>
      <c r="D469" s="186" t="n">
        <v>6878.78121258985</v>
      </c>
      <c r="E469" s="188" t="n">
        <v>125980543742.365</v>
      </c>
      <c r="F469" s="188" t="n">
        <v>30280054180.2884</v>
      </c>
    </row>
    <row r="470" ht="15" customHeight="1" s="95">
      <c r="A470" s="143" t="n">
        <v>43934</v>
      </c>
      <c r="B470" s="94" t="n">
        <v>2020</v>
      </c>
      <c r="C470" s="94" t="inlineStr">
        <is>
          <t>2020-Q2</t>
        </is>
      </c>
      <c r="D470" s="186" t="n">
        <v>6913.1587874691</v>
      </c>
      <c r="E470" s="188" t="n">
        <v>126655463658.312</v>
      </c>
      <c r="F470" s="188" t="n">
        <v>34544392366.0494</v>
      </c>
    </row>
    <row r="471" ht="15" customHeight="1" s="95">
      <c r="A471" s="143" t="n">
        <v>43935</v>
      </c>
      <c r="B471" s="94" t="n">
        <v>2020</v>
      </c>
      <c r="C471" s="94" t="inlineStr">
        <is>
          <t>2020-Q2</t>
        </is>
      </c>
      <c r="D471" s="186" t="n">
        <v>6857.53853751148</v>
      </c>
      <c r="E471" s="188" t="n">
        <v>125651103790.212</v>
      </c>
      <c r="F471" s="188" t="n">
        <v>38062368291.0816</v>
      </c>
    </row>
    <row r="472" ht="15" customHeight="1" s="95">
      <c r="A472" s="143" t="n">
        <v>43936</v>
      </c>
      <c r="B472" s="94" t="n">
        <v>2020</v>
      </c>
      <c r="C472" s="94" t="inlineStr">
        <is>
          <t>2020-Q2</t>
        </is>
      </c>
      <c r="D472" s="186" t="n">
        <v>6860.17853570111</v>
      </c>
      <c r="E472" s="188" t="n">
        <v>125713883015.646</v>
      </c>
      <c r="F472" s="188" t="n">
        <v>33837365577.4498</v>
      </c>
    </row>
    <row r="473" ht="15" customHeight="1" s="95">
      <c r="A473" s="143" t="n">
        <v>43937</v>
      </c>
      <c r="B473" s="94" t="n">
        <v>2020</v>
      </c>
      <c r="C473" s="94" t="inlineStr">
        <is>
          <t>2020-Q2</t>
        </is>
      </c>
      <c r="D473" s="186" t="n">
        <v>6629.43173803129</v>
      </c>
      <c r="E473" s="188" t="n">
        <v>121499498109.808</v>
      </c>
      <c r="F473" s="188" t="n">
        <v>29692916171.0118</v>
      </c>
    </row>
    <row r="474" ht="15" customHeight="1" s="95">
      <c r="A474" s="143" t="n">
        <v>43938</v>
      </c>
      <c r="B474" s="94" t="n">
        <v>2020</v>
      </c>
      <c r="C474" s="94" t="inlineStr">
        <is>
          <t>2020-Q2</t>
        </is>
      </c>
      <c r="D474" s="186" t="n">
        <v>7059.92622475854</v>
      </c>
      <c r="E474" s="188" t="n">
        <v>129402884477.959</v>
      </c>
      <c r="F474" s="188" t="n">
        <v>45752002264.2743</v>
      </c>
    </row>
    <row r="475" ht="15" customHeight="1" s="95">
      <c r="A475" s="143" t="n">
        <v>43939</v>
      </c>
      <c r="B475" s="94" t="n">
        <v>2020</v>
      </c>
      <c r="C475" s="94" t="inlineStr">
        <is>
          <t>2020-Q2</t>
        </is>
      </c>
      <c r="D475" s="186" t="n">
        <v>7035.26150398923</v>
      </c>
      <c r="E475" s="188" t="n">
        <v>128961704237.389</v>
      </c>
      <c r="F475" s="188" t="n">
        <v>31701906839.6215</v>
      </c>
    </row>
    <row r="476" ht="15" customHeight="1" s="95">
      <c r="A476" s="143" t="n">
        <v>43940</v>
      </c>
      <c r="B476" s="94" t="n">
        <v>2020</v>
      </c>
      <c r="C476" s="94" t="inlineStr">
        <is>
          <t>2020-Q2</t>
        </is>
      </c>
      <c r="D476" s="186" t="n">
        <v>7242.51092949298</v>
      </c>
      <c r="E476" s="188" t="n">
        <v>132775323305.436</v>
      </c>
      <c r="F476" s="188" t="n">
        <v>30035235468.3311</v>
      </c>
    </row>
    <row r="477" ht="15" customHeight="1" s="95">
      <c r="A477" s="143" t="n">
        <v>43941</v>
      </c>
      <c r="B477" s="94" t="n">
        <v>2020</v>
      </c>
      <c r="C477" s="94" t="inlineStr">
        <is>
          <t>2020-Q2</t>
        </is>
      </c>
      <c r="D477" s="186" t="n">
        <v>7127.51194968915</v>
      </c>
      <c r="E477" s="188" t="n">
        <v>130680700686.31</v>
      </c>
      <c r="F477" s="188" t="n">
        <v>29714765522.3253</v>
      </c>
    </row>
    <row r="478" ht="15" customHeight="1" s="95">
      <c r="A478" s="143" t="n">
        <v>43942</v>
      </c>
      <c r="B478" s="94" t="n">
        <v>2020</v>
      </c>
      <c r="C478" s="94" t="inlineStr">
        <is>
          <t>2020-Q2</t>
        </is>
      </c>
      <c r="D478" s="186" t="n">
        <v>6856.45627835471</v>
      </c>
      <c r="E478" s="188" t="n">
        <v>125724610427.9</v>
      </c>
      <c r="F478" s="188" t="n">
        <v>35276609104.4571</v>
      </c>
    </row>
    <row r="479" ht="15" customHeight="1" s="95">
      <c r="A479" s="143" t="n">
        <v>43943</v>
      </c>
      <c r="B479" s="94" t="n">
        <v>2020</v>
      </c>
      <c r="C479" s="94" t="inlineStr">
        <is>
          <t>2020-Q2</t>
        </is>
      </c>
      <c r="D479" s="186" t="n">
        <v>6842.0385976346</v>
      </c>
      <c r="E479" s="188" t="n">
        <v>125473149029.115</v>
      </c>
      <c r="F479" s="188" t="n">
        <v>30093303601.3907</v>
      </c>
    </row>
    <row r="480" ht="15" customHeight="1" s="95">
      <c r="A480" s="143" t="n">
        <v>43944</v>
      </c>
      <c r="B480" s="94" t="n">
        <v>2020</v>
      </c>
      <c r="C480" s="94" t="inlineStr">
        <is>
          <t>2020-Q2</t>
        </is>
      </c>
      <c r="D480" s="186" t="n">
        <v>7109.99529118178</v>
      </c>
      <c r="E480" s="188" t="n">
        <v>130398643209.393</v>
      </c>
      <c r="F480" s="188" t="n">
        <v>30819547915.3444</v>
      </c>
    </row>
    <row r="481" ht="15" customHeight="1" s="95">
      <c r="A481" s="143" t="n">
        <v>43945</v>
      </c>
      <c r="B481" s="94" t="n">
        <v>2020</v>
      </c>
      <c r="C481" s="94" t="inlineStr">
        <is>
          <t>2020-Q2</t>
        </is>
      </c>
      <c r="D481" s="186" t="n">
        <v>7382.79314411669</v>
      </c>
      <c r="E481" s="188" t="n">
        <v>135414822709.731</v>
      </c>
      <c r="F481" s="188" t="n">
        <v>41032858925.236</v>
      </c>
    </row>
    <row r="482" ht="15" customHeight="1" s="95">
      <c r="A482" s="143" t="n">
        <v>43946</v>
      </c>
      <c r="B482" s="94" t="n">
        <v>2020</v>
      </c>
      <c r="C482" s="94" t="inlineStr">
        <is>
          <t>2020-Q2</t>
        </is>
      </c>
      <c r="D482" s="186" t="n">
        <v>7495.39358749861</v>
      </c>
      <c r="E482" s="188" t="n">
        <v>137493716065.401</v>
      </c>
      <c r="F482" s="188" t="n">
        <v>33233126912.9999</v>
      </c>
    </row>
    <row r="483" ht="15" customHeight="1" s="95">
      <c r="A483" s="143" t="n">
        <v>43947</v>
      </c>
      <c r="B483" s="94" t="n">
        <v>2020</v>
      </c>
      <c r="C483" s="94" t="inlineStr">
        <is>
          <t>2020-Q2</t>
        </is>
      </c>
      <c r="D483" s="186" t="n">
        <v>7538.55768727984</v>
      </c>
      <c r="E483" s="188" t="n">
        <v>138298135122.858</v>
      </c>
      <c r="F483" s="188" t="n">
        <v>31610167152.1183</v>
      </c>
    </row>
    <row r="484" ht="15" customHeight="1" s="95">
      <c r="A484" s="143" t="n">
        <v>43948</v>
      </c>
      <c r="B484" s="94" t="n">
        <v>2020</v>
      </c>
      <c r="C484" s="94" t="inlineStr">
        <is>
          <t>2020-Q2</t>
        </is>
      </c>
      <c r="D484" s="186" t="n">
        <v>7683.86741508334</v>
      </c>
      <c r="E484" s="188" t="n">
        <v>140977260141.332</v>
      </c>
      <c r="F484" s="188" t="n">
        <v>33760863612.1251</v>
      </c>
    </row>
    <row r="485" ht="15" customHeight="1" s="95">
      <c r="A485" s="143" t="n">
        <v>43949</v>
      </c>
      <c r="B485" s="94" t="n">
        <v>2020</v>
      </c>
      <c r="C485" s="94" t="inlineStr">
        <is>
          <t>2020-Q2</t>
        </is>
      </c>
      <c r="D485" s="186" t="n">
        <v>7774.28155444805</v>
      </c>
      <c r="E485" s="188" t="n">
        <v>142649802462.829</v>
      </c>
      <c r="F485" s="188" t="n">
        <v>35205525351.8953</v>
      </c>
    </row>
    <row r="486" ht="15" customHeight="1" s="95">
      <c r="A486" s="143" t="n">
        <v>43950</v>
      </c>
      <c r="B486" s="94" t="n">
        <v>2020</v>
      </c>
      <c r="C486" s="94" t="inlineStr">
        <is>
          <t>2020-Q2</t>
        </is>
      </c>
      <c r="D486" s="186" t="n">
        <v>7758.23025518595</v>
      </c>
      <c r="E486" s="188" t="n">
        <v>142370212777.142</v>
      </c>
      <c r="F486" s="188" t="n">
        <v>32855687796.9691</v>
      </c>
    </row>
    <row r="487" ht="15" customHeight="1" s="95">
      <c r="A487" s="143" t="n">
        <v>43951</v>
      </c>
      <c r="B487" s="94" t="n">
        <v>2020</v>
      </c>
      <c r="C487" s="94" t="inlineStr">
        <is>
          <t>2020-Q2</t>
        </is>
      </c>
      <c r="D487" s="186" t="n">
        <v>8744.430287016559</v>
      </c>
      <c r="E487" s="188" t="n">
        <v>160483573440.178</v>
      </c>
      <c r="F487" s="188" t="n">
        <v>60399592065.5405</v>
      </c>
    </row>
    <row r="488" ht="15" customHeight="1" s="95">
      <c r="A488" s="143" t="n">
        <v>43952</v>
      </c>
      <c r="B488" s="94" t="n">
        <v>2020</v>
      </c>
      <c r="C488" s="94" t="inlineStr">
        <is>
          <t>2020-Q2</t>
        </is>
      </c>
      <c r="D488" s="186" t="n">
        <v>8610.63580374089</v>
      </c>
      <c r="E488" s="188" t="n">
        <v>158042623264.392</v>
      </c>
      <c r="F488" s="188" t="n">
        <v>65838312160.0907</v>
      </c>
    </row>
    <row r="489" ht="15" customHeight="1" s="95">
      <c r="A489" s="143" t="n">
        <v>43953</v>
      </c>
      <c r="B489" s="94" t="n">
        <v>2020</v>
      </c>
      <c r="C489" s="94" t="inlineStr">
        <is>
          <t>2020-Q2</t>
        </is>
      </c>
      <c r="D489" s="186" t="n">
        <v>8824.81841355197</v>
      </c>
      <c r="E489" s="188" t="n">
        <v>161989355178.822</v>
      </c>
      <c r="F489" s="188" t="n">
        <v>44773967197.552</v>
      </c>
    </row>
    <row r="490" ht="15" customHeight="1" s="95">
      <c r="A490" s="143" t="n">
        <v>43954</v>
      </c>
      <c r="B490" s="94" t="n">
        <v>2020</v>
      </c>
      <c r="C490" s="94" t="inlineStr">
        <is>
          <t>2020-Q2</t>
        </is>
      </c>
      <c r="D490" s="186" t="n">
        <v>8966.307014689281</v>
      </c>
      <c r="E490" s="188" t="n">
        <v>164603123455.999</v>
      </c>
      <c r="F490" s="188" t="n">
        <v>39177855720.3325</v>
      </c>
    </row>
    <row r="491" ht="15" customHeight="1" s="95">
      <c r="A491" s="143" t="n">
        <v>43955</v>
      </c>
      <c r="B491" s="94" t="n">
        <v>2020</v>
      </c>
      <c r="C491" s="94" t="inlineStr">
        <is>
          <t>2020-Q2</t>
        </is>
      </c>
      <c r="D491" s="186" t="n">
        <v>8888.67191268687</v>
      </c>
      <c r="E491" s="188" t="n">
        <v>163036842346.686</v>
      </c>
      <c r="F491" s="188" t="n">
        <v>45617019157.3732</v>
      </c>
    </row>
    <row r="492" ht="15" customHeight="1" s="95">
      <c r="A492" s="143" t="n">
        <v>43956</v>
      </c>
      <c r="B492" s="94" t="n">
        <v>2020</v>
      </c>
      <c r="C492" s="94" t="inlineStr">
        <is>
          <t>2020-Q2</t>
        </is>
      </c>
      <c r="D492" s="186" t="n">
        <v>8884.40781357706</v>
      </c>
      <c r="E492" s="188" t="n">
        <v>162341412439.881</v>
      </c>
      <c r="F492" s="188" t="n">
        <v>44698213713.3913</v>
      </c>
    </row>
    <row r="493" ht="15" customHeight="1" s="95">
      <c r="A493" s="143" t="n">
        <v>43957</v>
      </c>
      <c r="B493" s="94" t="n">
        <v>2020</v>
      </c>
      <c r="C493" s="94" t="inlineStr">
        <is>
          <t>2020-Q2</t>
        </is>
      </c>
      <c r="D493" s="186" t="n">
        <v>9003.240557621581</v>
      </c>
      <c r="E493" s="188" t="n">
        <v>165335617639.05</v>
      </c>
      <c r="F493" s="188" t="n">
        <v>43436234291.9711</v>
      </c>
    </row>
    <row r="494" ht="15" customHeight="1" s="95">
      <c r="A494" s="143" t="n">
        <v>43958</v>
      </c>
      <c r="B494" s="94" t="n">
        <v>2020</v>
      </c>
      <c r="C494" s="94" t="inlineStr">
        <is>
          <t>2020-Q2</t>
        </is>
      </c>
      <c r="D494" s="186" t="n">
        <v>9144.687039720069</v>
      </c>
      <c r="E494" s="188" t="n">
        <v>167950864937.147</v>
      </c>
      <c r="F494" s="188" t="n">
        <v>48538811466.8027</v>
      </c>
    </row>
    <row r="495" ht="15" customHeight="1" s="95">
      <c r="A495" s="143" t="n">
        <v>43959</v>
      </c>
      <c r="B495" s="94" t="n">
        <v>2020</v>
      </c>
      <c r="C495" s="94" t="inlineStr">
        <is>
          <t>2020-Q2</t>
        </is>
      </c>
      <c r="D495" s="186" t="n">
        <v>9959.166416261771</v>
      </c>
      <c r="E495" s="188" t="n">
        <v>182927847431.45</v>
      </c>
      <c r="F495" s="188" t="n">
        <v>61712313964.6919</v>
      </c>
    </row>
    <row r="496" ht="15" customHeight="1" s="95">
      <c r="A496" s="143" t="n">
        <v>43960</v>
      </c>
      <c r="B496" s="94" t="n">
        <v>2020</v>
      </c>
      <c r="C496" s="94" t="inlineStr">
        <is>
          <t>2020-Q2</t>
        </is>
      </c>
      <c r="D496" s="186" t="n">
        <v>9821.81131529702</v>
      </c>
      <c r="E496" s="188" t="n">
        <v>180421762956.349</v>
      </c>
      <c r="F496" s="188" t="n">
        <v>50955646313.4058</v>
      </c>
    </row>
    <row r="497" ht="15" customHeight="1" s="95">
      <c r="A497" s="143" t="n">
        <v>43961</v>
      </c>
      <c r="B497" s="94" t="n">
        <v>2020</v>
      </c>
      <c r="C497" s="94" t="inlineStr">
        <is>
          <t>2020-Q2</t>
        </is>
      </c>
      <c r="D497" s="186" t="n">
        <v>9566.777187205969</v>
      </c>
      <c r="E497" s="188" t="n">
        <v>175752574354.635</v>
      </c>
      <c r="F497" s="188" t="n">
        <v>46706541180.0987</v>
      </c>
    </row>
    <row r="498" ht="15" customHeight="1" s="95">
      <c r="A498" s="143" t="n">
        <v>43962</v>
      </c>
      <c r="B498" s="94" t="n">
        <v>2020</v>
      </c>
      <c r="C498" s="94" t="inlineStr">
        <is>
          <t>2020-Q2</t>
        </is>
      </c>
      <c r="D498" s="186" t="n">
        <v>8752.61708774583</v>
      </c>
      <c r="E498" s="188" t="n">
        <v>160814678353.708</v>
      </c>
      <c r="F498" s="188" t="n">
        <v>61704475184.5331</v>
      </c>
    </row>
    <row r="499" ht="15" customHeight="1" s="95">
      <c r="A499" s="143" t="n">
        <v>43963</v>
      </c>
      <c r="B499" s="94" t="n">
        <v>2020</v>
      </c>
      <c r="C499" s="94" t="inlineStr">
        <is>
          <t>2020-Q2</t>
        </is>
      </c>
      <c r="D499" s="186" t="n">
        <v>8604.751591019831</v>
      </c>
      <c r="E499" s="188" t="n">
        <v>158113540964.467</v>
      </c>
      <c r="F499" s="188" t="n">
        <v>57996080837.49</v>
      </c>
    </row>
    <row r="500" ht="15" customHeight="1" s="95">
      <c r="A500" s="143" t="n">
        <v>43964</v>
      </c>
      <c r="B500" s="94" t="n">
        <v>2020</v>
      </c>
      <c r="C500" s="94" t="inlineStr">
        <is>
          <t>2020-Q2</t>
        </is>
      </c>
      <c r="D500" s="186" t="n">
        <v>8788.466749414651</v>
      </c>
      <c r="E500" s="188" t="n">
        <v>161474125336.405</v>
      </c>
      <c r="F500" s="188" t="n">
        <v>39515455755.7252</v>
      </c>
    </row>
    <row r="501" ht="15" customHeight="1" s="95">
      <c r="A501" s="143" t="n">
        <v>43965</v>
      </c>
      <c r="B501" s="94" t="n">
        <v>2020</v>
      </c>
      <c r="C501" s="94" t="inlineStr">
        <is>
          <t>2020-Q2</t>
        </is>
      </c>
      <c r="D501" s="186" t="n">
        <v>9283.08601265873</v>
      </c>
      <c r="E501" s="188" t="n">
        <v>170593350055.825</v>
      </c>
      <c r="F501" s="188" t="n">
        <v>44239951916.5232</v>
      </c>
    </row>
    <row r="502" ht="15" customHeight="1" s="95">
      <c r="A502" s="143" t="n">
        <v>43966</v>
      </c>
      <c r="B502" s="94" t="n">
        <v>2020</v>
      </c>
      <c r="C502" s="94" t="inlineStr">
        <is>
          <t>2020-Q2</t>
        </is>
      </c>
      <c r="D502" s="186" t="n">
        <v>9796.49452702453</v>
      </c>
      <c r="E502" s="188" t="n">
        <v>179398095871.34</v>
      </c>
      <c r="F502" s="188" t="n">
        <v>52076585310.7239</v>
      </c>
    </row>
    <row r="503" ht="15" customHeight="1" s="95">
      <c r="A503" s="143" t="n">
        <v>43967</v>
      </c>
      <c r="B503" s="94" t="n">
        <v>2020</v>
      </c>
      <c r="C503" s="94" t="inlineStr">
        <is>
          <t>2020-Q2</t>
        </is>
      </c>
      <c r="D503" s="186" t="n">
        <v>9309.29535940684</v>
      </c>
      <c r="E503" s="188" t="n">
        <v>170983863891.475</v>
      </c>
      <c r="F503" s="188" t="n">
        <v>44866846516.3797</v>
      </c>
    </row>
    <row r="504" ht="15" customHeight="1" s="95">
      <c r="A504" s="143" t="n">
        <v>43968</v>
      </c>
      <c r="B504" s="94" t="n">
        <v>2020</v>
      </c>
      <c r="C504" s="94" t="inlineStr">
        <is>
          <t>2020-Q2</t>
        </is>
      </c>
      <c r="D504" s="186" t="n">
        <v>9375.297108433309</v>
      </c>
      <c r="E504" s="188" t="n">
        <v>172309401206.744</v>
      </c>
      <c r="F504" s="188" t="n">
        <v>34146492788.2906</v>
      </c>
    </row>
    <row r="505" ht="15" customHeight="1" s="95">
      <c r="A505" s="143" t="n">
        <v>43969</v>
      </c>
      <c r="B505" s="94" t="n">
        <v>2020</v>
      </c>
      <c r="C505" s="94" t="inlineStr">
        <is>
          <t>2020-Q2</t>
        </is>
      </c>
      <c r="D505" s="186" t="n">
        <v>9666.32719340344</v>
      </c>
      <c r="E505" s="188" t="n">
        <v>177224284369.132</v>
      </c>
      <c r="F505" s="188" t="n">
        <v>35650032953.9699</v>
      </c>
    </row>
    <row r="506" ht="15" customHeight="1" s="95">
      <c r="A506" s="143" t="n">
        <v>43970</v>
      </c>
      <c r="B506" s="94" t="n">
        <v>2020</v>
      </c>
      <c r="C506" s="94" t="inlineStr">
        <is>
          <t>2020-Q2</t>
        </is>
      </c>
      <c r="D506" s="186" t="n">
        <v>9708.43985879311</v>
      </c>
      <c r="E506" s="188" t="n">
        <v>178446153576.464</v>
      </c>
      <c r="F506" s="188" t="n">
        <v>38922896809.9544</v>
      </c>
    </row>
    <row r="507" ht="15" customHeight="1" s="95">
      <c r="A507" s="143" t="n">
        <v>43971</v>
      </c>
      <c r="B507" s="94" t="n">
        <v>2020</v>
      </c>
      <c r="C507" s="94" t="inlineStr">
        <is>
          <t>2020-Q2</t>
        </is>
      </c>
      <c r="D507" s="186" t="n">
        <v>9760.198937162189</v>
      </c>
      <c r="E507" s="188" t="n">
        <v>179127815802.662</v>
      </c>
      <c r="F507" s="188" t="n">
        <v>37077538114.7209</v>
      </c>
    </row>
    <row r="508" ht="15" customHeight="1" s="95">
      <c r="A508" s="143" t="n">
        <v>43972</v>
      </c>
      <c r="B508" s="94" t="n">
        <v>2020</v>
      </c>
      <c r="C508" s="94" t="inlineStr">
        <is>
          <t>2020-Q2</t>
        </is>
      </c>
      <c r="D508" s="186" t="n">
        <v>9526.507593005839</v>
      </c>
      <c r="E508" s="188" t="n">
        <v>175227227252.906</v>
      </c>
      <c r="F508" s="188" t="n">
        <v>34829170074.8249</v>
      </c>
    </row>
    <row r="509" ht="15" customHeight="1" s="95">
      <c r="A509" s="143" t="n">
        <v>43973</v>
      </c>
      <c r="B509" s="94" t="n">
        <v>2020</v>
      </c>
      <c r="C509" s="94" t="inlineStr">
        <is>
          <t>2020-Q2</t>
        </is>
      </c>
      <c r="D509" s="186" t="n">
        <v>9059.962506871731</v>
      </c>
      <c r="E509" s="188" t="n">
        <v>166569335290.84</v>
      </c>
      <c r="F509" s="188" t="n">
        <v>35965016693.7241</v>
      </c>
    </row>
    <row r="510" ht="15" customHeight="1" s="95">
      <c r="A510" s="143" t="n">
        <v>43974</v>
      </c>
      <c r="B510" s="94" t="n">
        <v>2020</v>
      </c>
      <c r="C510" s="94" t="inlineStr">
        <is>
          <t>2020-Q2</t>
        </is>
      </c>
      <c r="D510" s="186" t="n">
        <v>9131.767275081989</v>
      </c>
      <c r="E510" s="188" t="n">
        <v>168309812992.513</v>
      </c>
      <c r="F510" s="188" t="n">
        <v>27700943119.8372</v>
      </c>
    </row>
    <row r="511" ht="15" customHeight="1" s="95">
      <c r="A511" s="143" t="n">
        <v>43975</v>
      </c>
      <c r="B511" s="94" t="n">
        <v>2020</v>
      </c>
      <c r="C511" s="94" t="inlineStr">
        <is>
          <t>2020-Q2</t>
        </is>
      </c>
      <c r="D511" s="186" t="n">
        <v>9170.36106350613</v>
      </c>
      <c r="E511" s="188" t="n">
        <v>168614573110.758</v>
      </c>
      <c r="F511" s="188" t="n">
        <v>26159735072.0839</v>
      </c>
    </row>
    <row r="512" ht="15" customHeight="1" s="95">
      <c r="A512" s="143" t="n">
        <v>43976</v>
      </c>
      <c r="B512" s="94" t="n">
        <v>2020</v>
      </c>
      <c r="C512" s="94" t="inlineStr">
        <is>
          <t>2020-Q2</t>
        </is>
      </c>
      <c r="D512" s="186" t="n">
        <v>8731.84852587065</v>
      </c>
      <c r="E512" s="188" t="n">
        <v>161407638875.365</v>
      </c>
      <c r="F512" s="188" t="n">
        <v>29437505507.2037</v>
      </c>
    </row>
    <row r="513" ht="15" customHeight="1" s="95">
      <c r="A513" s="143" t="n">
        <v>43977</v>
      </c>
      <c r="B513" s="94" t="n">
        <v>2020</v>
      </c>
      <c r="C513" s="94" t="inlineStr">
        <is>
          <t>2020-Q2</t>
        </is>
      </c>
      <c r="D513" s="186" t="n">
        <v>8883.691769863421</v>
      </c>
      <c r="E513" s="188" t="n">
        <v>163333743988.583</v>
      </c>
      <c r="F513" s="188" t="n">
        <v>29130957734.1038</v>
      </c>
    </row>
    <row r="514" ht="15" customHeight="1" s="95">
      <c r="A514" s="143" t="n">
        <v>43978</v>
      </c>
      <c r="B514" s="94" t="n">
        <v>2020</v>
      </c>
      <c r="C514" s="94" t="inlineStr">
        <is>
          <t>2020-Q2</t>
        </is>
      </c>
      <c r="D514" s="186" t="n">
        <v>8839.13066327325</v>
      </c>
      <c r="E514" s="188" t="n">
        <v>162547226896.538</v>
      </c>
      <c r="F514" s="188" t="n">
        <v>26860828302.6154</v>
      </c>
    </row>
    <row r="515" ht="15" customHeight="1" s="95">
      <c r="A515" s="143" t="n">
        <v>43979</v>
      </c>
      <c r="B515" s="94" t="n">
        <v>2020</v>
      </c>
      <c r="C515" s="94" t="inlineStr">
        <is>
          <t>2020-Q2</t>
        </is>
      </c>
      <c r="D515" s="186" t="n">
        <v>9174.118563996421</v>
      </c>
      <c r="E515" s="188" t="n">
        <v>168615778509.823</v>
      </c>
      <c r="F515" s="188" t="n">
        <v>28916177009.8906</v>
      </c>
    </row>
    <row r="516" ht="15" customHeight="1" s="95">
      <c r="A516" s="143" t="n">
        <v>43980</v>
      </c>
      <c r="B516" s="94" t="n">
        <v>2020</v>
      </c>
      <c r="C516" s="94" t="inlineStr">
        <is>
          <t>2020-Q2</t>
        </is>
      </c>
      <c r="D516" s="186" t="n">
        <v>9546.04563503715</v>
      </c>
      <c r="E516" s="188" t="n">
        <v>175534414971.323</v>
      </c>
      <c r="F516" s="188" t="n">
        <v>31771100326.3334</v>
      </c>
    </row>
    <row r="517" ht="15" customHeight="1" s="95">
      <c r="A517" s="143" t="n">
        <v>43981</v>
      </c>
      <c r="B517" s="94" t="n">
        <v>2020</v>
      </c>
      <c r="C517" s="94" t="inlineStr">
        <is>
          <t>2020-Q2</t>
        </is>
      </c>
      <c r="D517" s="186" t="n">
        <v>9427.12037339342</v>
      </c>
      <c r="E517" s="188" t="n">
        <v>173355014878.48</v>
      </c>
      <c r="F517" s="188" t="n">
        <v>28880265574.9327</v>
      </c>
    </row>
    <row r="518" ht="15" customHeight="1" s="95">
      <c r="A518" s="143" t="n">
        <v>43982</v>
      </c>
      <c r="B518" s="94" t="n">
        <v>2020</v>
      </c>
      <c r="C518" s="94" t="inlineStr">
        <is>
          <t>2020-Q2</t>
        </is>
      </c>
      <c r="D518" s="186" t="n">
        <v>9662.70587254818</v>
      </c>
      <c r="E518" s="188" t="n">
        <v>177978616382.689</v>
      </c>
      <c r="F518" s="188" t="n">
        <v>30231487421.6443</v>
      </c>
    </row>
    <row r="519" ht="15" customHeight="1" s="95">
      <c r="A519" s="143" t="n">
        <v>43983</v>
      </c>
      <c r="B519" s="94" t="n">
        <v>2020</v>
      </c>
      <c r="C519" s="94" t="inlineStr">
        <is>
          <t>2020-Q2</t>
        </is>
      </c>
      <c r="D519" s="186" t="n">
        <v>9466.96178142952</v>
      </c>
      <c r="E519" s="188" t="n">
        <v>174105710752.048</v>
      </c>
      <c r="F519" s="188" t="n">
        <v>27396663221.1523</v>
      </c>
    </row>
    <row r="520" ht="15" customHeight="1" s="95">
      <c r="A520" s="143" t="n">
        <v>43984</v>
      </c>
      <c r="B520" s="94" t="n">
        <v>2020</v>
      </c>
      <c r="C520" s="94" t="inlineStr">
        <is>
          <t>2020-Q2</t>
        </is>
      </c>
      <c r="D520" s="186" t="n">
        <v>10167.9306933285</v>
      </c>
      <c r="E520" s="188" t="n">
        <v>186932702065.969</v>
      </c>
      <c r="F520" s="188" t="n">
        <v>33702539853.5091</v>
      </c>
    </row>
    <row r="521" ht="15" customHeight="1" s="95">
      <c r="A521" s="143" t="n">
        <v>43985</v>
      </c>
      <c r="B521" s="94" t="n">
        <v>2020</v>
      </c>
      <c r="C521" s="94" t="inlineStr">
        <is>
          <t>2020-Q2</t>
        </is>
      </c>
      <c r="D521" s="186" t="n">
        <v>9515.24385865572</v>
      </c>
      <c r="E521" s="188" t="n">
        <v>175463166971.52</v>
      </c>
      <c r="F521" s="188" t="n">
        <v>36841150778.6441</v>
      </c>
    </row>
    <row r="522" ht="15" customHeight="1" s="95">
      <c r="A522" s="143" t="n">
        <v>43986</v>
      </c>
      <c r="B522" s="94" t="n">
        <v>2020</v>
      </c>
      <c r="C522" s="94" t="inlineStr">
        <is>
          <t>2020-Q2</t>
        </is>
      </c>
      <c r="D522" s="186" t="n">
        <v>9645.227869360309</v>
      </c>
      <c r="E522" s="188" t="n">
        <v>177416480472.83</v>
      </c>
      <c r="F522" s="188" t="n">
        <v>25222025158.9551</v>
      </c>
    </row>
    <row r="523" ht="15" customHeight="1" s="95">
      <c r="A523" s="143" t="n">
        <v>43987</v>
      </c>
      <c r="B523" s="94" t="n">
        <v>2020</v>
      </c>
      <c r="C523" s="94" t="inlineStr">
        <is>
          <t>2020-Q2</t>
        </is>
      </c>
      <c r="D523" s="186" t="n">
        <v>9776.202991788479</v>
      </c>
      <c r="E523" s="188" t="n">
        <v>179830985954.855</v>
      </c>
      <c r="F523" s="188" t="n">
        <v>24903069188.3972</v>
      </c>
    </row>
    <row r="524" ht="15" customHeight="1" s="95">
      <c r="A524" s="143" t="n">
        <v>43988</v>
      </c>
      <c r="B524" s="94" t="n">
        <v>2020</v>
      </c>
      <c r="C524" s="94" t="inlineStr">
        <is>
          <t>2020-Q2</t>
        </is>
      </c>
      <c r="D524" s="186" t="n">
        <v>9636.965527050061</v>
      </c>
      <c r="E524" s="188" t="n">
        <v>177373937377.297</v>
      </c>
      <c r="F524" s="188" t="n">
        <v>23447982002.1948</v>
      </c>
    </row>
    <row r="525" ht="15" customHeight="1" s="95">
      <c r="A525" s="143" t="n">
        <v>43989</v>
      </c>
      <c r="B525" s="94" t="n">
        <v>2020</v>
      </c>
      <c r="C525" s="94" t="inlineStr">
        <is>
          <t>2020-Q2</t>
        </is>
      </c>
      <c r="D525" s="186" t="n">
        <v>9662.858709002239</v>
      </c>
      <c r="E525" s="188" t="n">
        <v>177901732349.932</v>
      </c>
      <c r="F525" s="188" t="n">
        <v>19374357195.0604</v>
      </c>
    </row>
    <row r="526" ht="15" customHeight="1" s="95">
      <c r="A526" s="143" t="n">
        <v>43990</v>
      </c>
      <c r="B526" s="94" t="n">
        <v>2020</v>
      </c>
      <c r="C526" s="94" t="inlineStr">
        <is>
          <t>2020-Q2</t>
        </is>
      </c>
      <c r="D526" s="186" t="n">
        <v>9738.603356828589</v>
      </c>
      <c r="E526" s="188" t="n">
        <v>179167717944.462</v>
      </c>
      <c r="F526" s="188" t="n">
        <v>23856639264.7625</v>
      </c>
    </row>
    <row r="527" ht="15" customHeight="1" s="95">
      <c r="A527" s="143" t="n">
        <v>43991</v>
      </c>
      <c r="B527" s="94" t="n">
        <v>2020</v>
      </c>
      <c r="C527" s="94" t="inlineStr">
        <is>
          <t>2020-Q2</t>
        </is>
      </c>
      <c r="D527" s="186" t="n">
        <v>9773.02951309516</v>
      </c>
      <c r="E527" s="188" t="n">
        <v>179810911053.2</v>
      </c>
      <c r="F527" s="188" t="n">
        <v>21154971285.0914</v>
      </c>
    </row>
    <row r="528" ht="15" customHeight="1" s="95">
      <c r="A528" s="143" t="n">
        <v>43992</v>
      </c>
      <c r="B528" s="94" t="n">
        <v>2020</v>
      </c>
      <c r="C528" s="94" t="inlineStr">
        <is>
          <t>2020-Q2</t>
        </is>
      </c>
      <c r="D528" s="186" t="n">
        <v>9767.005316655521</v>
      </c>
      <c r="E528" s="188" t="n">
        <v>179709840753.798</v>
      </c>
      <c r="F528" s="188" t="n">
        <v>22844271951.2062</v>
      </c>
    </row>
    <row r="529" ht="15" customHeight="1" s="95">
      <c r="A529" s="143" t="n">
        <v>43993</v>
      </c>
      <c r="B529" s="94" t="n">
        <v>2020</v>
      </c>
      <c r="C529" s="94" t="inlineStr">
        <is>
          <t>2020-Q2</t>
        </is>
      </c>
      <c r="D529" s="186" t="n">
        <v>9874.898681832239</v>
      </c>
      <c r="E529" s="188" t="n">
        <v>181705166673.575</v>
      </c>
      <c r="F529" s="188" t="n">
        <v>24398738299.6508</v>
      </c>
    </row>
    <row r="530" ht="15" customHeight="1" s="95">
      <c r="A530" s="143" t="n">
        <v>43994</v>
      </c>
      <c r="B530" s="94" t="n">
        <v>2020</v>
      </c>
      <c r="C530" s="94" t="inlineStr">
        <is>
          <t>2020-Q2</t>
        </is>
      </c>
      <c r="D530" s="186" t="n">
        <v>9325.996856202641</v>
      </c>
      <c r="E530" s="188" t="n">
        <v>171615707160.275</v>
      </c>
      <c r="F530" s="188" t="n">
        <v>31225155444.6198</v>
      </c>
    </row>
    <row r="531" ht="15" customHeight="1" s="95">
      <c r="A531" s="143" t="n">
        <v>43995</v>
      </c>
      <c r="B531" s="94" t="n">
        <v>2020</v>
      </c>
      <c r="C531" s="94" t="inlineStr">
        <is>
          <t>2020-Q2</t>
        </is>
      </c>
      <c r="D531" s="186" t="n">
        <v>9469.53329750991</v>
      </c>
      <c r="E531" s="188" t="n">
        <v>174266571295.68</v>
      </c>
      <c r="F531" s="188" t="n">
        <v>23601462338.1387</v>
      </c>
    </row>
    <row r="532" ht="15" customHeight="1" s="95">
      <c r="A532" s="143" t="n">
        <v>43996</v>
      </c>
      <c r="B532" s="94" t="n">
        <v>2020</v>
      </c>
      <c r="C532" s="94" t="inlineStr">
        <is>
          <t>2020-Q2</t>
        </is>
      </c>
      <c r="D532" s="186" t="n">
        <v>9469.4734561637</v>
      </c>
      <c r="E532" s="188" t="n">
        <v>174275005803.055</v>
      </c>
      <c r="F532" s="188" t="n">
        <v>19693461096.5029</v>
      </c>
    </row>
    <row r="533" ht="15" customHeight="1" s="95">
      <c r="A533" s="143" t="n">
        <v>43997</v>
      </c>
      <c r="B533" s="94" t="n">
        <v>2020</v>
      </c>
      <c r="C533" s="94" t="inlineStr">
        <is>
          <t>2020-Q2</t>
        </is>
      </c>
      <c r="D533" s="186" t="n">
        <v>9345.960907722059</v>
      </c>
      <c r="E533" s="188" t="n">
        <v>172116372679.339</v>
      </c>
      <c r="F533" s="188" t="n">
        <v>18836155988.9017</v>
      </c>
    </row>
    <row r="534" ht="15" customHeight="1" s="95">
      <c r="A534" s="143" t="n">
        <v>43998</v>
      </c>
      <c r="B534" s="94" t="n">
        <v>2020</v>
      </c>
      <c r="C534" s="94" t="inlineStr">
        <is>
          <t>2020-Q2</t>
        </is>
      </c>
      <c r="D534" s="186" t="n">
        <v>9431.71926220175</v>
      </c>
      <c r="E534" s="188" t="n">
        <v>173598215783.883</v>
      </c>
      <c r="F534" s="188" t="n">
        <v>29160908896.8968</v>
      </c>
    </row>
    <row r="535" ht="15" customHeight="1" s="95">
      <c r="A535" s="143" t="n">
        <v>43999</v>
      </c>
      <c r="B535" s="94" t="n">
        <v>2020</v>
      </c>
      <c r="C535" s="94" t="inlineStr">
        <is>
          <t>2020-Q2</t>
        </is>
      </c>
      <c r="D535" s="186" t="n">
        <v>9524.926616910219</v>
      </c>
      <c r="E535" s="188" t="n">
        <v>175075304218.302</v>
      </c>
      <c r="F535" s="188" t="n">
        <v>26391020757.0455</v>
      </c>
    </row>
    <row r="536" ht="15" customHeight="1" s="95">
      <c r="A536" s="143" t="n">
        <v>44000</v>
      </c>
      <c r="B536" s="94" t="n">
        <v>2020</v>
      </c>
      <c r="C536" s="94" t="inlineStr">
        <is>
          <t>2020-Q2</t>
        </is>
      </c>
      <c r="D536" s="186" t="n">
        <v>9463.36141431179</v>
      </c>
      <c r="E536" s="188" t="n">
        <v>174231189757.19</v>
      </c>
      <c r="F536" s="188" t="n">
        <v>23643218251.1375</v>
      </c>
    </row>
    <row r="537" ht="15" customHeight="1" s="95">
      <c r="A537" s="143" t="n">
        <v>44001</v>
      </c>
      <c r="B537" s="94" t="n">
        <v>2020</v>
      </c>
      <c r="C537" s="94" t="inlineStr">
        <is>
          <t>2020-Q2</t>
        </is>
      </c>
      <c r="D537" s="186" t="n">
        <v>9399.76721712922</v>
      </c>
      <c r="E537" s="188" t="n">
        <v>173034439845.621</v>
      </c>
      <c r="F537" s="188" t="n">
        <v>20601074385.5032</v>
      </c>
    </row>
    <row r="538" ht="15" customHeight="1" s="95">
      <c r="A538" s="143" t="n">
        <v>44002</v>
      </c>
      <c r="B538" s="94" t="n">
        <v>2020</v>
      </c>
      <c r="C538" s="94" t="inlineStr">
        <is>
          <t>2020-Q2</t>
        </is>
      </c>
      <c r="D538" s="186" t="n">
        <v>9312.78010449779</v>
      </c>
      <c r="E538" s="188" t="n">
        <v>171101646024.013</v>
      </c>
      <c r="F538" s="188" t="n">
        <v>23738525501.7188</v>
      </c>
    </row>
    <row r="539" ht="15" customHeight="1" s="95">
      <c r="A539" s="143" t="n">
        <v>44003</v>
      </c>
      <c r="B539" s="94" t="n">
        <v>2020</v>
      </c>
      <c r="C539" s="94" t="inlineStr">
        <is>
          <t>2020-Q2</t>
        </is>
      </c>
      <c r="D539" s="186" t="n">
        <v>9360.247968201689</v>
      </c>
      <c r="E539" s="188" t="n">
        <v>172323213442.366</v>
      </c>
      <c r="F539" s="188" t="n">
        <v>19774464252.7666</v>
      </c>
    </row>
    <row r="540" ht="15" customHeight="1" s="95">
      <c r="A540" s="143" t="n">
        <v>44004</v>
      </c>
      <c r="B540" s="94" t="n">
        <v>2020</v>
      </c>
      <c r="C540" s="94" t="inlineStr">
        <is>
          <t>2020-Q2</t>
        </is>
      </c>
      <c r="D540" s="186" t="n">
        <v>9298.36082912142</v>
      </c>
      <c r="E540" s="188" t="n">
        <v>171192409474.14</v>
      </c>
      <c r="F540" s="188" t="n">
        <v>18986237382.0537</v>
      </c>
    </row>
    <row r="541" ht="15" customHeight="1" s="95">
      <c r="A541" s="143" t="n">
        <v>44005</v>
      </c>
      <c r="B541" s="94" t="n">
        <v>2020</v>
      </c>
      <c r="C541" s="94" t="inlineStr">
        <is>
          <t>2020-Q2</t>
        </is>
      </c>
      <c r="D541" s="186" t="n">
        <v>9678.683208975841</v>
      </c>
      <c r="E541" s="188" t="n">
        <v>178128652479.622</v>
      </c>
      <c r="F541" s="188" t="n">
        <v>24768621256.8389</v>
      </c>
    </row>
    <row r="542" ht="15" customHeight="1" s="95">
      <c r="A542" s="143" t="n">
        <v>44006</v>
      </c>
      <c r="B542" s="94" t="n">
        <v>2020</v>
      </c>
      <c r="C542" s="94" t="inlineStr">
        <is>
          <t>2020-Q2</t>
        </is>
      </c>
      <c r="D542" s="186" t="n">
        <v>9624.6842918314</v>
      </c>
      <c r="E542" s="188" t="n">
        <v>177187041226.598</v>
      </c>
      <c r="F542" s="188" t="n">
        <v>17756804210.0554</v>
      </c>
    </row>
    <row r="543" ht="15" customHeight="1" s="95">
      <c r="A543" s="143" t="n">
        <v>44007</v>
      </c>
      <c r="B543" s="94" t="n">
        <v>2020</v>
      </c>
      <c r="C543" s="94" t="inlineStr">
        <is>
          <t>2020-Q2</t>
        </is>
      </c>
      <c r="D543" s="186" t="n">
        <v>9288.06177448694</v>
      </c>
      <c r="E543" s="188" t="n">
        <v>171028279701.503</v>
      </c>
      <c r="F543" s="188" t="n">
        <v>23183760291.7544</v>
      </c>
    </row>
    <row r="544" ht="15" customHeight="1" s="95">
      <c r="A544" s="143" t="n">
        <v>44008</v>
      </c>
      <c r="B544" s="94" t="n">
        <v>2020</v>
      </c>
      <c r="C544" s="94" t="inlineStr">
        <is>
          <t>2020-Q2</t>
        </is>
      </c>
      <c r="D544" s="186" t="n">
        <v>9258.66716100771</v>
      </c>
      <c r="E544" s="188" t="n">
        <v>170495281892.459</v>
      </c>
      <c r="F544" s="188" t="n">
        <v>23499175984.2167</v>
      </c>
    </row>
    <row r="545" ht="15" customHeight="1" s="95">
      <c r="A545" s="143" t="n">
        <v>44009</v>
      </c>
      <c r="B545" s="94" t="n">
        <v>2020</v>
      </c>
      <c r="C545" s="94" t="inlineStr">
        <is>
          <t>2020-Q2</t>
        </is>
      </c>
      <c r="D545" s="186" t="n">
        <v>9166.486360416229</v>
      </c>
      <c r="E545" s="188" t="n">
        <v>168807143703.195</v>
      </c>
      <c r="F545" s="188" t="n">
        <v>22429204010.6355</v>
      </c>
    </row>
    <row r="546" ht="15" customHeight="1" s="95">
      <c r="A546" s="143" t="n">
        <v>44010</v>
      </c>
      <c r="B546" s="94" t="n">
        <v>2020</v>
      </c>
      <c r="C546" s="94" t="inlineStr">
        <is>
          <t>2020-Q2</t>
        </is>
      </c>
      <c r="D546" s="186" t="n">
        <v>9013.905564676141</v>
      </c>
      <c r="E546" s="188" t="n">
        <v>166004979429.797</v>
      </c>
      <c r="F546" s="188" t="n">
        <v>21515626881.0978</v>
      </c>
    </row>
    <row r="547" ht="15" customHeight="1" s="95">
      <c r="A547" s="143" t="n">
        <v>44011</v>
      </c>
      <c r="B547" s="94" t="n">
        <v>2020</v>
      </c>
      <c r="C547" s="94" t="inlineStr">
        <is>
          <t>2020-Q2</t>
        </is>
      </c>
      <c r="D547" s="186" t="n">
        <v>9139.90327629782</v>
      </c>
      <c r="E547" s="188" t="n">
        <v>168334049772.473</v>
      </c>
      <c r="F547" s="188" t="n">
        <v>19665935216.7015</v>
      </c>
    </row>
    <row r="548" ht="15" customHeight="1" s="95">
      <c r="A548" s="143" t="n">
        <v>44012</v>
      </c>
      <c r="B548" s="94" t="n">
        <v>2020</v>
      </c>
      <c r="C548" s="94" t="inlineStr">
        <is>
          <t>2020-Q2</t>
        </is>
      </c>
      <c r="D548" s="186" t="n">
        <v>9185.166540651149</v>
      </c>
      <c r="E548" s="188" t="n">
        <v>169175896894.165</v>
      </c>
      <c r="F548" s="188" t="n">
        <v>19754459582.7472</v>
      </c>
    </row>
    <row r="549" ht="15" customHeight="1" s="95">
      <c r="A549" s="143" t="n">
        <v>44013</v>
      </c>
      <c r="B549" s="94" t="n">
        <v>2020</v>
      </c>
      <c r="C549" s="94" t="inlineStr">
        <is>
          <t>2020-Q3</t>
        </is>
      </c>
      <c r="D549" s="186" t="n">
        <v>9149.72199675802</v>
      </c>
      <c r="E549" s="188" t="n">
        <v>168558715595.079</v>
      </c>
      <c r="F549" s="188" t="n">
        <v>19741435780.4858</v>
      </c>
    </row>
    <row r="550" ht="15" customHeight="1" s="95">
      <c r="A550" s="143" t="n">
        <v>44014</v>
      </c>
      <c r="B550" s="94" t="n">
        <v>2020</v>
      </c>
      <c r="C550" s="94" t="inlineStr">
        <is>
          <t>2020-Q3</t>
        </is>
      </c>
      <c r="D550" s="186" t="n">
        <v>9230.6729985908</v>
      </c>
      <c r="E550" s="188" t="n">
        <v>170031996602.767</v>
      </c>
      <c r="F550" s="188" t="n">
        <v>20005031554.019</v>
      </c>
    </row>
    <row r="551" ht="15" customHeight="1" s="95">
      <c r="A551" s="143" t="n">
        <v>44015</v>
      </c>
      <c r="B551" s="94" t="n">
        <v>2020</v>
      </c>
      <c r="C551" s="94" t="inlineStr">
        <is>
          <t>2020-Q3</t>
        </is>
      </c>
      <c r="D551" s="186" t="n">
        <v>9094.31807216691</v>
      </c>
      <c r="E551" s="188" t="n">
        <v>167604994105.349</v>
      </c>
      <c r="F551" s="188" t="n">
        <v>19379463385.2967</v>
      </c>
    </row>
    <row r="552" ht="15" customHeight="1" s="95">
      <c r="A552" s="143" t="n">
        <v>44016</v>
      </c>
      <c r="B552" s="94" t="n">
        <v>2020</v>
      </c>
      <c r="C552" s="94" t="inlineStr">
        <is>
          <t>2020-Q3</t>
        </is>
      </c>
      <c r="D552" s="186" t="n">
        <v>9071.3850427828</v>
      </c>
      <c r="E552" s="188" t="n">
        <v>167116284671.22</v>
      </c>
      <c r="F552" s="188" t="n">
        <v>17420495829.3943</v>
      </c>
    </row>
    <row r="553" ht="15" customHeight="1" s="95">
      <c r="A553" s="143" t="n">
        <v>44017</v>
      </c>
      <c r="B553" s="94" t="n">
        <v>2020</v>
      </c>
      <c r="C553" s="94" t="inlineStr">
        <is>
          <t>2020-Q3</t>
        </is>
      </c>
      <c r="D553" s="186" t="n">
        <v>9132.90836953349</v>
      </c>
      <c r="E553" s="188" t="n">
        <v>168258822207.295</v>
      </c>
      <c r="F553" s="188" t="n">
        <v>16643732672.6921</v>
      </c>
    </row>
    <row r="554" ht="15" customHeight="1" s="95">
      <c r="A554" s="143" t="n">
        <v>44018</v>
      </c>
      <c r="B554" s="94" t="n">
        <v>2020</v>
      </c>
      <c r="C554" s="94" t="inlineStr">
        <is>
          <t>2020-Q3</t>
        </is>
      </c>
      <c r="D554" s="186" t="n">
        <v>9087.40731258216</v>
      </c>
      <c r="E554" s="188" t="n">
        <v>167429736492.905</v>
      </c>
      <c r="F554" s="188" t="n">
        <v>17324463886.378</v>
      </c>
    </row>
    <row r="555" ht="15" customHeight="1" s="95">
      <c r="A555" s="143" t="n">
        <v>44019</v>
      </c>
      <c r="B555" s="94" t="n">
        <v>2020</v>
      </c>
      <c r="C555" s="94" t="inlineStr">
        <is>
          <t>2020-Q3</t>
        </is>
      </c>
      <c r="D555" s="186" t="n">
        <v>9342.376492626679</v>
      </c>
      <c r="E555" s="188" t="n">
        <v>172136257752.371</v>
      </c>
      <c r="F555" s="188" t="n">
        <v>21987059041.6893</v>
      </c>
    </row>
    <row r="556" ht="15" customHeight="1" s="95">
      <c r="A556" s="143" t="n">
        <v>44020</v>
      </c>
      <c r="B556" s="94" t="n">
        <v>2020</v>
      </c>
      <c r="C556" s="94" t="inlineStr">
        <is>
          <t>2020-Q3</t>
        </is>
      </c>
      <c r="D556" s="186" t="n">
        <v>9253.630980242329</v>
      </c>
      <c r="E556" s="188" t="n">
        <v>170510411872.014</v>
      </c>
      <c r="F556" s="188" t="n">
        <v>18945747769.3174</v>
      </c>
    </row>
    <row r="557" ht="15" customHeight="1" s="95">
      <c r="A557" s="143" t="n">
        <v>44021</v>
      </c>
      <c r="B557" s="94" t="n">
        <v>2020</v>
      </c>
      <c r="C557" s="94" t="inlineStr">
        <is>
          <t>2020-Q3</t>
        </is>
      </c>
      <c r="D557" s="186" t="n">
        <v>9432.172515827941</v>
      </c>
      <c r="E557" s="188" t="n">
        <v>173809293389.638</v>
      </c>
      <c r="F557" s="188" t="n">
        <v>20708592426.0349</v>
      </c>
    </row>
    <row r="558" ht="15" customHeight="1" s="95">
      <c r="A558" s="143" t="n">
        <v>44022</v>
      </c>
      <c r="B558" s="94" t="n">
        <v>2020</v>
      </c>
      <c r="C558" s="94" t="inlineStr">
        <is>
          <t>2020-Q3</t>
        </is>
      </c>
      <c r="D558" s="186" t="n">
        <v>9235.71630206424</v>
      </c>
      <c r="E558" s="188" t="n">
        <v>170198606143.628</v>
      </c>
      <c r="F558" s="188" t="n">
        <v>19480413474.2362</v>
      </c>
    </row>
    <row r="559" ht="15" customHeight="1" s="95">
      <c r="A559" s="143" t="n">
        <v>44023</v>
      </c>
      <c r="B559" s="94" t="n">
        <v>2020</v>
      </c>
      <c r="C559" s="94" t="inlineStr">
        <is>
          <t>2020-Q3</t>
        </is>
      </c>
      <c r="D559" s="186" t="n">
        <v>9282.9136388399</v>
      </c>
      <c r="E559" s="188" t="n">
        <v>171104767641.884</v>
      </c>
      <c r="F559" s="188" t="n">
        <v>18224423467.7428</v>
      </c>
    </row>
    <row r="560" ht="15" customHeight="1" s="95">
      <c r="A560" s="143" t="n">
        <v>44024</v>
      </c>
      <c r="B560" s="94" t="n">
        <v>2020</v>
      </c>
      <c r="C560" s="94" t="inlineStr">
        <is>
          <t>2020-Q3</t>
        </is>
      </c>
      <c r="D560" s="186" t="n">
        <v>9234.31467471263</v>
      </c>
      <c r="E560" s="188" t="n">
        <v>170191069703.265</v>
      </c>
      <c r="F560" s="188" t="n">
        <v>16167064476.2829</v>
      </c>
    </row>
    <row r="561" ht="15" customHeight="1" s="95">
      <c r="A561" s="143" t="n">
        <v>44025</v>
      </c>
      <c r="B561" s="94" t="n">
        <v>2020</v>
      </c>
      <c r="C561" s="94" t="inlineStr">
        <is>
          <t>2020-Q3</t>
        </is>
      </c>
      <c r="D561" s="186" t="n">
        <v>9297.47963587266</v>
      </c>
      <c r="E561" s="188" t="n">
        <v>171364106456.321</v>
      </c>
      <c r="F561" s="188" t="n">
        <v>17173962879.6877</v>
      </c>
    </row>
    <row r="562" ht="15" customHeight="1" s="95">
      <c r="A562" s="143" t="n">
        <v>44026</v>
      </c>
      <c r="B562" s="94" t="n">
        <v>2020</v>
      </c>
      <c r="C562" s="94" t="inlineStr">
        <is>
          <t>2020-Q3</t>
        </is>
      </c>
      <c r="D562" s="186" t="n">
        <v>9240.76251972468</v>
      </c>
      <c r="E562" s="188" t="n">
        <v>170370727819.239</v>
      </c>
      <c r="F562" s="188" t="n">
        <v>18245667827.0054</v>
      </c>
    </row>
    <row r="563" ht="15" customHeight="1" s="95">
      <c r="A563" s="143" t="n">
        <v>44027</v>
      </c>
      <c r="B563" s="94" t="n">
        <v>2020</v>
      </c>
      <c r="C563" s="94" t="inlineStr">
        <is>
          <t>2020-Q3</t>
        </is>
      </c>
      <c r="D563" s="186" t="n">
        <v>9247.06069596381</v>
      </c>
      <c r="E563" s="188" t="n">
        <v>170451532161.736</v>
      </c>
      <c r="F563" s="188" t="n">
        <v>19147263017.2295</v>
      </c>
    </row>
    <row r="564" ht="15" customHeight="1" s="95">
      <c r="A564" s="143" t="n">
        <v>44028</v>
      </c>
      <c r="B564" s="94" t="n">
        <v>2020</v>
      </c>
      <c r="C564" s="94" t="inlineStr">
        <is>
          <t>2020-Q3</t>
        </is>
      </c>
      <c r="D564" s="186" t="n">
        <v>9203.371435179701</v>
      </c>
      <c r="E564" s="188" t="n">
        <v>169758848797.973</v>
      </c>
      <c r="F564" s="188" t="n">
        <v>16565948994.9062</v>
      </c>
    </row>
    <row r="565" ht="15" customHeight="1" s="95">
      <c r="A565" s="143" t="n">
        <v>44029</v>
      </c>
      <c r="B565" s="94" t="n">
        <v>2020</v>
      </c>
      <c r="C565" s="94" t="inlineStr">
        <is>
          <t>2020-Q3</t>
        </is>
      </c>
      <c r="D565" s="186" t="n">
        <v>9136.48337636398</v>
      </c>
      <c r="E565" s="188" t="n">
        <v>168496782960.899</v>
      </c>
      <c r="F565" s="188" t="n">
        <v>18760484380.2763</v>
      </c>
    </row>
    <row r="566" ht="15" customHeight="1" s="95">
      <c r="A566" s="143" t="n">
        <v>44030</v>
      </c>
      <c r="B566" s="94" t="n">
        <v>2020</v>
      </c>
      <c r="C566" s="94" t="inlineStr">
        <is>
          <t>2020-Q3</t>
        </is>
      </c>
      <c r="D566" s="186" t="n">
        <v>9156.27658311549</v>
      </c>
      <c r="E566" s="188" t="n">
        <v>168760444137.05</v>
      </c>
      <c r="F566" s="188" t="n">
        <v>16500659021.7564</v>
      </c>
    </row>
    <row r="567" ht="15" customHeight="1" s="95">
      <c r="A567" s="143" t="n">
        <v>44031</v>
      </c>
      <c r="B567" s="94" t="n">
        <v>2020</v>
      </c>
      <c r="C567" s="94" t="inlineStr">
        <is>
          <t>2020-Q3</t>
        </is>
      </c>
      <c r="D567" s="186" t="n">
        <v>9168.40273656413</v>
      </c>
      <c r="E567" s="188" t="n">
        <v>169031588403.367</v>
      </c>
      <c r="F567" s="188" t="n">
        <v>15638459042.9034</v>
      </c>
    </row>
    <row r="568" ht="15" customHeight="1" s="95">
      <c r="A568" s="143" t="n">
        <v>44032</v>
      </c>
      <c r="B568" s="94" t="n">
        <v>2020</v>
      </c>
      <c r="C568" s="94" t="inlineStr">
        <is>
          <t>2020-Q3</t>
        </is>
      </c>
      <c r="D568" s="186" t="n">
        <v>9202.615839500109</v>
      </c>
      <c r="E568" s="188" t="n">
        <v>169692625141.804</v>
      </c>
      <c r="F568" s="188" t="n">
        <v>16085385661.9844</v>
      </c>
    </row>
    <row r="569" ht="15" customHeight="1" s="95">
      <c r="A569" s="143" t="n">
        <v>44033</v>
      </c>
      <c r="B569" s="94" t="n">
        <v>2020</v>
      </c>
      <c r="C569" s="94" t="inlineStr">
        <is>
          <t>2020-Q3</t>
        </is>
      </c>
      <c r="D569" s="186" t="n">
        <v>9163.159654576921</v>
      </c>
      <c r="E569" s="188" t="n">
        <v>168936986921.468</v>
      </c>
      <c r="F569" s="188" t="n">
        <v>17080393205.3461</v>
      </c>
    </row>
    <row r="570" ht="15" customHeight="1" s="95">
      <c r="A570" s="143" t="n">
        <v>44034</v>
      </c>
      <c r="B570" s="94" t="n">
        <v>2020</v>
      </c>
      <c r="C570" s="94" t="inlineStr">
        <is>
          <t>2020-Q3</t>
        </is>
      </c>
      <c r="D570" s="186" t="n">
        <v>9384.379751903271</v>
      </c>
      <c r="E570" s="188" t="n">
        <v>173036757675.673</v>
      </c>
      <c r="F570" s="188" t="n">
        <v>20048075731.2511</v>
      </c>
    </row>
    <row r="571" ht="15" customHeight="1" s="95">
      <c r="A571" s="143" t="n">
        <v>44035</v>
      </c>
      <c r="B571" s="94" t="n">
        <v>2020</v>
      </c>
      <c r="C571" s="94" t="inlineStr">
        <is>
          <t>2020-Q3</t>
        </is>
      </c>
      <c r="D571" s="186" t="n">
        <v>9514.304987626971</v>
      </c>
      <c r="E571" s="188" t="n">
        <v>175370017196.675</v>
      </c>
      <c r="F571" s="188" t="n">
        <v>19702428931.3286</v>
      </c>
    </row>
    <row r="572" ht="15" customHeight="1" s="95">
      <c r="A572" s="143" t="n">
        <v>44036</v>
      </c>
      <c r="B572" s="94" t="n">
        <v>2020</v>
      </c>
      <c r="C572" s="94" t="inlineStr">
        <is>
          <t>2020-Q3</t>
        </is>
      </c>
      <c r="D572" s="186" t="n">
        <v>9589.817719441169</v>
      </c>
      <c r="E572" s="188" t="n">
        <v>176821599773.568</v>
      </c>
      <c r="F572" s="188" t="n">
        <v>26966148756.4081</v>
      </c>
    </row>
    <row r="573" ht="15" customHeight="1" s="95">
      <c r="A573" s="143" t="n">
        <v>44037</v>
      </c>
      <c r="B573" s="94" t="n">
        <v>2020</v>
      </c>
      <c r="C573" s="94" t="inlineStr">
        <is>
          <t>2020-Q3</t>
        </is>
      </c>
      <c r="D573" s="186" t="n">
        <v>9535.93879573746</v>
      </c>
      <c r="E573" s="188" t="n">
        <v>175865705417.729</v>
      </c>
      <c r="F573" s="188" t="n">
        <v>35810926084.9432</v>
      </c>
    </row>
    <row r="574" ht="15" customHeight="1" s="95">
      <c r="A574" s="143" t="n">
        <v>44038</v>
      </c>
      <c r="B574" s="94" t="n">
        <v>2020</v>
      </c>
      <c r="C574" s="94" t="inlineStr">
        <is>
          <t>2020-Q3</t>
        </is>
      </c>
      <c r="D574" s="186" t="n">
        <v>9691.825138917149</v>
      </c>
      <c r="E574" s="188" t="n">
        <v>178740874539.496</v>
      </c>
      <c r="F574" s="188" t="n">
        <v>36726067828.3661</v>
      </c>
    </row>
    <row r="575" ht="15" customHeight="1" s="95">
      <c r="A575" s="143" t="n">
        <v>44039</v>
      </c>
      <c r="B575" s="94" t="n">
        <v>2020</v>
      </c>
      <c r="C575" s="94" t="inlineStr">
        <is>
          <t>2020-Q3</t>
        </is>
      </c>
      <c r="D575" s="186" t="n">
        <v>9925.75139747635</v>
      </c>
      <c r="E575" s="188" t="n">
        <v>183064851468</v>
      </c>
      <c r="F575" s="188" t="n">
        <v>19713211084.5617</v>
      </c>
    </row>
    <row r="576" ht="15" customHeight="1" s="95">
      <c r="A576" s="143" t="n">
        <v>44040</v>
      </c>
      <c r="B576" s="94" t="n">
        <v>2020</v>
      </c>
      <c r="C576" s="94" t="inlineStr">
        <is>
          <t>2020-Q3</t>
        </is>
      </c>
      <c r="D576" s="186" t="n">
        <v>10962.2584812074</v>
      </c>
      <c r="E576" s="188" t="n">
        <v>202191797991.408</v>
      </c>
      <c r="F576" s="188" t="n">
        <v>34694788843.5901</v>
      </c>
    </row>
    <row r="577" ht="15" customHeight="1" s="95">
      <c r="A577" s="143" t="n">
        <v>44041</v>
      </c>
      <c r="B577" s="94" t="n">
        <v>2020</v>
      </c>
      <c r="C577" s="94" t="inlineStr">
        <is>
          <t>2020-Q3</t>
        </is>
      </c>
      <c r="D577" s="186" t="n">
        <v>10904.916526919</v>
      </c>
      <c r="E577" s="188" t="n">
        <v>201144184191.066</v>
      </c>
      <c r="F577" s="188" t="n">
        <v>27637575180.451</v>
      </c>
    </row>
    <row r="578" ht="15" customHeight="1" s="95">
      <c r="A578" s="143" t="n">
        <v>44042</v>
      </c>
      <c r="B578" s="94" t="n">
        <v>2020</v>
      </c>
      <c r="C578" s="94" t="inlineStr">
        <is>
          <t>2020-Q3</t>
        </is>
      </c>
      <c r="D578" s="186" t="n">
        <v>11093.6122404424</v>
      </c>
      <c r="E578" s="188" t="n">
        <v>204969785090.676</v>
      </c>
      <c r="F578" s="188" t="n">
        <v>23642111784.0485</v>
      </c>
    </row>
    <row r="579" ht="15" customHeight="1" s="95">
      <c r="A579" s="143" t="n">
        <v>44043</v>
      </c>
      <c r="B579" s="94" t="n">
        <v>2020</v>
      </c>
      <c r="C579" s="94" t="inlineStr">
        <is>
          <t>2020-Q3</t>
        </is>
      </c>
      <c r="D579" s="186" t="n">
        <v>11116.3071636853</v>
      </c>
      <c r="E579" s="188" t="n">
        <v>205200775318.218</v>
      </c>
      <c r="F579" s="188" t="n">
        <v>22265381996.1867</v>
      </c>
    </row>
    <row r="580" ht="15" customHeight="1" s="95">
      <c r="A580" s="143" t="n">
        <v>44044</v>
      </c>
      <c r="B580" s="94" t="n">
        <v>2020</v>
      </c>
      <c r="C580" s="94" t="inlineStr">
        <is>
          <t>2020-Q3</t>
        </is>
      </c>
      <c r="D580" s="186" t="n">
        <v>11325.5515272739</v>
      </c>
      <c r="E580" s="188" t="n">
        <v>208933774575.149</v>
      </c>
      <c r="F580" s="188" t="n">
        <v>22329797905.4416</v>
      </c>
    </row>
    <row r="581" ht="15" customHeight="1" s="95">
      <c r="A581" s="143" t="n">
        <v>44045</v>
      </c>
      <c r="B581" s="94" t="n">
        <v>2020</v>
      </c>
      <c r="C581" s="94" t="inlineStr">
        <is>
          <t>2020-Q3</t>
        </is>
      </c>
      <c r="D581" s="186" t="n">
        <v>11812.0943072685</v>
      </c>
      <c r="E581" s="188" t="n">
        <v>217741425308.629</v>
      </c>
      <c r="F581" s="188" t="n">
        <v>26198946496.2778</v>
      </c>
    </row>
    <row r="582" ht="15" customHeight="1" s="95">
      <c r="A582" s="143" t="n">
        <v>44046</v>
      </c>
      <c r="B582" s="94" t="n">
        <v>2020</v>
      </c>
      <c r="C582" s="94" t="inlineStr">
        <is>
          <t>2020-Q3</t>
        </is>
      </c>
      <c r="D582" s="186" t="n">
        <v>11066.3062405903</v>
      </c>
      <c r="E582" s="188" t="n">
        <v>204126077224.646</v>
      </c>
      <c r="F582" s="188" t="n">
        <v>27584591853.0697</v>
      </c>
    </row>
    <row r="583" ht="15" customHeight="1" s="95">
      <c r="A583" s="143" t="n">
        <v>44047</v>
      </c>
      <c r="B583" s="94" t="n">
        <v>2020</v>
      </c>
      <c r="C583" s="94" t="inlineStr">
        <is>
          <t>2020-Q3</t>
        </is>
      </c>
      <c r="D583" s="186" t="n">
        <v>11230.9077627493</v>
      </c>
      <c r="E583" s="188" t="n">
        <v>207218525401.746</v>
      </c>
      <c r="F583" s="188" t="n">
        <v>20583344056.8415</v>
      </c>
    </row>
    <row r="584" ht="15" customHeight="1" s="95">
      <c r="A584" s="143" t="n">
        <v>44048</v>
      </c>
      <c r="B584" s="94" t="n">
        <v>2020</v>
      </c>
      <c r="C584" s="94" t="inlineStr">
        <is>
          <t>2020-Q3</t>
        </is>
      </c>
      <c r="D584" s="186" t="n">
        <v>11181.9175080349</v>
      </c>
      <c r="E584" s="188" t="n">
        <v>206583502227.557</v>
      </c>
      <c r="F584" s="188" t="n">
        <v>20527193170.9636</v>
      </c>
    </row>
    <row r="585" ht="15" customHeight="1" s="95">
      <c r="A585" s="143" t="n">
        <v>44049</v>
      </c>
      <c r="B585" s="94" t="n">
        <v>2020</v>
      </c>
      <c r="C585" s="94" t="inlineStr">
        <is>
          <t>2020-Q3</t>
        </is>
      </c>
      <c r="D585" s="186" t="n">
        <v>11719.2635239516</v>
      </c>
      <c r="E585" s="188" t="n">
        <v>216249264843.702</v>
      </c>
      <c r="F585" s="188" t="n">
        <v>22359870185.2091</v>
      </c>
    </row>
    <row r="586" ht="15" customHeight="1" s="95">
      <c r="A586" s="143" t="n">
        <v>44050</v>
      </c>
      <c r="B586" s="94" t="n">
        <v>2020</v>
      </c>
      <c r="C586" s="94" t="inlineStr">
        <is>
          <t>2020-Q3</t>
        </is>
      </c>
      <c r="D586" s="186" t="n">
        <v>11768.12774224</v>
      </c>
      <c r="E586" s="188" t="n">
        <v>217128467890.109</v>
      </c>
      <c r="F586" s="188" t="n">
        <v>21793317050.9686</v>
      </c>
    </row>
    <row r="587" ht="15" customHeight="1" s="95">
      <c r="A587" s="143" t="n">
        <v>44051</v>
      </c>
      <c r="B587" s="94" t="n">
        <v>2020</v>
      </c>
      <c r="C587" s="94" t="inlineStr">
        <is>
          <t>2020-Q3</t>
        </is>
      </c>
      <c r="D587" s="186" t="n">
        <v>11571.4879806832</v>
      </c>
      <c r="E587" s="188" t="n">
        <v>213579066889.25</v>
      </c>
      <c r="F587" s="188" t="n">
        <v>21624736673.0799</v>
      </c>
    </row>
    <row r="588" ht="15" customHeight="1" s="95">
      <c r="A588" s="143" t="n">
        <v>44052</v>
      </c>
      <c r="B588" s="94" t="n">
        <v>2020</v>
      </c>
      <c r="C588" s="94" t="inlineStr">
        <is>
          <t>2020-Q3</t>
        </is>
      </c>
      <c r="D588" s="186" t="n">
        <v>11739.1310064144</v>
      </c>
      <c r="E588" s="188" t="n">
        <v>216526346494.08</v>
      </c>
      <c r="F588" s="188" t="n">
        <v>17286825185.2175</v>
      </c>
    </row>
    <row r="589" ht="15" customHeight="1" s="95">
      <c r="A589" s="143" t="n">
        <v>44053</v>
      </c>
      <c r="B589" s="94" t="n">
        <v>2020</v>
      </c>
      <c r="C589" s="94" t="inlineStr">
        <is>
          <t>2020-Q3</t>
        </is>
      </c>
      <c r="D589" s="186" t="n">
        <v>11682.8514691549</v>
      </c>
      <c r="E589" s="188" t="n">
        <v>215621627427.591</v>
      </c>
      <c r="F589" s="188" t="n">
        <v>17051550190.8147</v>
      </c>
    </row>
    <row r="590" ht="15" customHeight="1" s="95">
      <c r="A590" s="143" t="n">
        <v>44054</v>
      </c>
      <c r="B590" s="94" t="n">
        <v>2020</v>
      </c>
      <c r="C590" s="94" t="inlineStr">
        <is>
          <t>2020-Q3</t>
        </is>
      </c>
      <c r="D590" s="186" t="n">
        <v>11862.9380127026</v>
      </c>
      <c r="E590" s="188" t="n">
        <v>218920276229.412</v>
      </c>
      <c r="F590" s="188" t="n">
        <v>24145919191.3442</v>
      </c>
    </row>
    <row r="591" ht="15" customHeight="1" s="95">
      <c r="A591" s="143" t="n">
        <v>44055</v>
      </c>
      <c r="B591" s="94" t="n">
        <v>2020</v>
      </c>
      <c r="C591" s="94" t="inlineStr">
        <is>
          <t>2020-Q3</t>
        </is>
      </c>
      <c r="D591" s="186" t="n">
        <v>11398.6710608966</v>
      </c>
      <c r="E591" s="188" t="n">
        <v>210825577055.422</v>
      </c>
      <c r="F591" s="188" t="n">
        <v>24448699831.2647</v>
      </c>
    </row>
    <row r="592" ht="15" customHeight="1" s="95">
      <c r="A592" s="143" t="n">
        <v>44056</v>
      </c>
      <c r="B592" s="94" t="n">
        <v>2020</v>
      </c>
      <c r="C592" s="94" t="inlineStr">
        <is>
          <t>2020-Q3</t>
        </is>
      </c>
      <c r="D592" s="186" t="n">
        <v>11579.8679516021</v>
      </c>
      <c r="E592" s="188" t="n">
        <v>213770877597.905</v>
      </c>
      <c r="F592" s="188" t="n">
        <v>22803776234.9778</v>
      </c>
    </row>
    <row r="593" ht="15" customHeight="1" s="95">
      <c r="A593" s="143" t="n">
        <v>44057</v>
      </c>
      <c r="B593" s="94" t="n">
        <v>2020</v>
      </c>
      <c r="C593" s="94" t="inlineStr">
        <is>
          <t>2020-Q3</t>
        </is>
      </c>
      <c r="D593" s="186" t="n">
        <v>11817.1640388034</v>
      </c>
      <c r="E593" s="188" t="n">
        <v>217185020504.78</v>
      </c>
      <c r="F593" s="188" t="n">
        <v>24755770184.1385</v>
      </c>
    </row>
    <row r="594" ht="15" customHeight="1" s="95">
      <c r="A594" s="143" t="n">
        <v>44058</v>
      </c>
      <c r="B594" s="94" t="n">
        <v>2020</v>
      </c>
      <c r="C594" s="94" t="inlineStr">
        <is>
          <t>2020-Q3</t>
        </is>
      </c>
      <c r="D594" s="186" t="n">
        <v>11777.3913224899</v>
      </c>
      <c r="E594" s="188" t="n">
        <v>216916952670.303</v>
      </c>
      <c r="F594" s="188" t="n">
        <v>21650925951.9968</v>
      </c>
    </row>
    <row r="595" ht="15" customHeight="1" s="95">
      <c r="A595" s="143" t="n">
        <v>44059</v>
      </c>
      <c r="B595" s="94" t="n">
        <v>2020</v>
      </c>
      <c r="C595" s="94" t="inlineStr">
        <is>
          <t>2020-Q3</t>
        </is>
      </c>
      <c r="D595" s="186" t="n">
        <v>11864.9058101565</v>
      </c>
      <c r="E595" s="188" t="n">
        <v>219049736823.333</v>
      </c>
      <c r="F595" s="188" t="n">
        <v>21285690552.5155</v>
      </c>
    </row>
    <row r="596" ht="15" customHeight="1" s="95">
      <c r="A596" s="143" t="n">
        <v>44060</v>
      </c>
      <c r="B596" s="94" t="n">
        <v>2020</v>
      </c>
      <c r="C596" s="94" t="inlineStr">
        <is>
          <t>2020-Q3</t>
        </is>
      </c>
      <c r="D596" s="186" t="n">
        <v>11901.7764883025</v>
      </c>
      <c r="E596" s="188" t="n">
        <v>219750735622.696</v>
      </c>
      <c r="F596" s="188" t="n">
        <v>19209711614.4085</v>
      </c>
    </row>
    <row r="597" ht="15" customHeight="1" s="95">
      <c r="A597" s="143" t="n">
        <v>44061</v>
      </c>
      <c r="B597" s="94" t="n">
        <v>2020</v>
      </c>
      <c r="C597" s="94" t="inlineStr">
        <is>
          <t>2020-Q3</t>
        </is>
      </c>
      <c r="D597" s="186" t="n">
        <v>12272.4658081604</v>
      </c>
      <c r="E597" s="188" t="n">
        <v>226536103501.864</v>
      </c>
      <c r="F597" s="188" t="n">
        <v>25481896190.5558</v>
      </c>
    </row>
    <row r="598" ht="15" customHeight="1" s="95">
      <c r="A598" s="143" t="n">
        <v>44062</v>
      </c>
      <c r="B598" s="94" t="n">
        <v>2020</v>
      </c>
      <c r="C598" s="94" t="inlineStr">
        <is>
          <t>2020-Q3</t>
        </is>
      </c>
      <c r="D598" s="186" t="n">
        <v>11949.6109706282</v>
      </c>
      <c r="E598" s="188" t="n">
        <v>220980135332.214</v>
      </c>
      <c r="F598" s="188" t="n">
        <v>24825715158.7055</v>
      </c>
    </row>
    <row r="599" ht="15" customHeight="1" s="95">
      <c r="A599" s="143" t="n">
        <v>44063</v>
      </c>
      <c r="B599" s="94" t="n">
        <v>2020</v>
      </c>
      <c r="C599" s="94" t="inlineStr">
        <is>
          <t>2020-Q3</t>
        </is>
      </c>
      <c r="D599" s="186" t="n">
        <v>11733.2789708621</v>
      </c>
      <c r="E599" s="188" t="n">
        <v>216660276172.505</v>
      </c>
      <c r="F599" s="188" t="n">
        <v>23384200655.8889</v>
      </c>
    </row>
    <row r="600" ht="15" customHeight="1" s="95">
      <c r="A600" s="143" t="n">
        <v>44064</v>
      </c>
      <c r="B600" s="94" t="n">
        <v>2020</v>
      </c>
      <c r="C600" s="94" t="inlineStr">
        <is>
          <t>2020-Q3</t>
        </is>
      </c>
      <c r="D600" s="186" t="n">
        <v>11861.8365772797</v>
      </c>
      <c r="E600" s="188" t="n">
        <v>219044968220.888</v>
      </c>
      <c r="F600" s="188" t="n">
        <v>20353349054.5915</v>
      </c>
    </row>
    <row r="601" ht="15" customHeight="1" s="95">
      <c r="A601" s="143" t="n">
        <v>44065</v>
      </c>
      <c r="B601" s="94" t="n">
        <v>2020</v>
      </c>
      <c r="C601" s="94" t="inlineStr">
        <is>
          <t>2020-Q3</t>
        </is>
      </c>
      <c r="D601" s="186" t="n">
        <v>11515.1242987292</v>
      </c>
      <c r="E601" s="188" t="n">
        <v>212896669545.75</v>
      </c>
      <c r="F601" s="188" t="n">
        <v>23406354443.0112</v>
      </c>
    </row>
    <row r="602" ht="15" customHeight="1" s="95">
      <c r="A602" s="143" t="n">
        <v>44066</v>
      </c>
      <c r="B602" s="94" t="n">
        <v>2020</v>
      </c>
      <c r="C602" s="94" t="inlineStr">
        <is>
          <t>2020-Q3</t>
        </is>
      </c>
      <c r="D602" s="186" t="n">
        <v>11676.3853050813</v>
      </c>
      <c r="E602" s="188" t="n">
        <v>215641597239.982</v>
      </c>
      <c r="F602" s="188" t="n">
        <v>19572783953.579</v>
      </c>
    </row>
    <row r="603" ht="15" customHeight="1" s="95">
      <c r="A603" s="143" t="n">
        <v>44067</v>
      </c>
      <c r="B603" s="94" t="n">
        <v>2020</v>
      </c>
      <c r="C603" s="94" t="inlineStr">
        <is>
          <t>2020-Q3</t>
        </is>
      </c>
      <c r="D603" s="186" t="n">
        <v>11647.9281209344</v>
      </c>
      <c r="E603" s="188" t="n">
        <v>215347356765.461</v>
      </c>
      <c r="F603" s="188" t="n">
        <v>18467219109.1841</v>
      </c>
    </row>
    <row r="604" ht="15" customHeight="1" s="95">
      <c r="A604" s="143" t="n">
        <v>44068</v>
      </c>
      <c r="B604" s="94" t="n">
        <v>2020</v>
      </c>
      <c r="C604" s="94" t="inlineStr">
        <is>
          <t>2020-Q3</t>
        </is>
      </c>
      <c r="D604" s="186" t="n">
        <v>11758.8281203689</v>
      </c>
      <c r="E604" s="188" t="n">
        <v>217410678530.358</v>
      </c>
      <c r="F604" s="188" t="n">
        <v>20061559392.1033</v>
      </c>
    </row>
    <row r="605" ht="15" customHeight="1" s="95">
      <c r="A605" s="143" t="n">
        <v>44069</v>
      </c>
      <c r="B605" s="94" t="n">
        <v>2020</v>
      </c>
      <c r="C605" s="94" t="inlineStr">
        <is>
          <t>2020-Q3</t>
        </is>
      </c>
      <c r="D605" s="186" t="n">
        <v>11350.753473213</v>
      </c>
      <c r="E605" s="188" t="n">
        <v>209658632328.37</v>
      </c>
      <c r="F605" s="188" t="n">
        <v>23423332918.9369</v>
      </c>
    </row>
    <row r="606" ht="15" customHeight="1" s="95">
      <c r="A606" s="143" t="n">
        <v>44070</v>
      </c>
      <c r="B606" s="94" t="n">
        <v>2020</v>
      </c>
      <c r="C606" s="94" t="inlineStr">
        <is>
          <t>2020-Q3</t>
        </is>
      </c>
      <c r="D606" s="186" t="n">
        <v>11465.0025640321</v>
      </c>
      <c r="E606" s="188" t="n">
        <v>211778947737.224</v>
      </c>
      <c r="F606" s="188" t="n">
        <v>20869928785.8008</v>
      </c>
    </row>
    <row r="607" ht="15" customHeight="1" s="95">
      <c r="A607" s="143" t="n">
        <v>44071</v>
      </c>
      <c r="B607" s="94" t="n">
        <v>2020</v>
      </c>
      <c r="C607" s="94" t="inlineStr">
        <is>
          <t>2020-Q3</t>
        </is>
      </c>
      <c r="D607" s="186" t="n">
        <v>11300.3983638109</v>
      </c>
      <c r="E607" s="188" t="n">
        <v>208747591910.155</v>
      </c>
      <c r="F607" s="188" t="n">
        <v>21595917446.044</v>
      </c>
    </row>
    <row r="608" ht="15" customHeight="1" s="95">
      <c r="A608" s="143" t="n">
        <v>44072</v>
      </c>
      <c r="B608" s="94" t="n">
        <v>2020</v>
      </c>
      <c r="C608" s="94" t="inlineStr">
        <is>
          <t>2020-Q3</t>
        </is>
      </c>
      <c r="D608" s="186" t="n">
        <v>11519.1183881607</v>
      </c>
      <c r="E608" s="188" t="n">
        <v>212799723684.947</v>
      </c>
      <c r="F608" s="188" t="n">
        <v>19271253870.8299</v>
      </c>
    </row>
    <row r="609" ht="15" customHeight="1" s="95">
      <c r="A609" s="143" t="n">
        <v>44073</v>
      </c>
      <c r="B609" s="94" t="n">
        <v>2020</v>
      </c>
      <c r="C609" s="94" t="inlineStr">
        <is>
          <t>2020-Q3</t>
        </is>
      </c>
      <c r="D609" s="186" t="n">
        <v>11481.481823317</v>
      </c>
      <c r="E609" s="188" t="n">
        <v>212114842611.543</v>
      </c>
      <c r="F609" s="188" t="n">
        <v>18415439613.5389</v>
      </c>
    </row>
    <row r="610" ht="15" customHeight="1" s="95">
      <c r="A610" s="143" t="n">
        <v>44074</v>
      </c>
      <c r="B610" s="94" t="n">
        <v>2020</v>
      </c>
      <c r="C610" s="94" t="inlineStr">
        <is>
          <t>2020-Q3</t>
        </is>
      </c>
      <c r="D610" s="186" t="n">
        <v>11701.0040086579</v>
      </c>
      <c r="E610" s="188" t="n">
        <v>216179629567.18</v>
      </c>
      <c r="F610" s="188" t="n">
        <v>19909556666.6015</v>
      </c>
    </row>
    <row r="611" ht="15" customHeight="1" s="95">
      <c r="A611" s="143" t="n">
        <v>44075</v>
      </c>
      <c r="B611" s="94" t="n">
        <v>2020</v>
      </c>
      <c r="C611" s="94" t="inlineStr">
        <is>
          <t>2020-Q3</t>
        </is>
      </c>
      <c r="D611" s="186" t="n">
        <v>11672.3241049436</v>
      </c>
      <c r="E611" s="188" t="n">
        <v>215921598551.33</v>
      </c>
      <c r="F611" s="188" t="n">
        <v>21077276617.8664</v>
      </c>
    </row>
    <row r="612" ht="15" customHeight="1" s="95">
      <c r="A612" s="143" t="n">
        <v>44076</v>
      </c>
      <c r="B612" s="94" t="n">
        <v>2020</v>
      </c>
      <c r="C612" s="94" t="inlineStr">
        <is>
          <t>2020-Q3</t>
        </is>
      </c>
      <c r="D612" s="186" t="n">
        <v>11895.2253453456</v>
      </c>
      <c r="E612" s="188" t="n">
        <v>221315690777.345</v>
      </c>
      <c r="F612" s="188" t="n">
        <v>25232603061.5349</v>
      </c>
    </row>
    <row r="613" ht="15" customHeight="1" s="95">
      <c r="A613" s="143" t="n">
        <v>44077</v>
      </c>
      <c r="B613" s="94" t="n">
        <v>2020</v>
      </c>
      <c r="C613" s="94" t="inlineStr">
        <is>
          <t>2020-Q3</t>
        </is>
      </c>
      <c r="D613" s="186" t="n">
        <v>11418.2547569162</v>
      </c>
      <c r="E613" s="188" t="n">
        <v>210746091569.714</v>
      </c>
      <c r="F613" s="188" t="n">
        <v>26038738388.7989</v>
      </c>
    </row>
    <row r="614" ht="15" customHeight="1" s="95">
      <c r="A614" s="143" t="n">
        <v>44078</v>
      </c>
      <c r="B614" s="94" t="n">
        <v>2020</v>
      </c>
      <c r="C614" s="94" t="inlineStr">
        <is>
          <t>2020-Q3</t>
        </is>
      </c>
      <c r="D614" s="186" t="n">
        <v>10197.4598227689</v>
      </c>
      <c r="E614" s="188" t="n">
        <v>188438095255.46</v>
      </c>
      <c r="F614" s="188" t="n">
        <v>49411126240.5186</v>
      </c>
    </row>
    <row r="615" ht="15" customHeight="1" s="95">
      <c r="A615" s="143" t="n">
        <v>44079</v>
      </c>
      <c r="B615" s="94" t="n">
        <v>2020</v>
      </c>
      <c r="C615" s="94" t="inlineStr">
        <is>
          <t>2020-Q3</t>
        </is>
      </c>
      <c r="D615" s="186" t="n">
        <v>10484.4703922656</v>
      </c>
      <c r="E615" s="188" t="n">
        <v>194040447575.931</v>
      </c>
      <c r="F615" s="188" t="n">
        <v>27623487077.0688</v>
      </c>
    </row>
    <row r="616" ht="15" customHeight="1" s="95">
      <c r="A616" s="143" t="n">
        <v>44080</v>
      </c>
      <c r="B616" s="94" t="n">
        <v>2020</v>
      </c>
      <c r="C616" s="94" t="inlineStr">
        <is>
          <t>2020-Q3</t>
        </is>
      </c>
      <c r="D616" s="186" t="n">
        <v>10177.78971805</v>
      </c>
      <c r="E616" s="188" t="n">
        <v>188092098308.353</v>
      </c>
      <c r="F616" s="188" t="n">
        <v>56430042198.6917</v>
      </c>
    </row>
    <row r="617" ht="15" customHeight="1" s="95">
      <c r="A617" s="143" t="n">
        <v>44081</v>
      </c>
      <c r="B617" s="94" t="n">
        <v>2020</v>
      </c>
      <c r="C617" s="94" t="inlineStr">
        <is>
          <t>2020-Q3</t>
        </is>
      </c>
      <c r="D617" s="186" t="n">
        <v>10260.0177277544</v>
      </c>
      <c r="E617" s="188" t="n">
        <v>189621410257.035</v>
      </c>
      <c r="F617" s="188" t="n">
        <v>28801019507.3335</v>
      </c>
    </row>
    <row r="618" ht="15" customHeight="1" s="95">
      <c r="A618" s="143" t="n">
        <v>44082</v>
      </c>
      <c r="B618" s="94" t="n">
        <v>2020</v>
      </c>
      <c r="C618" s="94" t="inlineStr">
        <is>
          <t>2020-Q3</t>
        </is>
      </c>
      <c r="D618" s="186" t="n">
        <v>10359.44521699</v>
      </c>
      <c r="E618" s="188" t="n">
        <v>191501904758.687</v>
      </c>
      <c r="F618" s="188" t="n">
        <v>26560146962.2328</v>
      </c>
    </row>
    <row r="619" ht="15" customHeight="1" s="95">
      <c r="A619" s="143" t="n">
        <v>44083</v>
      </c>
      <c r="B619" s="94" t="n">
        <v>2020</v>
      </c>
      <c r="C619" s="94" t="inlineStr">
        <is>
          <t>2020-Q3</t>
        </is>
      </c>
      <c r="D619" s="186" t="n">
        <v>10125.0149560697</v>
      </c>
      <c r="E619" s="188" t="n">
        <v>186825391248.726</v>
      </c>
      <c r="F619" s="188" t="n">
        <v>47780699209.0924</v>
      </c>
    </row>
    <row r="620" ht="15" customHeight="1" s="95">
      <c r="A620" s="143" t="n">
        <v>44084</v>
      </c>
      <c r="B620" s="94" t="n">
        <v>2020</v>
      </c>
      <c r="C620" s="94" t="inlineStr">
        <is>
          <t>2020-Q3</t>
        </is>
      </c>
      <c r="D620" s="186" t="n">
        <v>10230.1546993608</v>
      </c>
      <c r="E620" s="188" t="n">
        <v>188757938083.843</v>
      </c>
      <c r="F620" s="188" t="n">
        <v>21357083446.3125</v>
      </c>
    </row>
    <row r="621" ht="15" customHeight="1" s="95">
      <c r="A621" s="143" t="n">
        <v>44085</v>
      </c>
      <c r="B621" s="94" t="n">
        <v>2020</v>
      </c>
      <c r="C621" s="94" t="inlineStr">
        <is>
          <t>2020-Q3</t>
        </is>
      </c>
      <c r="D621" s="186" t="n">
        <v>10342.1593912057</v>
      </c>
      <c r="E621" s="188" t="n">
        <v>191180566587.059</v>
      </c>
      <c r="F621" s="188" t="n">
        <v>77545788530.6144</v>
      </c>
    </row>
    <row r="622" ht="15" customHeight="1" s="95">
      <c r="A622" s="143" t="n">
        <v>44086</v>
      </c>
      <c r="B622" s="94" t="n">
        <v>2020</v>
      </c>
      <c r="C622" s="94" t="inlineStr">
        <is>
          <t>2020-Q3</t>
        </is>
      </c>
      <c r="D622" s="186" t="n">
        <v>10378.2230445846</v>
      </c>
      <c r="E622" s="188" t="n">
        <v>192111562749.934</v>
      </c>
      <c r="F622" s="188" t="n">
        <v>20796810115.9479</v>
      </c>
    </row>
    <row r="623" ht="15" customHeight="1" s="95">
      <c r="A623" s="143" t="n">
        <v>44087</v>
      </c>
      <c r="B623" s="94" t="n">
        <v>2020</v>
      </c>
      <c r="C623" s="94" t="inlineStr">
        <is>
          <t>2020-Q3</t>
        </is>
      </c>
      <c r="D623" s="186" t="n">
        <v>10439.384672264</v>
      </c>
      <c r="E623" s="188" t="n">
        <v>192997988416.481</v>
      </c>
      <c r="F623" s="188" t="n">
        <v>19955498078.2511</v>
      </c>
    </row>
    <row r="624" ht="15" customHeight="1" s="95">
      <c r="A624" s="143" t="n">
        <v>44088</v>
      </c>
      <c r="B624" s="94" t="n">
        <v>2020</v>
      </c>
      <c r="C624" s="94" t="inlineStr">
        <is>
          <t>2020-Q3</t>
        </is>
      </c>
      <c r="D624" s="186" t="n">
        <v>10328.8660659874</v>
      </c>
      <c r="E624" s="188" t="n">
        <v>190922719938.231</v>
      </c>
      <c r="F624" s="188" t="n">
        <v>21057424433.4801</v>
      </c>
    </row>
    <row r="625" ht="15" customHeight="1" s="95">
      <c r="A625" s="143" t="n">
        <v>44089</v>
      </c>
      <c r="B625" s="94" t="n">
        <v>2020</v>
      </c>
      <c r="C625" s="94" t="inlineStr">
        <is>
          <t>2020-Q3</t>
        </is>
      </c>
      <c r="D625" s="186" t="n">
        <v>10661.0962351445</v>
      </c>
      <c r="E625" s="188" t="n">
        <v>197010021430.24</v>
      </c>
      <c r="F625" s="188" t="n">
        <v>23526143436.4904</v>
      </c>
    </row>
    <row r="626" ht="15" customHeight="1" s="95">
      <c r="A626" s="143" t="n">
        <v>44090</v>
      </c>
      <c r="B626" s="94" t="n">
        <v>2020</v>
      </c>
      <c r="C626" s="94" t="inlineStr">
        <is>
          <t>2020-Q3</t>
        </is>
      </c>
      <c r="D626" s="186" t="n">
        <v>10787.5802080762</v>
      </c>
      <c r="E626" s="188" t="n">
        <v>199044338127.626</v>
      </c>
      <c r="F626" s="188" t="n">
        <v>23802088944.3969</v>
      </c>
    </row>
    <row r="627" ht="15" customHeight="1" s="95">
      <c r="A627" s="143" t="n">
        <v>44091</v>
      </c>
      <c r="B627" s="94" t="n">
        <v>2020</v>
      </c>
      <c r="C627" s="94" t="inlineStr">
        <is>
          <t>2020-Q3</t>
        </is>
      </c>
      <c r="D627" s="186" t="n">
        <v>10952.2499691071</v>
      </c>
      <c r="E627" s="188" t="n">
        <v>202524001250.493</v>
      </c>
      <c r="F627" s="188" t="n">
        <v>24459086808.7769</v>
      </c>
    </row>
    <row r="628" ht="15" customHeight="1" s="95">
      <c r="A628" s="143" t="n">
        <v>44092</v>
      </c>
      <c r="B628" s="94" t="n">
        <v>2020</v>
      </c>
      <c r="C628" s="94" t="inlineStr">
        <is>
          <t>2020-Q3</t>
        </is>
      </c>
      <c r="D628" s="186" t="n">
        <v>10937.9963969609</v>
      </c>
      <c r="E628" s="188" t="n">
        <v>202358479464.185</v>
      </c>
      <c r="F628" s="188" t="n">
        <v>23547167125.3424</v>
      </c>
    </row>
    <row r="629" ht="15" customHeight="1" s="95">
      <c r="A629" s="143" t="n">
        <v>44093</v>
      </c>
      <c r="B629" s="94" t="n">
        <v>2020</v>
      </c>
      <c r="C629" s="94" t="inlineStr">
        <is>
          <t>2020-Q3</t>
        </is>
      </c>
      <c r="D629" s="186" t="n">
        <v>10927.1503102933</v>
      </c>
      <c r="E629" s="188" t="n">
        <v>202091264904.969</v>
      </c>
      <c r="F629" s="188" t="n">
        <v>20681771888.3993</v>
      </c>
    </row>
    <row r="630" ht="15" customHeight="1" s="95">
      <c r="A630" s="143" t="n">
        <v>44094</v>
      </c>
      <c r="B630" s="94" t="n">
        <v>2020</v>
      </c>
      <c r="C630" s="94" t="inlineStr">
        <is>
          <t>2020-Q3</t>
        </is>
      </c>
      <c r="D630" s="186" t="n">
        <v>11083.9983611982</v>
      </c>
      <c r="E630" s="188" t="n">
        <v>204994315602.987</v>
      </c>
      <c r="F630" s="188" t="n">
        <v>18334274060.3001</v>
      </c>
    </row>
    <row r="631" ht="15" customHeight="1" s="95">
      <c r="A631" s="143" t="n">
        <v>44095</v>
      </c>
      <c r="B631" s="94" t="n">
        <v>2020</v>
      </c>
      <c r="C631" s="94" t="inlineStr">
        <is>
          <t>2020-Q3</t>
        </is>
      </c>
      <c r="D631" s="186" t="n">
        <v>10923.3266681814</v>
      </c>
      <c r="E631" s="188" t="n">
        <v>202032519471.269</v>
      </c>
      <c r="F631" s="188" t="n">
        <v>20161733906.9632</v>
      </c>
    </row>
    <row r="632" ht="15" customHeight="1" s="95">
      <c r="A632" s="143" t="n">
        <v>44096</v>
      </c>
      <c r="B632" s="94" t="n">
        <v>2020</v>
      </c>
      <c r="C632" s="94" t="inlineStr">
        <is>
          <t>2020-Q3</t>
        </is>
      </c>
      <c r="D632" s="186" t="n">
        <v>10439.5224887924</v>
      </c>
      <c r="E632" s="188" t="n">
        <v>193677795064.085</v>
      </c>
      <c r="F632" s="188" t="n">
        <v>23757059692.357</v>
      </c>
    </row>
    <row r="633" ht="15" customHeight="1" s="95">
      <c r="A633" s="143" t="n">
        <v>44097</v>
      </c>
      <c r="B633" s="94" t="n">
        <v>2020</v>
      </c>
      <c r="C633" s="94" t="inlineStr">
        <is>
          <t>2020-Q3</t>
        </is>
      </c>
      <c r="D633" s="186" t="n">
        <v>10527.5878467394</v>
      </c>
      <c r="E633" s="188" t="n">
        <v>194731087415.29</v>
      </c>
      <c r="F633" s="188" t="n">
        <v>19866578108.978</v>
      </c>
    </row>
    <row r="634" ht="15" customHeight="1" s="95">
      <c r="A634" s="143" t="n">
        <v>44098</v>
      </c>
      <c r="B634" s="94" t="n">
        <v>2020</v>
      </c>
      <c r="C634" s="94" t="inlineStr">
        <is>
          <t>2020-Q3</t>
        </is>
      </c>
      <c r="D634" s="186" t="n">
        <v>10223.7841063927</v>
      </c>
      <c r="E634" s="188" t="n">
        <v>189120580778.463</v>
      </c>
      <c r="F634" s="188" t="n">
        <v>19981974722.3513</v>
      </c>
    </row>
    <row r="635" ht="15" customHeight="1" s="95">
      <c r="A635" s="143" t="n">
        <v>44099</v>
      </c>
      <c r="B635" s="94" t="n">
        <v>2020</v>
      </c>
      <c r="C635" s="94" t="inlineStr">
        <is>
          <t>2020-Q3</t>
        </is>
      </c>
      <c r="D635" s="186" t="n">
        <v>10726.530083322</v>
      </c>
      <c r="E635" s="188" t="n">
        <v>198514026300.179</v>
      </c>
      <c r="F635" s="188" t="n">
        <v>21348447554.0925</v>
      </c>
    </row>
    <row r="636" ht="15" customHeight="1" s="95">
      <c r="A636" s="143" t="n">
        <v>44100</v>
      </c>
      <c r="B636" s="94" t="n">
        <v>2020</v>
      </c>
      <c r="C636" s="94" t="inlineStr">
        <is>
          <t>2020-Q3</t>
        </is>
      </c>
      <c r="D636" s="186" t="n">
        <v>10681.9938481137</v>
      </c>
      <c r="E636" s="188" t="n">
        <v>197616950282.067</v>
      </c>
      <c r="F636" s="188" t="n">
        <v>19119761059.4755</v>
      </c>
    </row>
    <row r="637" ht="15" customHeight="1" s="95">
      <c r="A637" s="143" t="n">
        <v>44101</v>
      </c>
      <c r="B637" s="94" t="n">
        <v>2020</v>
      </c>
      <c r="C637" s="94" t="inlineStr">
        <is>
          <t>2020-Q3</t>
        </is>
      </c>
      <c r="D637" s="186" t="n">
        <v>10743.1928797594</v>
      </c>
      <c r="E637" s="188" t="n">
        <v>198687083452.043</v>
      </c>
      <c r="F637" s="188" t="n">
        <v>16886146730.05</v>
      </c>
    </row>
    <row r="638" ht="15" customHeight="1" s="95">
      <c r="A638" s="143" t="n">
        <v>44102</v>
      </c>
      <c r="B638" s="94" t="n">
        <v>2020</v>
      </c>
      <c r="C638" s="94" t="inlineStr">
        <is>
          <t>2020-Q3</t>
        </is>
      </c>
      <c r="D638" s="186" t="n">
        <v>10765.3005216609</v>
      </c>
      <c r="E638" s="188" t="n">
        <v>199236216251.436</v>
      </c>
      <c r="F638" s="188" t="n">
        <v>17639951627.9488</v>
      </c>
    </row>
    <row r="639" ht="15" customHeight="1" s="95">
      <c r="A639" s="143" t="n">
        <v>44103</v>
      </c>
      <c r="B639" s="94" t="n">
        <v>2020</v>
      </c>
      <c r="C639" s="94" t="inlineStr">
        <is>
          <t>2020-Q3</t>
        </is>
      </c>
      <c r="D639" s="186" t="n">
        <v>10672.028544259</v>
      </c>
      <c r="E639" s="188" t="n">
        <v>197720212770.895</v>
      </c>
      <c r="F639" s="188" t="n">
        <v>19869963340.4855</v>
      </c>
    </row>
    <row r="640" ht="15" customHeight="1" s="95">
      <c r="A640" s="143" t="n">
        <v>44104</v>
      </c>
      <c r="B640" s="94" t="n">
        <v>2020</v>
      </c>
      <c r="C640" s="94" t="inlineStr">
        <is>
          <t>2020-Q3</t>
        </is>
      </c>
      <c r="D640" s="186" t="n">
        <v>10837.516586513</v>
      </c>
      <c r="E640" s="188" t="n">
        <v>200532996047.586</v>
      </c>
      <c r="F640" s="188" t="n">
        <v>18308943800.639</v>
      </c>
    </row>
    <row r="641" ht="15" customHeight="1" s="95">
      <c r="A641" s="143" t="n">
        <v>44105</v>
      </c>
      <c r="B641" s="94" t="n">
        <v>2020</v>
      </c>
      <c r="C641" s="94" t="inlineStr">
        <is>
          <t>2020-Q4</t>
        </is>
      </c>
      <c r="D641" s="186" t="n">
        <v>10770.8813474664</v>
      </c>
      <c r="E641" s="188" t="n">
        <v>199310441688.836</v>
      </c>
      <c r="F641" s="188" t="n">
        <v>18558607662.6852</v>
      </c>
    </row>
    <row r="642" ht="15" customHeight="1" s="95">
      <c r="A642" s="143" t="n">
        <v>44106</v>
      </c>
      <c r="B642" s="94" t="n">
        <v>2020</v>
      </c>
      <c r="C642" s="94" t="inlineStr">
        <is>
          <t>2020-Q4</t>
        </is>
      </c>
      <c r="D642" s="186" t="n">
        <v>10627.9760639632</v>
      </c>
      <c r="E642" s="188" t="n">
        <v>196617081790.519</v>
      </c>
      <c r="F642" s="188" t="n">
        <v>20889752499.9589</v>
      </c>
    </row>
    <row r="643" ht="15" customHeight="1" s="95">
      <c r="A643" s="143" t="n">
        <v>44107</v>
      </c>
      <c r="B643" s="94" t="n">
        <v>2020</v>
      </c>
      <c r="C643" s="94" t="inlineStr">
        <is>
          <t>2020-Q4</t>
        </is>
      </c>
      <c r="D643" s="186" t="n">
        <v>10572.6748430111</v>
      </c>
      <c r="E643" s="188" t="n">
        <v>195660035179.733</v>
      </c>
      <c r="F643" s="188" t="n">
        <v>21258724984.4758</v>
      </c>
    </row>
    <row r="644" ht="15" customHeight="1" s="95">
      <c r="A644" s="143" t="n">
        <v>44108</v>
      </c>
      <c r="B644" s="94" t="n">
        <v>2020</v>
      </c>
      <c r="C644" s="94" t="inlineStr">
        <is>
          <t>2020-Q4</t>
        </is>
      </c>
      <c r="D644" s="186" t="n">
        <v>10546.6562553798</v>
      </c>
      <c r="E644" s="188" t="n">
        <v>195188285650.346</v>
      </c>
      <c r="F644" s="188" t="n">
        <v>16039831144.9375</v>
      </c>
    </row>
    <row r="645" ht="15" customHeight="1" s="95">
      <c r="A645" s="143" t="n">
        <v>44109</v>
      </c>
      <c r="B645" s="94" t="n">
        <v>2020</v>
      </c>
      <c r="C645" s="94" t="inlineStr">
        <is>
          <t>2020-Q4</t>
        </is>
      </c>
      <c r="D645" s="186" t="n">
        <v>10670.7008113352</v>
      </c>
      <c r="E645" s="188" t="n">
        <v>197494664453.794</v>
      </c>
      <c r="F645" s="188" t="n">
        <v>16029160487.5592</v>
      </c>
    </row>
    <row r="646" ht="15" customHeight="1" s="95">
      <c r="A646" s="143" t="n">
        <v>44110</v>
      </c>
      <c r="B646" s="94" t="n">
        <v>2020</v>
      </c>
      <c r="C646" s="94" t="inlineStr">
        <is>
          <t>2020-Q4</t>
        </is>
      </c>
      <c r="D646" s="186" t="n">
        <v>10784.9494030941</v>
      </c>
      <c r="E646" s="188" t="n">
        <v>199530129891.088</v>
      </c>
      <c r="F646" s="188" t="n">
        <v>17853484006.2693</v>
      </c>
    </row>
    <row r="647" ht="15" customHeight="1" s="95">
      <c r="A647" s="143" t="n">
        <v>44111</v>
      </c>
      <c r="B647" s="94" t="n">
        <v>2020</v>
      </c>
      <c r="C647" s="94" t="inlineStr">
        <is>
          <t>2020-Q4</t>
        </is>
      </c>
      <c r="D647" s="186" t="n">
        <v>10605.9577913062</v>
      </c>
      <c r="E647" s="188" t="n">
        <v>196314284797.013</v>
      </c>
      <c r="F647" s="188" t="n">
        <v>19419734685.0958</v>
      </c>
    </row>
    <row r="648" ht="15" customHeight="1" s="95">
      <c r="A648" s="143" t="n">
        <v>44112</v>
      </c>
      <c r="B648" s="94" t="n">
        <v>2020</v>
      </c>
      <c r="C648" s="94" t="inlineStr">
        <is>
          <t>2020-Q4</t>
        </is>
      </c>
      <c r="D648" s="186" t="n">
        <v>10668.0110107969</v>
      </c>
      <c r="E648" s="188" t="n">
        <v>197575523784.584</v>
      </c>
      <c r="F648" s="188" t="n">
        <v>17222472599.6063</v>
      </c>
    </row>
    <row r="649" ht="15" customHeight="1" s="95">
      <c r="A649" s="143" t="n">
        <v>44113</v>
      </c>
      <c r="B649" s="94" t="n">
        <v>2020</v>
      </c>
      <c r="C649" s="94" t="inlineStr">
        <is>
          <t>2020-Q4</t>
        </is>
      </c>
      <c r="D649" s="186" t="n">
        <v>10888.6665468358</v>
      </c>
      <c r="E649" s="188" t="n">
        <v>201518932273.679</v>
      </c>
      <c r="F649" s="188" t="n">
        <v>19767968267.463</v>
      </c>
    </row>
    <row r="650" ht="15" customHeight="1" s="95">
      <c r="A650" s="143" t="n">
        <v>44114</v>
      </c>
      <c r="B650" s="94" t="n">
        <v>2020</v>
      </c>
      <c r="C650" s="94" t="inlineStr">
        <is>
          <t>2020-Q4</t>
        </is>
      </c>
      <c r="D650" s="186" t="n">
        <v>11063.2523862591</v>
      </c>
      <c r="E650" s="188" t="n">
        <v>204809205392.18</v>
      </c>
      <c r="F650" s="188" t="n">
        <v>19254933802.1058</v>
      </c>
    </row>
    <row r="651" ht="15" customHeight="1" s="95">
      <c r="A651" s="143" t="n">
        <v>44115</v>
      </c>
      <c r="B651" s="94" t="n">
        <v>2020</v>
      </c>
      <c r="C651" s="94" t="inlineStr">
        <is>
          <t>2020-Q4</t>
        </is>
      </c>
      <c r="D651" s="186" t="n">
        <v>11286.5419420439</v>
      </c>
      <c r="E651" s="188" t="n">
        <v>209268690952.585</v>
      </c>
      <c r="F651" s="188" t="n">
        <v>19496631246.2707</v>
      </c>
    </row>
    <row r="652" ht="15" customHeight="1" s="95">
      <c r="A652" s="143" t="n">
        <v>44116</v>
      </c>
      <c r="B652" s="94" t="n">
        <v>2020</v>
      </c>
      <c r="C652" s="94" t="inlineStr">
        <is>
          <t>2020-Q4</t>
        </is>
      </c>
      <c r="D652" s="186" t="n">
        <v>11377.8148767569</v>
      </c>
      <c r="E652" s="188" t="n">
        <v>210799352797.138</v>
      </c>
      <c r="F652" s="188" t="n">
        <v>16270141989.7327</v>
      </c>
    </row>
    <row r="653" ht="15" customHeight="1" s="95">
      <c r="A653" s="143" t="n">
        <v>44117</v>
      </c>
      <c r="B653" s="94" t="n">
        <v>2020</v>
      </c>
      <c r="C653" s="94" t="inlineStr">
        <is>
          <t>2020-Q4</t>
        </is>
      </c>
      <c r="D653" s="186" t="n">
        <v>11543.1837607715</v>
      </c>
      <c r="E653" s="188" t="n">
        <v>213726225963.205</v>
      </c>
      <c r="F653" s="188" t="n">
        <v>20957733313.865</v>
      </c>
    </row>
    <row r="654" ht="15" customHeight="1" s="95">
      <c r="A654" s="143" t="n">
        <v>44118</v>
      </c>
      <c r="B654" s="94" t="n">
        <v>2020</v>
      </c>
      <c r="C654" s="94" t="inlineStr">
        <is>
          <t>2020-Q4</t>
        </is>
      </c>
      <c r="D654" s="186" t="n">
        <v>11426.1055442204</v>
      </c>
      <c r="E654" s="188" t="n">
        <v>211576163357.665</v>
      </c>
      <c r="F654" s="188" t="n">
        <v>19556025069.3974</v>
      </c>
    </row>
    <row r="655" ht="15" customHeight="1" s="95">
      <c r="A655" s="143" t="n">
        <v>44119</v>
      </c>
      <c r="B655" s="94" t="n">
        <v>2020</v>
      </c>
      <c r="C655" s="94" t="inlineStr">
        <is>
          <t>2020-Q4</t>
        </is>
      </c>
      <c r="D655" s="186" t="n">
        <v>11435.5724375797</v>
      </c>
      <c r="E655" s="188" t="n">
        <v>211756280001.141</v>
      </c>
      <c r="F655" s="188" t="n">
        <v>20441486195.0237</v>
      </c>
    </row>
    <row r="656" ht="15" customHeight="1" s="95">
      <c r="A656" s="143" t="n">
        <v>44120</v>
      </c>
      <c r="B656" s="94" t="n">
        <v>2020</v>
      </c>
      <c r="C656" s="94" t="inlineStr">
        <is>
          <t>2020-Q4</t>
        </is>
      </c>
      <c r="D656" s="186" t="n">
        <v>11495.5849957339</v>
      </c>
      <c r="E656" s="188" t="n">
        <v>212878404236.874</v>
      </c>
      <c r="F656" s="188" t="n">
        <v>20511481706.6636</v>
      </c>
    </row>
    <row r="657" ht="15" customHeight="1" s="95">
      <c r="A657" s="143" t="n">
        <v>44121</v>
      </c>
      <c r="B657" s="94" t="n">
        <v>2020</v>
      </c>
      <c r="C657" s="94" t="inlineStr">
        <is>
          <t>2020-Q4</t>
        </is>
      </c>
      <c r="D657" s="186" t="n">
        <v>11319.0977856776</v>
      </c>
      <c r="E657" s="188" t="n">
        <v>209993205751.023</v>
      </c>
      <c r="F657" s="188" t="n">
        <v>20436703034.2392</v>
      </c>
    </row>
    <row r="658" ht="15" customHeight="1" s="95">
      <c r="A658" s="143" t="n">
        <v>44122</v>
      </c>
      <c r="B658" s="94" t="n">
        <v>2020</v>
      </c>
      <c r="C658" s="94" t="inlineStr">
        <is>
          <t>2020-Q4</t>
        </is>
      </c>
      <c r="D658" s="186" t="n">
        <v>11365.8141310262</v>
      </c>
      <c r="E658" s="188" t="n">
        <v>210421523306.691</v>
      </c>
      <c r="F658" s="188" t="n">
        <v>15650920221.0999</v>
      </c>
    </row>
    <row r="659" ht="15" customHeight="1" s="95">
      <c r="A659" s="143" t="n">
        <v>44123</v>
      </c>
      <c r="B659" s="94" t="n">
        <v>2020</v>
      </c>
      <c r="C659" s="94" t="inlineStr">
        <is>
          <t>2020-Q4</t>
        </is>
      </c>
      <c r="D659" s="186" t="n">
        <v>11495.8999756899</v>
      </c>
      <c r="E659" s="188" t="n">
        <v>212752326976.492</v>
      </c>
      <c r="F659" s="188" t="n">
        <v>15569792414.4232</v>
      </c>
    </row>
    <row r="660" ht="15" customHeight="1" s="95">
      <c r="A660" s="143" t="n">
        <v>44124</v>
      </c>
      <c r="B660" s="94" t="n">
        <v>2020</v>
      </c>
      <c r="C660" s="94" t="inlineStr">
        <is>
          <t>2020-Q4</t>
        </is>
      </c>
      <c r="D660" s="186" t="n">
        <v>11752.1468639198</v>
      </c>
      <c r="E660" s="188" t="n">
        <v>217391050812.659</v>
      </c>
      <c r="F660" s="188" t="n">
        <v>18121468516.2719</v>
      </c>
    </row>
    <row r="661" ht="15" customHeight="1" s="95">
      <c r="A661" s="143" t="n">
        <v>44125</v>
      </c>
      <c r="B661" s="94" t="n">
        <v>2020</v>
      </c>
      <c r="C661" s="94" t="inlineStr">
        <is>
          <t>2020-Q4</t>
        </is>
      </c>
      <c r="D661" s="186" t="n">
        <v>11908.7089232465</v>
      </c>
      <c r="E661" s="188" t="n">
        <v>220404884318.978</v>
      </c>
      <c r="F661" s="188" t="n">
        <v>21431994055.8289</v>
      </c>
    </row>
    <row r="662" ht="15" customHeight="1" s="95">
      <c r="A662" s="143" t="n">
        <v>44126</v>
      </c>
      <c r="B662" s="94" t="n">
        <v>2020</v>
      </c>
      <c r="C662" s="94" t="inlineStr">
        <is>
          <t>2020-Q4</t>
        </is>
      </c>
      <c r="D662" s="186" t="n">
        <v>12806.4357267274</v>
      </c>
      <c r="E662" s="188" t="n">
        <v>236717318526.157</v>
      </c>
      <c r="F662" s="188" t="n">
        <v>29314287990.069</v>
      </c>
    </row>
    <row r="663" ht="15" customHeight="1" s="95">
      <c r="A663" s="143" t="n">
        <v>44127</v>
      </c>
      <c r="B663" s="94" t="n">
        <v>2020</v>
      </c>
      <c r="C663" s="94" t="inlineStr">
        <is>
          <t>2020-Q4</t>
        </is>
      </c>
      <c r="D663" s="186" t="n">
        <v>12951.0440600381</v>
      </c>
      <c r="E663" s="188" t="n">
        <v>240257678153.835</v>
      </c>
      <c r="F663" s="188" t="n">
        <v>25070864646.7649</v>
      </c>
    </row>
    <row r="664" ht="15" customHeight="1" s="95">
      <c r="A664" s="143" t="n">
        <v>44128</v>
      </c>
      <c r="B664" s="94" t="n">
        <v>2020</v>
      </c>
      <c r="C664" s="94" t="inlineStr">
        <is>
          <t>2020-Q4</t>
        </is>
      </c>
      <c r="D664" s="186" t="n">
        <v>12928.0722963484</v>
      </c>
      <c r="E664" s="188" t="n">
        <v>239590543523.723</v>
      </c>
      <c r="F664" s="188" t="n">
        <v>21379873277.5857</v>
      </c>
    </row>
    <row r="665" ht="15" customHeight="1" s="95">
      <c r="A665" s="143" t="n">
        <v>44129</v>
      </c>
      <c r="B665" s="94" t="n">
        <v>2020</v>
      </c>
      <c r="C665" s="94" t="inlineStr">
        <is>
          <t>2020-Q4</t>
        </is>
      </c>
      <c r="D665" s="186" t="n">
        <v>13106.0460192596</v>
      </c>
      <c r="E665" s="188" t="n">
        <v>242785151288.079</v>
      </c>
      <c r="F665" s="188" t="n">
        <v>19302801174.7585</v>
      </c>
    </row>
    <row r="666" ht="15" customHeight="1" s="95">
      <c r="A666" s="143" t="n">
        <v>44130</v>
      </c>
      <c r="B666" s="94" t="n">
        <v>2020</v>
      </c>
      <c r="C666" s="94" t="inlineStr">
        <is>
          <t>2020-Q4</t>
        </is>
      </c>
      <c r="D666" s="186" t="n">
        <v>13021.4108421241</v>
      </c>
      <c r="E666" s="188" t="n">
        <v>241326618198.731</v>
      </c>
      <c r="F666" s="188" t="n">
        <v>18998745579.318</v>
      </c>
    </row>
    <row r="667" ht="15" customHeight="1" s="95">
      <c r="A667" s="143" t="n">
        <v>44131</v>
      </c>
      <c r="B667" s="94" t="n">
        <v>2020</v>
      </c>
      <c r="C667" s="94" t="inlineStr">
        <is>
          <t>2020-Q4</t>
        </is>
      </c>
      <c r="D667" s="186" t="n">
        <v>13060.7922120841</v>
      </c>
      <c r="E667" s="188" t="n">
        <v>242141178089.608</v>
      </c>
      <c r="F667" s="188" t="n">
        <v>21507619985.6944</v>
      </c>
    </row>
    <row r="668" ht="15" customHeight="1" s="95">
      <c r="A668" s="143" t="n">
        <v>44132</v>
      </c>
      <c r="B668" s="94" t="n">
        <v>2020</v>
      </c>
      <c r="C668" s="94" t="inlineStr">
        <is>
          <t>2020-Q4</t>
        </is>
      </c>
      <c r="D668" s="186" t="n">
        <v>13655.1854158831</v>
      </c>
      <c r="E668" s="188" t="n">
        <v>253004886697.361</v>
      </c>
      <c r="F668" s="188" t="n">
        <v>23918511528.0691</v>
      </c>
    </row>
    <row r="669" ht="15" customHeight="1" s="95">
      <c r="A669" s="143" t="n">
        <v>44133</v>
      </c>
      <c r="B669" s="94" t="n">
        <v>2020</v>
      </c>
      <c r="C669" s="94" t="inlineStr">
        <is>
          <t>2020-Q4</t>
        </is>
      </c>
      <c r="D669" s="186" t="n">
        <v>13282.9993482924</v>
      </c>
      <c r="E669" s="188" t="n">
        <v>245661872194.442</v>
      </c>
      <c r="F669" s="188" t="n">
        <v>26825856788.1128</v>
      </c>
    </row>
    <row r="670" ht="15" customHeight="1" s="95">
      <c r="A670" s="143" t="n">
        <v>44134</v>
      </c>
      <c r="B670" s="94" t="n">
        <v>2020</v>
      </c>
      <c r="C670" s="94" t="inlineStr">
        <is>
          <t>2020-Q4</t>
        </is>
      </c>
      <c r="D670" s="186" t="n">
        <v>13441.8784960316</v>
      </c>
      <c r="E670" s="188" t="n">
        <v>249545455596.33</v>
      </c>
      <c r="F670" s="188" t="n">
        <v>22860841953.8316</v>
      </c>
    </row>
    <row r="671" ht="15" customHeight="1" s="95">
      <c r="A671" s="143" t="n">
        <v>44135</v>
      </c>
      <c r="B671" s="94" t="n">
        <v>2020</v>
      </c>
      <c r="C671" s="94" t="inlineStr">
        <is>
          <t>2020-Q4</t>
        </is>
      </c>
      <c r="D671" s="186" t="n">
        <v>13537.1742715249</v>
      </c>
      <c r="E671" s="188" t="n">
        <v>250845436637.92</v>
      </c>
      <c r="F671" s="188" t="n">
        <v>23482756915.1137</v>
      </c>
    </row>
    <row r="672" ht="15" customHeight="1" s="95">
      <c r="A672" s="143" t="n">
        <v>44136</v>
      </c>
      <c r="B672" s="94" t="n">
        <v>2020</v>
      </c>
      <c r="C672" s="94" t="inlineStr">
        <is>
          <t>2020-Q4</t>
        </is>
      </c>
      <c r="D672" s="186" t="n">
        <v>13778.6376383529</v>
      </c>
      <c r="E672" s="188" t="n">
        <v>255329261020.616</v>
      </c>
      <c r="F672" s="188" t="n">
        <v>22691200479.4054</v>
      </c>
    </row>
    <row r="673" ht="15" customHeight="1" s="95">
      <c r="A673" s="143" t="n">
        <v>44137</v>
      </c>
      <c r="B673" s="94" t="n">
        <v>2020</v>
      </c>
      <c r="C673" s="94" t="inlineStr">
        <is>
          <t>2020-Q4</t>
        </is>
      </c>
      <c r="D673" s="186" t="n">
        <v>13720.3614651463</v>
      </c>
      <c r="E673" s="188" t="n">
        <v>254260250527.505</v>
      </c>
      <c r="F673" s="188" t="n">
        <v>19771957707.9371</v>
      </c>
    </row>
    <row r="674" ht="15" customHeight="1" s="95">
      <c r="A674" s="143" t="n">
        <v>44138</v>
      </c>
      <c r="B674" s="94" t="n">
        <v>2020</v>
      </c>
      <c r="C674" s="94" t="inlineStr">
        <is>
          <t>2020-Q4</t>
        </is>
      </c>
      <c r="D674" s="186" t="n">
        <v>13558.3617955242</v>
      </c>
      <c r="E674" s="188" t="n">
        <v>251266177558.481</v>
      </c>
      <c r="F674" s="188" t="n">
        <v>22630851230.4948</v>
      </c>
    </row>
    <row r="675" ht="15" customHeight="1" s="95">
      <c r="A675" s="143" t="n">
        <v>44139</v>
      </c>
      <c r="B675" s="94" t="n">
        <v>2020</v>
      </c>
      <c r="C675" s="94" t="inlineStr">
        <is>
          <t>2020-Q4</t>
        </is>
      </c>
      <c r="D675" s="186" t="n">
        <v>13989.9763581805</v>
      </c>
      <c r="E675" s="188" t="n">
        <v>259277183164.551</v>
      </c>
      <c r="F675" s="188" t="n">
        <v>22602862338.464</v>
      </c>
    </row>
    <row r="676" ht="15" customHeight="1" s="95">
      <c r="A676" s="143" t="n">
        <v>44140</v>
      </c>
      <c r="B676" s="94" t="n">
        <v>2020</v>
      </c>
      <c r="C676" s="94" t="inlineStr">
        <is>
          <t>2020-Q4</t>
        </is>
      </c>
      <c r="D676" s="186" t="n">
        <v>14101.7160508137</v>
      </c>
      <c r="E676" s="188" t="n">
        <v>261103557610.748</v>
      </c>
      <c r="F676" s="188" t="n">
        <v>25857225138.4653</v>
      </c>
    </row>
    <row r="677" ht="15" customHeight="1" s="95">
      <c r="A677" s="143" t="n">
        <v>44141</v>
      </c>
      <c r="B677" s="94" t="n">
        <v>2020</v>
      </c>
      <c r="C677" s="94" t="inlineStr">
        <is>
          <t>2020-Q4</t>
        </is>
      </c>
      <c r="D677" s="186" t="n">
        <v>15553.3317010814</v>
      </c>
      <c r="E677" s="188" t="n">
        <v>288118007577.427</v>
      </c>
      <c r="F677" s="188" t="n">
        <v>36313255719.0233</v>
      </c>
    </row>
    <row r="678" ht="15" customHeight="1" s="95">
      <c r="A678" s="143" t="n">
        <v>44142</v>
      </c>
      <c r="B678" s="94" t="n">
        <v>2020</v>
      </c>
      <c r="C678" s="94" t="inlineStr">
        <is>
          <t>2020-Q4</t>
        </is>
      </c>
      <c r="D678" s="186" t="n">
        <v>15548.3121450631</v>
      </c>
      <c r="E678" s="188" t="n">
        <v>288563189165.388</v>
      </c>
      <c r="F678" s="188" t="n">
        <v>34523587704.5711</v>
      </c>
    </row>
    <row r="679" ht="15" customHeight="1" s="95">
      <c r="A679" s="143" t="n">
        <v>44143</v>
      </c>
      <c r="B679" s="94" t="n">
        <v>2020</v>
      </c>
      <c r="C679" s="94" t="inlineStr">
        <is>
          <t>2020-Q4</t>
        </is>
      </c>
      <c r="D679" s="186" t="n">
        <v>14818.4589112215</v>
      </c>
      <c r="E679" s="188" t="n">
        <v>274687727889.983</v>
      </c>
      <c r="F679" s="188" t="n">
        <v>30369855794.7329</v>
      </c>
    </row>
    <row r="680" ht="15" customHeight="1" s="95">
      <c r="A680" s="143" t="n">
        <v>44144</v>
      </c>
      <c r="B680" s="94" t="n">
        <v>2020</v>
      </c>
      <c r="C680" s="94" t="inlineStr">
        <is>
          <t>2020-Q4</t>
        </is>
      </c>
      <c r="D680" s="186" t="n">
        <v>15496.3161491474</v>
      </c>
      <c r="E680" s="188" t="n">
        <v>287116472704.394</v>
      </c>
      <c r="F680" s="188" t="n">
        <v>24082570971.8915</v>
      </c>
    </row>
    <row r="681" ht="15" customHeight="1" s="95">
      <c r="A681" s="143" t="n">
        <v>44145</v>
      </c>
      <c r="B681" s="94" t="n">
        <v>2020</v>
      </c>
      <c r="C681" s="94" t="inlineStr">
        <is>
          <t>2020-Q4</t>
        </is>
      </c>
      <c r="D681" s="186" t="n">
        <v>15335.3421981789</v>
      </c>
      <c r="E681" s="188" t="n">
        <v>284292217075.769</v>
      </c>
      <c r="F681" s="188" t="n">
        <v>29501754042.7826</v>
      </c>
    </row>
    <row r="682" ht="15" customHeight="1" s="95">
      <c r="A682" s="143" t="n">
        <v>44146</v>
      </c>
      <c r="B682" s="94" t="n">
        <v>2020</v>
      </c>
      <c r="C682" s="94" t="inlineStr">
        <is>
          <t>2020-Q4</t>
        </is>
      </c>
      <c r="D682" s="186" t="n">
        <v>15278.7096597993</v>
      </c>
      <c r="E682" s="188" t="n">
        <v>283242342238.514</v>
      </c>
      <c r="F682" s="188" t="n">
        <v>21918753732.6658</v>
      </c>
    </row>
    <row r="683" ht="15" customHeight="1" s="95">
      <c r="A683" s="143" t="n">
        <v>44147</v>
      </c>
      <c r="B683" s="94" t="n">
        <v>2020</v>
      </c>
      <c r="C683" s="94" t="inlineStr">
        <is>
          <t>2020-Q4</t>
        </is>
      </c>
      <c r="D683" s="186" t="n">
        <v>15686.9059862132</v>
      </c>
      <c r="E683" s="188" t="n">
        <v>291215273242.189</v>
      </c>
      <c r="F683" s="188" t="n">
        <v>23990613793.2682</v>
      </c>
    </row>
    <row r="684" ht="15" customHeight="1" s="95">
      <c r="A684" s="143" t="n">
        <v>44148</v>
      </c>
      <c r="B684" s="94" t="n">
        <v>2020</v>
      </c>
      <c r="C684" s="94" t="inlineStr">
        <is>
          <t>2020-Q4</t>
        </is>
      </c>
      <c r="D684" s="186" t="n">
        <v>16265.1492524834</v>
      </c>
      <c r="E684" s="188" t="n">
        <v>301529322417.461</v>
      </c>
      <c r="F684" s="188" t="n">
        <v>28001128791.2114</v>
      </c>
    </row>
    <row r="685" ht="15" customHeight="1" s="95">
      <c r="A685" s="143" t="n">
        <v>44149</v>
      </c>
      <c r="B685" s="94" t="n">
        <v>2020</v>
      </c>
      <c r="C685" s="94" t="inlineStr">
        <is>
          <t>2020-Q4</t>
        </is>
      </c>
      <c r="D685" s="186" t="n">
        <v>16326.8148750791</v>
      </c>
      <c r="E685" s="188" t="n">
        <v>302672502422.09</v>
      </c>
      <c r="F685" s="188" t="n">
        <v>24826304419.5584</v>
      </c>
    </row>
    <row r="686" ht="15" customHeight="1" s="95">
      <c r="A686" s="143" t="n">
        <v>44150</v>
      </c>
      <c r="B686" s="94" t="n">
        <v>2020</v>
      </c>
      <c r="C686" s="94" t="inlineStr">
        <is>
          <t>2020-Q4</t>
        </is>
      </c>
      <c r="D686" s="186" t="n">
        <v>16095.5615106307</v>
      </c>
      <c r="E686" s="188" t="n">
        <v>298290647831.244</v>
      </c>
      <c r="F686" s="188" t="n">
        <v>22096608221.167</v>
      </c>
    </row>
    <row r="687" ht="15" customHeight="1" s="95">
      <c r="A687" s="143" t="n">
        <v>44151</v>
      </c>
      <c r="B687" s="94" t="n">
        <v>2020</v>
      </c>
      <c r="C687" s="94" t="inlineStr">
        <is>
          <t>2020-Q4</t>
        </is>
      </c>
      <c r="D687" s="186" t="n">
        <v>15984.6737841566</v>
      </c>
      <c r="E687" s="188" t="n">
        <v>296277008765.19</v>
      </c>
      <c r="F687" s="188" t="n">
        <v>19184714602.5104</v>
      </c>
    </row>
    <row r="688" ht="15" customHeight="1" s="95">
      <c r="A688" s="143" t="n">
        <v>44152</v>
      </c>
      <c r="B688" s="94" t="n">
        <v>2020</v>
      </c>
      <c r="C688" s="94" t="inlineStr">
        <is>
          <t>2020-Q4</t>
        </is>
      </c>
      <c r="D688" s="186" t="n">
        <v>16714.4038632219</v>
      </c>
      <c r="E688" s="188" t="n">
        <v>309857769717.029</v>
      </c>
      <c r="F688" s="188" t="n">
        <v>24606359052.3845</v>
      </c>
    </row>
    <row r="689" ht="15" customHeight="1" s="95">
      <c r="A689" s="143" t="n">
        <v>44153</v>
      </c>
      <c r="B689" s="94" t="n">
        <v>2020</v>
      </c>
      <c r="C689" s="94" t="inlineStr">
        <is>
          <t>2020-Q4</t>
        </is>
      </c>
      <c r="D689" s="186" t="n">
        <v>17651.8204276817</v>
      </c>
      <c r="E689" s="188" t="n">
        <v>327448838765.298</v>
      </c>
      <c r="F689" s="188" t="n">
        <v>31572384445.7233</v>
      </c>
    </row>
    <row r="690" ht="15" customHeight="1" s="95">
      <c r="A690" s="143" t="n">
        <v>44154</v>
      </c>
      <c r="B690" s="94" t="n">
        <v>2020</v>
      </c>
      <c r="C690" s="94" t="inlineStr">
        <is>
          <t>2020-Q4</t>
        </is>
      </c>
      <c r="D690" s="186" t="n">
        <v>17829.9349583451</v>
      </c>
      <c r="E690" s="188" t="n">
        <v>330792375072.031</v>
      </c>
      <c r="F690" s="188" t="n">
        <v>40089857655.3107</v>
      </c>
    </row>
    <row r="691" ht="15" customHeight="1" s="95">
      <c r="A691" s="143" t="n">
        <v>44155</v>
      </c>
      <c r="B691" s="94" t="n">
        <v>2020</v>
      </c>
      <c r="C691" s="94" t="inlineStr">
        <is>
          <t>2020-Q4</t>
        </is>
      </c>
      <c r="D691" s="186" t="n">
        <v>17819.7574309684</v>
      </c>
      <c r="E691" s="188" t="n">
        <v>330526082018.529</v>
      </c>
      <c r="F691" s="188" t="n">
        <v>30586797551.7117</v>
      </c>
    </row>
    <row r="692" ht="15" customHeight="1" s="95">
      <c r="A692" s="143" t="n">
        <v>44156</v>
      </c>
      <c r="B692" s="94" t="n">
        <v>2020</v>
      </c>
      <c r="C692" s="94" t="inlineStr">
        <is>
          <t>2020-Q4</t>
        </is>
      </c>
      <c r="D692" s="186" t="n">
        <v>18628.8134890362</v>
      </c>
      <c r="E692" s="188" t="n">
        <v>345552251091.159</v>
      </c>
      <c r="F692" s="188" t="n">
        <v>28731271104.0137</v>
      </c>
    </row>
    <row r="693" ht="15" customHeight="1" s="95">
      <c r="A693" s="143" t="n">
        <v>44157</v>
      </c>
      <c r="B693" s="94" t="n">
        <v>2020</v>
      </c>
      <c r="C693" s="94" t="inlineStr">
        <is>
          <t>2020-Q4</t>
        </is>
      </c>
      <c r="D693" s="186" t="n">
        <v>18689.5286558259</v>
      </c>
      <c r="E693" s="188" t="n">
        <v>346623937352.167</v>
      </c>
      <c r="F693" s="188" t="n">
        <v>31201880851.7783</v>
      </c>
    </row>
    <row r="694" ht="15" customHeight="1" s="95">
      <c r="A694" s="143" t="n">
        <v>44158</v>
      </c>
      <c r="B694" s="94" t="n">
        <v>2020</v>
      </c>
      <c r="C694" s="94" t="inlineStr">
        <is>
          <t>2020-Q4</t>
        </is>
      </c>
      <c r="D694" s="186" t="n">
        <v>18390.611843792</v>
      </c>
      <c r="E694" s="188" t="n">
        <v>342078349285.096</v>
      </c>
      <c r="F694" s="188" t="n">
        <v>33010231293.9588</v>
      </c>
    </row>
    <row r="695" ht="15" customHeight="1" s="95">
      <c r="A695" s="143" t="n">
        <v>44159</v>
      </c>
      <c r="B695" s="94" t="n">
        <v>2020</v>
      </c>
      <c r="C695" s="94" t="inlineStr">
        <is>
          <t>2020-Q4</t>
        </is>
      </c>
      <c r="D695" s="186" t="n">
        <v>18360.6933003859</v>
      </c>
      <c r="E695" s="188" t="n">
        <v>340635146714.398</v>
      </c>
      <c r="F695" s="188" t="n">
        <v>33389683851.4282</v>
      </c>
    </row>
    <row r="696" ht="15" customHeight="1" s="95">
      <c r="A696" s="143" t="n">
        <v>44160</v>
      </c>
      <c r="B696" s="94" t="n">
        <v>2020</v>
      </c>
      <c r="C696" s="94" t="inlineStr">
        <is>
          <t>2020-Q4</t>
        </is>
      </c>
      <c r="D696" s="186" t="n">
        <v>19091.5241817287</v>
      </c>
      <c r="E696" s="188" t="n">
        <v>354209935573.803</v>
      </c>
      <c r="F696" s="188" t="n">
        <v>49429532567.3455</v>
      </c>
    </row>
    <row r="697" ht="15" customHeight="1" s="95">
      <c r="A697" s="143" t="n">
        <v>44161</v>
      </c>
      <c r="B697" s="94" t="n">
        <v>2020</v>
      </c>
      <c r="C697" s="94" t="inlineStr">
        <is>
          <t>2020-Q4</t>
        </is>
      </c>
      <c r="D697" s="186" t="n">
        <v>18753.2889216849</v>
      </c>
      <c r="E697" s="188" t="n">
        <v>348158099247.163</v>
      </c>
      <c r="F697" s="188" t="n">
        <v>32146102840.2775</v>
      </c>
    </row>
    <row r="698" ht="15" customHeight="1" s="95">
      <c r="A698" s="143" t="n">
        <v>44162</v>
      </c>
      <c r="B698" s="94" t="n">
        <v>2020</v>
      </c>
      <c r="C698" s="94" t="inlineStr">
        <is>
          <t>2020-Q4</t>
        </is>
      </c>
      <c r="D698" s="186" t="n">
        <v>17138.0295123952</v>
      </c>
      <c r="E698" s="188" t="n">
        <v>317999016791.451</v>
      </c>
      <c r="F698" s="188" t="n">
        <v>48738957776.5203</v>
      </c>
    </row>
    <row r="699" ht="15" customHeight="1" s="95">
      <c r="A699" s="143" t="n">
        <v>44163</v>
      </c>
      <c r="B699" s="94" t="n">
        <v>2020</v>
      </c>
      <c r="C699" s="94" t="inlineStr">
        <is>
          <t>2020-Q4</t>
        </is>
      </c>
      <c r="D699" s="186" t="n">
        <v>17140.2755525236</v>
      </c>
      <c r="E699" s="188" t="n">
        <v>318057301370.379</v>
      </c>
      <c r="F699" s="188" t="n">
        <v>30680336583.3428</v>
      </c>
    </row>
    <row r="700" ht="15" customHeight="1" s="95">
      <c r="A700" s="143" t="n">
        <v>44164</v>
      </c>
      <c r="B700" s="94" t="n">
        <v>2020</v>
      </c>
      <c r="C700" s="94" t="inlineStr">
        <is>
          <t>2020-Q4</t>
        </is>
      </c>
      <c r="D700" s="186" t="n">
        <v>17718.9728326295</v>
      </c>
      <c r="E700" s="188" t="n">
        <v>328812520405.742</v>
      </c>
      <c r="F700" s="188" t="n">
        <v>24501260966.0463</v>
      </c>
    </row>
    <row r="701" ht="15" customHeight="1" s="95">
      <c r="A701" s="143" t="n">
        <v>44165</v>
      </c>
      <c r="B701" s="94" t="n">
        <v>2020</v>
      </c>
      <c r="C701" s="94" t="inlineStr">
        <is>
          <t>2020-Q4</t>
        </is>
      </c>
      <c r="D701" s="186" t="n">
        <v>18169.9542097829</v>
      </c>
      <c r="E701" s="188" t="n">
        <v>336495192223.014</v>
      </c>
      <c r="F701" s="188" t="n">
        <v>23940328528.7123</v>
      </c>
    </row>
    <row r="702" ht="15" customHeight="1" s="95">
      <c r="A702" s="143" t="n">
        <v>44166</v>
      </c>
      <c r="B702" s="94" t="n">
        <v>2020</v>
      </c>
      <c r="C702" s="94" t="inlineStr">
        <is>
          <t>2020-Q4</t>
        </is>
      </c>
      <c r="D702" s="186" t="n">
        <v>19609.5214395756</v>
      </c>
      <c r="E702" s="188" t="n">
        <v>363927715778.688</v>
      </c>
      <c r="F702" s="188" t="n">
        <v>36160827241.4417</v>
      </c>
    </row>
    <row r="703" ht="15" customHeight="1" s="95">
      <c r="A703" s="143" t="n">
        <v>44167</v>
      </c>
      <c r="B703" s="94" t="n">
        <v>2020</v>
      </c>
      <c r="C703" s="94" t="inlineStr">
        <is>
          <t>2020-Q4</t>
        </is>
      </c>
      <c r="D703" s="186" t="n">
        <v>18857.4173711182</v>
      </c>
      <c r="E703" s="188" t="n">
        <v>349587593227.142</v>
      </c>
      <c r="F703" s="188" t="n">
        <v>38614628143.5733</v>
      </c>
    </row>
    <row r="704" ht="15" customHeight="1" s="95">
      <c r="A704" s="143" t="n">
        <v>44168</v>
      </c>
      <c r="B704" s="94" t="n">
        <v>2020</v>
      </c>
      <c r="C704" s="94" t="inlineStr">
        <is>
          <t>2020-Q4</t>
        </is>
      </c>
      <c r="D704" s="186" t="n">
        <v>19208.3981919946</v>
      </c>
      <c r="E704" s="188" t="n">
        <v>356517705143.294</v>
      </c>
      <c r="F704" s="188" t="n">
        <v>28923102074.8265</v>
      </c>
    </row>
    <row r="705" ht="15" customHeight="1" s="95">
      <c r="A705" s="143" t="n">
        <v>44169</v>
      </c>
      <c r="B705" s="94" t="n">
        <v>2020</v>
      </c>
      <c r="C705" s="94" t="inlineStr">
        <is>
          <t>2020-Q4</t>
        </is>
      </c>
      <c r="D705" s="186" t="n">
        <v>19435.2048474091</v>
      </c>
      <c r="E705" s="188" t="n">
        <v>360661550057.298</v>
      </c>
      <c r="F705" s="188" t="n">
        <v>24342606870.709</v>
      </c>
    </row>
    <row r="706" ht="15" customHeight="1" s="95">
      <c r="A706" s="143" t="n">
        <v>44170</v>
      </c>
      <c r="B706" s="94" t="n">
        <v>2020</v>
      </c>
      <c r="C706" s="94" t="inlineStr">
        <is>
          <t>2020-Q4</t>
        </is>
      </c>
      <c r="D706" s="186" t="n">
        <v>18711.2265498869</v>
      </c>
      <c r="E706" s="188" t="n">
        <v>347850442856.636</v>
      </c>
      <c r="F706" s="188" t="n">
        <v>26369871383.262</v>
      </c>
    </row>
    <row r="707" ht="15" customHeight="1" s="95">
      <c r="A707" s="143" t="n">
        <v>44171</v>
      </c>
      <c r="B707" s="94" t="n">
        <v>2020</v>
      </c>
      <c r="C707" s="94" t="inlineStr">
        <is>
          <t>2020-Q4</t>
        </is>
      </c>
      <c r="D707" s="186" t="n">
        <v>19139.1115752375</v>
      </c>
      <c r="E707" s="188" t="n">
        <v>355244908734.648</v>
      </c>
      <c r="F707" s="188" t="n">
        <v>23333284386.2655</v>
      </c>
    </row>
    <row r="708" ht="15" customHeight="1" s="95">
      <c r="A708" s="143" t="n">
        <v>44172</v>
      </c>
      <c r="B708" s="94" t="n">
        <v>2020</v>
      </c>
      <c r="C708" s="94" t="inlineStr">
        <is>
          <t>2020-Q4</t>
        </is>
      </c>
      <c r="D708" s="186" t="n">
        <v>19325.5541185911</v>
      </c>
      <c r="E708" s="188" t="n">
        <v>358762118305.115</v>
      </c>
      <c r="F708" s="188" t="n">
        <v>21832193872.6986</v>
      </c>
    </row>
    <row r="709" ht="15" customHeight="1" s="95">
      <c r="A709" s="143" t="n">
        <v>44173</v>
      </c>
      <c r="B709" s="94" t="n">
        <v>2020</v>
      </c>
      <c r="C709" s="94" t="inlineStr">
        <is>
          <t>2020-Q4</t>
        </is>
      </c>
      <c r="D709" s="186" t="n">
        <v>19198.8064939353</v>
      </c>
      <c r="E709" s="188" t="n">
        <v>356587934226.102</v>
      </c>
      <c r="F709" s="188" t="n">
        <v>22034483383.9494</v>
      </c>
    </row>
    <row r="710" ht="15" customHeight="1" s="95">
      <c r="A710" s="143" t="n">
        <v>44174</v>
      </c>
      <c r="B710" s="94" t="n">
        <v>2020</v>
      </c>
      <c r="C710" s="94" t="inlineStr">
        <is>
          <t>2020-Q4</t>
        </is>
      </c>
      <c r="D710" s="186" t="n">
        <v>18336.5145812978</v>
      </c>
      <c r="E710" s="188" t="n">
        <v>340435142947.909</v>
      </c>
      <c r="F710" s="188" t="n">
        <v>26799991795.5579</v>
      </c>
    </row>
    <row r="711" ht="15" customHeight="1" s="95">
      <c r="A711" s="143" t="n">
        <v>44175</v>
      </c>
      <c r="B711" s="94" t="n">
        <v>2020</v>
      </c>
      <c r="C711" s="94" t="inlineStr">
        <is>
          <t>2020-Q4</t>
        </is>
      </c>
      <c r="D711" s="186" t="n">
        <v>18564.9864556881</v>
      </c>
      <c r="E711" s="188" t="n">
        <v>344693077429.969</v>
      </c>
      <c r="F711" s="188" t="n">
        <v>29806757748.848</v>
      </c>
    </row>
    <row r="712" ht="15" customHeight="1" s="95">
      <c r="A712" s="143" t="n">
        <v>44176</v>
      </c>
      <c r="B712" s="94" t="n">
        <v>2020</v>
      </c>
      <c r="C712" s="94" t="inlineStr">
        <is>
          <t>2020-Q4</t>
        </is>
      </c>
      <c r="D712" s="186" t="n">
        <v>18262.0583846532</v>
      </c>
      <c r="E712" s="188" t="n">
        <v>339714540194.348</v>
      </c>
      <c r="F712" s="188" t="n">
        <v>24092658533.6042</v>
      </c>
    </row>
    <row r="713" ht="15" customHeight="1" s="95">
      <c r="A713" s="143" t="n">
        <v>44177</v>
      </c>
      <c r="B713" s="94" t="n">
        <v>2020</v>
      </c>
      <c r="C713" s="94" t="inlineStr">
        <is>
          <t>2020-Q4</t>
        </is>
      </c>
      <c r="D713" s="186" t="n">
        <v>18058.0273395696</v>
      </c>
      <c r="E713" s="188" t="n">
        <v>335310805699.289</v>
      </c>
      <c r="F713" s="188" t="n">
        <v>26080197328.2524</v>
      </c>
    </row>
    <row r="714" ht="15" customHeight="1" s="95">
      <c r="A714" s="143" t="n">
        <v>44178</v>
      </c>
      <c r="B714" s="94" t="n">
        <v>2020</v>
      </c>
      <c r="C714" s="94" t="inlineStr">
        <is>
          <t>2020-Q4</t>
        </is>
      </c>
      <c r="D714" s="186" t="n">
        <v>18807.0954032202</v>
      </c>
      <c r="E714" s="188" t="n">
        <v>349235537025.786</v>
      </c>
      <c r="F714" s="188" t="n">
        <v>21918803313.7309</v>
      </c>
    </row>
    <row r="715" ht="15" customHeight="1" s="95">
      <c r="A715" s="143" t="n">
        <v>44179</v>
      </c>
      <c r="B715" s="94" t="n">
        <v>2020</v>
      </c>
      <c r="C715" s="94" t="inlineStr">
        <is>
          <t>2020-Q4</t>
        </is>
      </c>
      <c r="D715" s="186" t="n">
        <v>19151.1344234049</v>
      </c>
      <c r="E715" s="188" t="n">
        <v>355642790361.317</v>
      </c>
      <c r="F715" s="188" t="n">
        <v>23550581096.0746</v>
      </c>
    </row>
    <row r="716" ht="15" customHeight="1" s="95">
      <c r="A716" s="143" t="n">
        <v>44180</v>
      </c>
      <c r="B716" s="94" t="n">
        <v>2020</v>
      </c>
      <c r="C716" s="94" t="inlineStr">
        <is>
          <t>2020-Q4</t>
        </is>
      </c>
      <c r="D716" s="186" t="n">
        <v>19259.970471531</v>
      </c>
      <c r="E716" s="188" t="n">
        <v>357681110300.364</v>
      </c>
      <c r="F716" s="188" t="n">
        <v>21638023119.8153</v>
      </c>
    </row>
    <row r="717" ht="15" customHeight="1" s="95">
      <c r="A717" s="143" t="n">
        <v>44181</v>
      </c>
      <c r="B717" s="94" t="n">
        <v>2020</v>
      </c>
      <c r="C717" s="94" t="inlineStr">
        <is>
          <t>2020-Q4</t>
        </is>
      </c>
      <c r="D717" s="186" t="n">
        <v>19432.3624568624</v>
      </c>
      <c r="E717" s="188" t="n">
        <v>360542942204.959</v>
      </c>
      <c r="F717" s="188" t="n">
        <v>24173322660.1073</v>
      </c>
    </row>
    <row r="718" ht="15" customHeight="1" s="95">
      <c r="A718" s="143" t="n">
        <v>44182</v>
      </c>
      <c r="B718" s="94" t="n">
        <v>2020</v>
      </c>
      <c r="C718" s="94" t="inlineStr">
        <is>
          <t>2020-Q4</t>
        </is>
      </c>
      <c r="D718" s="186" t="n">
        <v>21317.6621367868</v>
      </c>
      <c r="E718" s="188" t="n">
        <v>396179736655.64</v>
      </c>
      <c r="F718" s="188" t="n">
        <v>39062639738.0484</v>
      </c>
    </row>
    <row r="719" ht="15" customHeight="1" s="95">
      <c r="A719" s="143" t="n">
        <v>44183</v>
      </c>
      <c r="B719" s="94" t="n">
        <v>2020</v>
      </c>
      <c r="C719" s="94" t="inlineStr">
        <is>
          <t>2020-Q4</t>
        </is>
      </c>
      <c r="D719" s="186" t="n">
        <v>22805.6558059889</v>
      </c>
      <c r="E719" s="188" t="n">
        <v>423587689809.277</v>
      </c>
      <c r="F719" s="188" t="n">
        <v>60693764158.5622</v>
      </c>
    </row>
    <row r="720" ht="15" customHeight="1" s="95">
      <c r="A720" s="143" t="n">
        <v>44184</v>
      </c>
      <c r="B720" s="94" t="n">
        <v>2020</v>
      </c>
      <c r="C720" s="94" t="inlineStr">
        <is>
          <t>2020-Q4</t>
        </is>
      </c>
      <c r="D720" s="186" t="n">
        <v>23120.5705515675</v>
      </c>
      <c r="E720" s="188" t="n">
        <v>429459534590.416</v>
      </c>
      <c r="F720" s="188" t="n">
        <v>37000188847.4097</v>
      </c>
    </row>
    <row r="721" ht="15" customHeight="1" s="95">
      <c r="A721" s="143" t="n">
        <v>44185</v>
      </c>
      <c r="B721" s="94" t="n">
        <v>2020</v>
      </c>
      <c r="C721" s="94" t="inlineStr">
        <is>
          <t>2020-Q4</t>
        </is>
      </c>
      <c r="D721" s="186" t="n">
        <v>23863.8548417197</v>
      </c>
      <c r="E721" s="188" t="n">
        <v>443289431125.462</v>
      </c>
      <c r="F721" s="188" t="n">
        <v>35252972899.6934</v>
      </c>
    </row>
    <row r="722" ht="15" customHeight="1" s="95">
      <c r="A722" s="143" t="n">
        <v>44186</v>
      </c>
      <c r="B722" s="94" t="n">
        <v>2020</v>
      </c>
      <c r="C722" s="94" t="inlineStr">
        <is>
          <t>2020-Q4</t>
        </is>
      </c>
      <c r="D722" s="186" t="n">
        <v>23518.3184205472</v>
      </c>
      <c r="E722" s="188" t="n">
        <v>436893169132.711</v>
      </c>
      <c r="F722" s="188" t="n">
        <v>32907758817.8409</v>
      </c>
    </row>
    <row r="723" ht="15" customHeight="1" s="95">
      <c r="A723" s="143" t="n">
        <v>44187</v>
      </c>
      <c r="B723" s="94" t="n">
        <v>2020</v>
      </c>
      <c r="C723" s="94" t="inlineStr">
        <is>
          <t>2020-Q4</t>
        </is>
      </c>
      <c r="D723" s="186" t="n">
        <v>22840.9917071884</v>
      </c>
      <c r="E723" s="188" t="n">
        <v>424329939581.777</v>
      </c>
      <c r="F723" s="188" t="n">
        <v>38423396405.3931</v>
      </c>
    </row>
    <row r="724" ht="15" customHeight="1" s="95">
      <c r="A724" s="143" t="n">
        <v>44188</v>
      </c>
      <c r="B724" s="94" t="n">
        <v>2020</v>
      </c>
      <c r="C724" s="94" t="inlineStr">
        <is>
          <t>2020-Q4</t>
        </is>
      </c>
      <c r="D724" s="186" t="n">
        <v>23794.7933026286</v>
      </c>
      <c r="E724" s="188" t="n">
        <v>441752551013.191</v>
      </c>
      <c r="F724" s="188" t="n">
        <v>38733771616.2739</v>
      </c>
    </row>
    <row r="725" ht="15" customHeight="1" s="95">
      <c r="A725" s="143" t="n">
        <v>44189</v>
      </c>
      <c r="B725" s="94" t="n">
        <v>2020</v>
      </c>
      <c r="C725" s="94" t="inlineStr">
        <is>
          <t>2020-Q4</t>
        </is>
      </c>
      <c r="D725" s="186" t="n">
        <v>23308.1272321772</v>
      </c>
      <c r="E725" s="188" t="n">
        <v>433051601800.693</v>
      </c>
      <c r="F725" s="188" t="n">
        <v>42917744239.8244</v>
      </c>
    </row>
    <row r="726" ht="15" customHeight="1" s="95">
      <c r="A726" s="143" t="n">
        <v>44190</v>
      </c>
      <c r="B726" s="94" t="n">
        <v>2020</v>
      </c>
      <c r="C726" s="94" t="inlineStr">
        <is>
          <t>2020-Q4</t>
        </is>
      </c>
      <c r="D726" s="186" t="n">
        <v>23760.287048543</v>
      </c>
      <c r="E726" s="188" t="n">
        <v>441614502954.163</v>
      </c>
      <c r="F726" s="188" t="n">
        <v>36826373658.9713</v>
      </c>
    </row>
    <row r="727" ht="15" customHeight="1" s="95">
      <c r="A727" s="143" t="n">
        <v>44191</v>
      </c>
      <c r="B727" s="94" t="n">
        <v>2020</v>
      </c>
      <c r="C727" s="94" t="inlineStr">
        <is>
          <t>2020-Q4</t>
        </is>
      </c>
      <c r="D727" s="186" t="n">
        <v>24671.1077144154</v>
      </c>
      <c r="E727" s="188" t="n">
        <v>458416319552.324</v>
      </c>
      <c r="F727" s="188" t="n">
        <v>36622874229.8289</v>
      </c>
    </row>
    <row r="728" ht="15" customHeight="1" s="95">
      <c r="A728" s="143" t="n">
        <v>44192</v>
      </c>
      <c r="B728" s="94" t="n">
        <v>2020</v>
      </c>
      <c r="C728" s="94" t="inlineStr">
        <is>
          <t>2020-Q4</t>
        </is>
      </c>
      <c r="D728" s="186" t="n">
        <v>26476.1301370195</v>
      </c>
      <c r="E728" s="188" t="n">
        <v>491978602969.932</v>
      </c>
      <c r="F728" s="188" t="n">
        <v>41995154622.7405</v>
      </c>
    </row>
    <row r="729" ht="15" customHeight="1" s="95">
      <c r="A729" s="143" t="n">
        <v>44193</v>
      </c>
      <c r="B729" s="94" t="n">
        <v>2020</v>
      </c>
      <c r="C729" s="94" t="inlineStr">
        <is>
          <t>2020-Q4</t>
        </is>
      </c>
      <c r="D729" s="186" t="n">
        <v>26423.2287919023</v>
      </c>
      <c r="E729" s="188" t="n">
        <v>493427450341.26</v>
      </c>
      <c r="F729" s="188" t="n">
        <v>56654980595.9309</v>
      </c>
    </row>
    <row r="730" ht="15" customHeight="1" s="95">
      <c r="A730" s="143" t="n">
        <v>44194</v>
      </c>
      <c r="B730" s="94" t="n">
        <v>2020</v>
      </c>
      <c r="C730" s="94" t="inlineStr">
        <is>
          <t>2020-Q4</t>
        </is>
      </c>
      <c r="D730" s="186" t="n">
        <v>27125.3841206515</v>
      </c>
      <c r="E730" s="188" t="n">
        <v>503712223153.667</v>
      </c>
      <c r="F730" s="188" t="n">
        <v>42186521237.4668</v>
      </c>
    </row>
    <row r="731" ht="15" customHeight="1" s="95">
      <c r="A731" s="143" t="n">
        <v>44195</v>
      </c>
      <c r="B731" s="94" t="n">
        <v>2020</v>
      </c>
      <c r="C731" s="94" t="inlineStr">
        <is>
          <t>2020-Q4</t>
        </is>
      </c>
      <c r="D731" s="186" t="n">
        <v>27424.5389546067</v>
      </c>
      <c r="E731" s="188" t="n">
        <v>509680257177.048</v>
      </c>
      <c r="F731" s="188" t="n">
        <v>38081840205.6022</v>
      </c>
    </row>
    <row r="732" ht="15" customHeight="1" s="95">
      <c r="A732" s="143" t="n">
        <v>44196</v>
      </c>
      <c r="B732" s="94" t="n">
        <v>2020</v>
      </c>
      <c r="C732" s="94" t="inlineStr">
        <is>
          <t>2020-Q4</t>
        </is>
      </c>
      <c r="D732" s="186" t="n">
        <v>28837.288528959</v>
      </c>
      <c r="E732" s="188" t="n">
        <v>535967306917.841</v>
      </c>
      <c r="F732" s="188" t="n">
        <v>43341140482.2822</v>
      </c>
    </row>
    <row r="733" ht="15" customHeight="1" s="95">
      <c r="A733" s="143" t="n">
        <v>44197</v>
      </c>
      <c r="B733" s="94" t="n">
        <v>2021</v>
      </c>
      <c r="C733" s="94" t="inlineStr">
        <is>
          <t>2021-Q1</t>
        </is>
      </c>
      <c r="D733" s="186" t="n">
        <v>29022.4183953042</v>
      </c>
      <c r="E733" s="188" t="n">
        <v>539438036435.67</v>
      </c>
      <c r="F733" s="188" t="n">
        <v>43503516563.2949</v>
      </c>
    </row>
    <row r="734" ht="15" customHeight="1" s="95">
      <c r="A734" s="143" t="n">
        <v>44198</v>
      </c>
      <c r="B734" s="94" t="n">
        <v>2021</v>
      </c>
      <c r="C734" s="94" t="inlineStr">
        <is>
          <t>2021-Q1</t>
        </is>
      </c>
      <c r="D734" s="186" t="n">
        <v>29352.126791949</v>
      </c>
      <c r="E734" s="188" t="n">
        <v>545593282215.25</v>
      </c>
      <c r="F734" s="188" t="n">
        <v>34089717988.0905</v>
      </c>
    </row>
    <row r="735" ht="15" customHeight="1" s="95">
      <c r="A735" s="143" t="n">
        <v>44199</v>
      </c>
      <c r="B735" s="94" t="n">
        <v>2021</v>
      </c>
      <c r="C735" s="94" t="inlineStr">
        <is>
          <t>2021-Q1</t>
        </is>
      </c>
      <c r="D735" s="186" t="n">
        <v>32163.8249353352</v>
      </c>
      <c r="E735" s="188" t="n">
        <v>597887713053.583</v>
      </c>
      <c r="F735" s="188" t="n">
        <v>57273436641.2231</v>
      </c>
    </row>
    <row r="736" ht="15" customHeight="1" s="95">
      <c r="A736" s="143" t="n">
        <v>44200</v>
      </c>
      <c r="B736" s="94" t="n">
        <v>2021</v>
      </c>
      <c r="C736" s="94" t="inlineStr">
        <is>
          <t>2021-Q1</t>
        </is>
      </c>
      <c r="D736" s="186" t="n">
        <v>33008.2262034893</v>
      </c>
      <c r="E736" s="188" t="n">
        <v>613616917625.697</v>
      </c>
      <c r="F736" s="188" t="n">
        <v>178894068361.353</v>
      </c>
    </row>
    <row r="737" ht="15" customHeight="1" s="95">
      <c r="A737" s="143" t="n">
        <v>44201</v>
      </c>
      <c r="B737" s="94" t="n">
        <v>2021</v>
      </c>
      <c r="C737" s="94" t="inlineStr">
        <is>
          <t>2021-Q1</t>
        </is>
      </c>
      <c r="D737" s="186" t="n">
        <v>31515.5759666584</v>
      </c>
      <c r="E737" s="188" t="n">
        <v>585726270248.7889</v>
      </c>
      <c r="F737" s="188" t="n">
        <v>74657165356.2272</v>
      </c>
    </row>
    <row r="738" ht="15" customHeight="1" s="95">
      <c r="A738" s="143" t="n">
        <v>44202</v>
      </c>
      <c r="B738" s="94" t="n">
        <v>2021</v>
      </c>
      <c r="C738" s="94" t="inlineStr">
        <is>
          <t>2021-Q1</t>
        </is>
      </c>
      <c r="D738" s="186" t="n">
        <v>34082.2060490442</v>
      </c>
      <c r="E738" s="188" t="n">
        <v>633651671519.396</v>
      </c>
      <c r="F738" s="188" t="n">
        <v>67420500715.5203</v>
      </c>
    </row>
    <row r="739" ht="15" customHeight="1" s="95">
      <c r="A739" s="143" t="n">
        <v>44203</v>
      </c>
      <c r="B739" s="94" t="n">
        <v>2021</v>
      </c>
      <c r="C739" s="94" t="inlineStr">
        <is>
          <t>2021-Q1</t>
        </is>
      </c>
      <c r="D739" s="186" t="n">
        <v>36933.5201373091</v>
      </c>
      <c r="E739" s="188" t="n">
        <v>682743683563.074</v>
      </c>
      <c r="F739" s="188" t="n">
        <v>71027195897.95129</v>
      </c>
    </row>
    <row r="740" ht="15" customHeight="1" s="95">
      <c r="A740" s="143" t="n">
        <v>44204</v>
      </c>
      <c r="B740" s="94" t="n">
        <v>2021</v>
      </c>
      <c r="C740" s="94" t="inlineStr">
        <is>
          <t>2021-Q1</t>
        </is>
      </c>
      <c r="D740" s="186" t="n">
        <v>39547.0840813557</v>
      </c>
      <c r="E740" s="188" t="n">
        <v>735339707368.334</v>
      </c>
      <c r="F740" s="188" t="n">
        <v>78642959829.4919</v>
      </c>
    </row>
    <row r="741" ht="15" customHeight="1" s="95">
      <c r="A741" s="143" t="n">
        <v>44205</v>
      </c>
      <c r="B741" s="94" t="n">
        <v>2021</v>
      </c>
      <c r="C741" s="94" t="inlineStr">
        <is>
          <t>2021-Q1</t>
        </is>
      </c>
      <c r="D741" s="186" t="n">
        <v>40815.9618547825</v>
      </c>
      <c r="E741" s="188" t="n">
        <v>758971014787.36</v>
      </c>
      <c r="F741" s="188" t="n">
        <v>82846468856.3521</v>
      </c>
    </row>
    <row r="742" ht="15" customHeight="1" s="95">
      <c r="A742" s="143" t="n">
        <v>44206</v>
      </c>
      <c r="B742" s="94" t="n">
        <v>2021</v>
      </c>
      <c r="C742" s="94" t="inlineStr">
        <is>
          <t>2021-Q1</t>
        </is>
      </c>
      <c r="D742" s="186" t="n">
        <v>40296.5290038294</v>
      </c>
      <c r="E742" s="188" t="n">
        <v>749347201462.636</v>
      </c>
      <c r="F742" s="188" t="n">
        <v>55921808671.5442</v>
      </c>
    </row>
    <row r="743" ht="15" customHeight="1" s="95">
      <c r="A743" s="143" t="n">
        <v>44207</v>
      </c>
      <c r="B743" s="94" t="n">
        <v>2021</v>
      </c>
      <c r="C743" s="94" t="inlineStr">
        <is>
          <t>2021-Q1</t>
        </is>
      </c>
      <c r="D743" s="186" t="n">
        <v>38397.8959854182</v>
      </c>
      <c r="E743" s="188" t="n">
        <v>714078952009.024</v>
      </c>
      <c r="F743" s="188" t="n">
        <v>73381123612.6933</v>
      </c>
    </row>
    <row r="744" ht="15" customHeight="1" s="95">
      <c r="A744" s="143" t="n">
        <v>44208</v>
      </c>
      <c r="B744" s="94" t="n">
        <v>2021</v>
      </c>
      <c r="C744" s="94" t="inlineStr">
        <is>
          <t>2021-Q1</t>
        </is>
      </c>
      <c r="D744" s="186" t="n">
        <v>35669.9066866335</v>
      </c>
      <c r="E744" s="188" t="n">
        <v>663380898829.005</v>
      </c>
      <c r="F744" s="188" t="n">
        <v>111691569520.105</v>
      </c>
    </row>
    <row r="745" ht="15" customHeight="1" s="95">
      <c r="A745" s="143" t="n">
        <v>44209</v>
      </c>
      <c r="B745" s="94" t="n">
        <v>2021</v>
      </c>
      <c r="C745" s="94" t="inlineStr">
        <is>
          <t>2021-Q1</t>
        </is>
      </c>
      <c r="D745" s="186" t="n">
        <v>33938.3358781009</v>
      </c>
      <c r="E745" s="188" t="n">
        <v>629751630408.413</v>
      </c>
      <c r="F745" s="188" t="n">
        <v>68954134557.3671</v>
      </c>
    </row>
    <row r="746" ht="15" customHeight="1" s="95">
      <c r="A746" s="143" t="n">
        <v>44210</v>
      </c>
      <c r="B746" s="94" t="n">
        <v>2021</v>
      </c>
      <c r="C746" s="94" t="inlineStr">
        <is>
          <t>2021-Q1</t>
        </is>
      </c>
      <c r="D746" s="186" t="n">
        <v>37456.0077254864</v>
      </c>
      <c r="E746" s="188" t="n">
        <v>696668634091.344</v>
      </c>
      <c r="F746" s="188" t="n">
        <v>65278944793.9761</v>
      </c>
    </row>
    <row r="747" ht="15" customHeight="1" s="95">
      <c r="A747" s="143" t="n">
        <v>44211</v>
      </c>
      <c r="B747" s="94" t="n">
        <v>2021</v>
      </c>
      <c r="C747" s="94" t="inlineStr">
        <is>
          <t>2021-Q1</t>
        </is>
      </c>
      <c r="D747" s="186" t="n">
        <v>39232.7499714035</v>
      </c>
      <c r="E747" s="188" t="n">
        <v>729751433670.088</v>
      </c>
      <c r="F747" s="188" t="n">
        <v>57519444621.6867</v>
      </c>
    </row>
    <row r="748" ht="15" customHeight="1" s="95">
      <c r="A748" s="143" t="n">
        <v>44212</v>
      </c>
      <c r="B748" s="94" t="n">
        <v>2021</v>
      </c>
      <c r="C748" s="94" t="inlineStr">
        <is>
          <t>2021-Q1</t>
        </is>
      </c>
      <c r="D748" s="186" t="n">
        <v>36787.521216685</v>
      </c>
      <c r="E748" s="188" t="n">
        <v>684304915288.226</v>
      </c>
      <c r="F748" s="188" t="n">
        <v>63450740093.0334</v>
      </c>
    </row>
    <row r="749" ht="15" customHeight="1" s="95">
      <c r="A749" s="143" t="n">
        <v>44213</v>
      </c>
      <c r="B749" s="94" t="n">
        <v>2021</v>
      </c>
      <c r="C749" s="94" t="inlineStr">
        <is>
          <t>2021-Q1</t>
        </is>
      </c>
      <c r="D749" s="186" t="n">
        <v>36254.7130794109</v>
      </c>
      <c r="E749" s="188" t="n">
        <v>674660879866.02</v>
      </c>
      <c r="F749" s="188" t="n">
        <v>55054325262.4402</v>
      </c>
    </row>
    <row r="750" ht="15" customHeight="1" s="95">
      <c r="A750" s="143" t="n">
        <v>44214</v>
      </c>
      <c r="B750" s="94" t="n">
        <v>2021</v>
      </c>
      <c r="C750" s="94" t="inlineStr">
        <is>
          <t>2021-Q1</t>
        </is>
      </c>
      <c r="D750" s="186" t="n">
        <v>35804.2638856747</v>
      </c>
      <c r="E750" s="188" t="n">
        <v>672291934493.4399</v>
      </c>
      <c r="F750" s="188" t="n">
        <v>50749258739.1945</v>
      </c>
    </row>
    <row r="751" ht="15" customHeight="1" s="95">
      <c r="A751" s="143" t="n">
        <v>44215</v>
      </c>
      <c r="B751" s="94" t="n">
        <v>2021</v>
      </c>
      <c r="C751" s="94" t="inlineStr">
        <is>
          <t>2021-Q1</t>
        </is>
      </c>
      <c r="D751" s="186" t="n">
        <v>36595.4647692826</v>
      </c>
      <c r="E751" s="188" t="n">
        <v>682647247200.097</v>
      </c>
      <c r="F751" s="188" t="n">
        <v>46769030146.7676</v>
      </c>
    </row>
    <row r="752" ht="15" customHeight="1" s="95">
      <c r="A752" s="143" t="n">
        <v>44216</v>
      </c>
      <c r="B752" s="94" t="n">
        <v>2021</v>
      </c>
      <c r="C752" s="94" t="inlineStr">
        <is>
          <t>2021-Q1</t>
        </is>
      </c>
      <c r="D752" s="186" t="n">
        <v>36104.8638577551</v>
      </c>
      <c r="E752" s="188" t="n">
        <v>671734819189.103</v>
      </c>
      <c r="F752" s="188" t="n">
        <v>51736994549.006</v>
      </c>
    </row>
    <row r="753" ht="15" customHeight="1" s="95">
      <c r="A753" s="143" t="n">
        <v>44217</v>
      </c>
      <c r="B753" s="94" t="n">
        <v>2021</v>
      </c>
      <c r="C753" s="94" t="inlineStr">
        <is>
          <t>2021-Q1</t>
        </is>
      </c>
      <c r="D753" s="186" t="n">
        <v>35587.4892027356</v>
      </c>
      <c r="E753" s="188" t="n">
        <v>662434464441.264</v>
      </c>
      <c r="F753" s="188" t="n">
        <v>58406615612.0686</v>
      </c>
    </row>
    <row r="754" ht="15" customHeight="1" s="95">
      <c r="A754" s="143" t="n">
        <v>44218</v>
      </c>
      <c r="B754" s="94" t="n">
        <v>2021</v>
      </c>
      <c r="C754" s="94" t="inlineStr">
        <is>
          <t>2021-Q1</t>
        </is>
      </c>
      <c r="D754" s="186" t="n">
        <v>30913.6957360538</v>
      </c>
      <c r="E754" s="188" t="n">
        <v>575205510268.129</v>
      </c>
      <c r="F754" s="188" t="n">
        <v>69415314297.66631</v>
      </c>
    </row>
    <row r="755" ht="15" customHeight="1" s="95">
      <c r="A755" s="143" t="n">
        <v>44219</v>
      </c>
      <c r="B755" s="94" t="n">
        <v>2021</v>
      </c>
      <c r="C755" s="94" t="inlineStr">
        <is>
          <t>2021-Q1</t>
        </is>
      </c>
      <c r="D755" s="186" t="n">
        <v>32957.9087826559</v>
      </c>
      <c r="E755" s="188" t="n">
        <v>613271077002.48</v>
      </c>
      <c r="F755" s="188" t="n">
        <v>69549742252.37041</v>
      </c>
    </row>
    <row r="756" ht="15" customHeight="1" s="95">
      <c r="A756" s="143" t="n">
        <v>44220</v>
      </c>
      <c r="B756" s="94" t="n">
        <v>2021</v>
      </c>
      <c r="C756" s="94" t="inlineStr">
        <is>
          <t>2021-Q1</t>
        </is>
      </c>
      <c r="D756" s="186" t="n">
        <v>32068.0873744082</v>
      </c>
      <c r="E756" s="188" t="n">
        <v>596744391345.353</v>
      </c>
      <c r="F756" s="188" t="n">
        <v>43575409684.6412</v>
      </c>
    </row>
    <row r="757" ht="15" customHeight="1" s="95">
      <c r="A757" s="143" t="n">
        <v>44221</v>
      </c>
      <c r="B757" s="94" t="n">
        <v>2021</v>
      </c>
      <c r="C757" s="94" t="inlineStr">
        <is>
          <t>2021-Q1</t>
        </is>
      </c>
      <c r="D757" s="186" t="n">
        <v>32273.5173503293</v>
      </c>
      <c r="E757" s="188" t="n">
        <v>600595408892.199</v>
      </c>
      <c r="F757" s="188" t="n">
        <v>42810544126.1781</v>
      </c>
    </row>
    <row r="758" ht="15" customHeight="1" s="95">
      <c r="A758" s="143" t="n">
        <v>44222</v>
      </c>
      <c r="B758" s="94" t="n">
        <v>2021</v>
      </c>
      <c r="C758" s="94" t="inlineStr">
        <is>
          <t>2021-Q1</t>
        </is>
      </c>
      <c r="D758" s="186" t="n">
        <v>32375.3200629815</v>
      </c>
      <c r="E758" s="188" t="n">
        <v>602517850752.031</v>
      </c>
      <c r="F758" s="188" t="n">
        <v>50410553261.4144</v>
      </c>
    </row>
    <row r="759" ht="15" customHeight="1" s="95">
      <c r="A759" s="143" t="n">
        <v>44223</v>
      </c>
      <c r="B759" s="94" t="n">
        <v>2021</v>
      </c>
      <c r="C759" s="94" t="inlineStr">
        <is>
          <t>2021-Q1</t>
        </is>
      </c>
      <c r="D759" s="186" t="n">
        <v>32582.1094450212</v>
      </c>
      <c r="E759" s="188" t="n">
        <v>606573549809.827</v>
      </c>
      <c r="F759" s="188" t="n">
        <v>48489676580.4107</v>
      </c>
    </row>
    <row r="760" ht="15" customHeight="1" s="95">
      <c r="A760" s="143" t="n">
        <v>44224</v>
      </c>
      <c r="B760" s="94" t="n">
        <v>2021</v>
      </c>
      <c r="C760" s="94" t="inlineStr">
        <is>
          <t>2021-Q1</t>
        </is>
      </c>
      <c r="D760" s="186" t="n">
        <v>30445.5258651135</v>
      </c>
      <c r="E760" s="188" t="n">
        <v>566661443732.407</v>
      </c>
      <c r="F760" s="188" t="n">
        <v>51514291052.4324</v>
      </c>
    </row>
    <row r="761" ht="15" customHeight="1" s="95">
      <c r="A761" s="143" t="n">
        <v>44225</v>
      </c>
      <c r="B761" s="94" t="n">
        <v>2021</v>
      </c>
      <c r="C761" s="94" t="inlineStr">
        <is>
          <t>2021-Q1</t>
        </is>
      </c>
      <c r="D761" s="186" t="n">
        <v>33128.3475286115</v>
      </c>
      <c r="E761" s="188" t="n">
        <v>616625386428.24</v>
      </c>
      <c r="F761" s="188" t="n">
        <v>51075972572.4596</v>
      </c>
    </row>
    <row r="762" ht="15" customHeight="1" s="95">
      <c r="A762" s="143" t="n">
        <v>44226</v>
      </c>
      <c r="B762" s="94" t="n">
        <v>2021</v>
      </c>
      <c r="C762" s="94" t="inlineStr">
        <is>
          <t>2021-Q1</t>
        </is>
      </c>
      <c r="D762" s="186" t="n">
        <v>34150.8187673722</v>
      </c>
      <c r="E762" s="188" t="n">
        <v>635688668063.594</v>
      </c>
      <c r="F762" s="188" t="n">
        <v>97468515525.4225</v>
      </c>
    </row>
    <row r="763" ht="15" customHeight="1" s="95">
      <c r="A763" s="143" t="n">
        <v>44227</v>
      </c>
      <c r="B763" s="94" t="n">
        <v>2021</v>
      </c>
      <c r="C763" s="94" t="inlineStr">
        <is>
          <t>2021-Q1</t>
        </is>
      </c>
      <c r="D763" s="186" t="n">
        <v>34199.519810363</v>
      </c>
      <c r="E763" s="188" t="n">
        <v>636624676861.264</v>
      </c>
      <c r="F763" s="188" t="n">
        <v>52001249491.1081</v>
      </c>
    </row>
    <row r="764" ht="15" customHeight="1" s="95">
      <c r="A764" s="143" t="n">
        <v>44228</v>
      </c>
      <c r="B764" s="94" t="n">
        <v>2021</v>
      </c>
      <c r="C764" s="94" t="inlineStr">
        <is>
          <t>2021-Q1</t>
        </is>
      </c>
      <c r="D764" s="186" t="n">
        <v>33064.7867670151</v>
      </c>
      <c r="E764" s="188" t="n">
        <v>615013848827.351</v>
      </c>
      <c r="F764" s="188" t="n">
        <v>42488649643.2318</v>
      </c>
    </row>
    <row r="765" ht="15" customHeight="1" s="95">
      <c r="A765" s="143" t="n">
        <v>44229</v>
      </c>
      <c r="B765" s="94" t="n">
        <v>2021</v>
      </c>
      <c r="C765" s="94" t="inlineStr">
        <is>
          <t>2021-Q1</t>
        </is>
      </c>
      <c r="D765" s="186" t="n">
        <v>33405.9903571433</v>
      </c>
      <c r="E765" s="188" t="n">
        <v>621908231690.1379</v>
      </c>
      <c r="F765" s="188" t="n">
        <v>49268860242.6662</v>
      </c>
    </row>
    <row r="766" ht="15" customHeight="1" s="95">
      <c r="A766" s="143" t="n">
        <v>44230</v>
      </c>
      <c r="B766" s="94" t="n">
        <v>2021</v>
      </c>
      <c r="C766" s="94" t="inlineStr">
        <is>
          <t>2021-Q1</t>
        </is>
      </c>
      <c r="D766" s="186" t="n">
        <v>35485.9859338244</v>
      </c>
      <c r="E766" s="188" t="n">
        <v>660664104637.485</v>
      </c>
      <c r="F766" s="188" t="n">
        <v>50730704376.6092</v>
      </c>
    </row>
    <row r="767" ht="15" customHeight="1" s="95">
      <c r="A767" s="143" t="n">
        <v>44231</v>
      </c>
      <c r="B767" s="94" t="n">
        <v>2021</v>
      </c>
      <c r="C767" s="94" t="inlineStr">
        <is>
          <t>2021-Q1</t>
        </is>
      </c>
      <c r="D767" s="186" t="n">
        <v>37494.7176246043</v>
      </c>
      <c r="E767" s="188" t="n">
        <v>695794870715.525</v>
      </c>
      <c r="F767" s="188" t="n">
        <v>49762137494.2067</v>
      </c>
    </row>
    <row r="768" ht="15" customHeight="1" s="95">
      <c r="A768" s="143" t="n">
        <v>44232</v>
      </c>
      <c r="B768" s="94" t="n">
        <v>2021</v>
      </c>
      <c r="C768" s="94" t="inlineStr">
        <is>
          <t>2021-Q1</t>
        </is>
      </c>
      <c r="D768" s="186" t="n">
        <v>36816.5080820341</v>
      </c>
      <c r="E768" s="188" t="n">
        <v>686453802173.384</v>
      </c>
      <c r="F768" s="188" t="n">
        <v>54494811707.2305</v>
      </c>
    </row>
    <row r="769" ht="15" customHeight="1" s="95">
      <c r="A769" s="143" t="n">
        <v>44233</v>
      </c>
      <c r="B769" s="94" t="n">
        <v>2021</v>
      </c>
      <c r="C769" s="94" t="inlineStr">
        <is>
          <t>2021-Q1</t>
        </is>
      </c>
      <c r="D769" s="186" t="n">
        <v>38007.832229084</v>
      </c>
      <c r="E769" s="188" t="n">
        <v>706320162928.662</v>
      </c>
      <c r="F769" s="188" t="n">
        <v>47446256481.7145</v>
      </c>
    </row>
    <row r="770" ht="15" customHeight="1" s="95">
      <c r="A770" s="143" t="n">
        <v>44234</v>
      </c>
      <c r="B770" s="94" t="n">
        <v>2021</v>
      </c>
      <c r="C770" s="94" t="inlineStr">
        <is>
          <t>2021-Q1</t>
        </is>
      </c>
      <c r="D770" s="186" t="n">
        <v>39279.4128689789</v>
      </c>
      <c r="E770" s="188" t="n">
        <v>732453192636.723</v>
      </c>
      <c r="F770" s="188" t="n">
        <v>57076868562.4876</v>
      </c>
    </row>
    <row r="771" ht="15" customHeight="1" s="95">
      <c r="A771" s="143" t="n">
        <v>44235</v>
      </c>
      <c r="B771" s="94" t="n">
        <v>2021</v>
      </c>
      <c r="C771" s="94" t="inlineStr">
        <is>
          <t>2021-Q1</t>
        </is>
      </c>
      <c r="D771" s="186" t="n">
        <v>38833.3402645553</v>
      </c>
      <c r="E771" s="188" t="n">
        <v>723434796637.743</v>
      </c>
      <c r="F771" s="188" t="n">
        <v>53802559038.8092</v>
      </c>
    </row>
    <row r="772" ht="15" customHeight="1" s="95">
      <c r="A772" s="143" t="n">
        <v>44236</v>
      </c>
      <c r="B772" s="94" t="n">
        <v>2021</v>
      </c>
      <c r="C772" s="94" t="inlineStr">
        <is>
          <t>2021-Q1</t>
        </is>
      </c>
      <c r="D772" s="186" t="n">
        <v>46307.574121594</v>
      </c>
      <c r="E772" s="188" t="n">
        <v>862413737410.917</v>
      </c>
      <c r="F772" s="188" t="n">
        <v>86994225365.2278</v>
      </c>
    </row>
    <row r="773" ht="15" customHeight="1" s="95">
      <c r="A773" s="143" t="n">
        <v>44237</v>
      </c>
      <c r="B773" s="94" t="n">
        <v>2021</v>
      </c>
      <c r="C773" s="94" t="inlineStr">
        <is>
          <t>2021-Q1</t>
        </is>
      </c>
      <c r="D773" s="186" t="n">
        <v>46569.56483</v>
      </c>
      <c r="E773" s="188" t="n">
        <v>867164581003.356</v>
      </c>
      <c r="F773" s="188" t="n">
        <v>78828431117.0553</v>
      </c>
    </row>
    <row r="774" ht="15" customHeight="1" s="95">
      <c r="A774" s="143" t="n">
        <v>44238</v>
      </c>
      <c r="B774" s="94" t="n">
        <v>2021</v>
      </c>
      <c r="C774" s="94" t="inlineStr">
        <is>
          <t>2021-Q1</t>
        </is>
      </c>
      <c r="D774" s="186" t="n">
        <v>44848.693449505</v>
      </c>
      <c r="E774" s="188" t="n">
        <v>839561451461.058</v>
      </c>
      <c r="F774" s="188" t="n">
        <v>70000356395.81509</v>
      </c>
    </row>
    <row r="775" ht="15" customHeight="1" s="95">
      <c r="A775" s="143" t="n">
        <v>44239</v>
      </c>
      <c r="B775" s="94" t="n">
        <v>2021</v>
      </c>
      <c r="C775" s="94" t="inlineStr">
        <is>
          <t>2021-Q1</t>
        </is>
      </c>
      <c r="D775" s="186" t="n">
        <v>47815.9617555432</v>
      </c>
      <c r="E775" s="188" t="n">
        <v>890629045243.595</v>
      </c>
      <c r="F775" s="188" t="n">
        <v>66187179918.8879</v>
      </c>
    </row>
    <row r="776" ht="15" customHeight="1" s="95">
      <c r="A776" s="143" t="n">
        <v>44240</v>
      </c>
      <c r="B776" s="94" t="n">
        <v>2021</v>
      </c>
      <c r="C776" s="94" t="inlineStr">
        <is>
          <t>2021-Q1</t>
        </is>
      </c>
      <c r="D776" s="186" t="n">
        <v>47414.1862550079</v>
      </c>
      <c r="E776" s="188" t="n">
        <v>880620921496.079</v>
      </c>
      <c r="F776" s="188" t="n">
        <v>61942185128.9991</v>
      </c>
    </row>
    <row r="777" ht="15" customHeight="1" s="95">
      <c r="A777" s="143" t="n">
        <v>44241</v>
      </c>
      <c r="B777" s="94" t="n">
        <v>2021</v>
      </c>
      <c r="C777" s="94" t="inlineStr">
        <is>
          <t>2021-Q1</t>
        </is>
      </c>
      <c r="D777" s="186" t="n">
        <v>46941.2920858235</v>
      </c>
      <c r="E777" s="188" t="n">
        <v>874425017687.078</v>
      </c>
      <c r="F777" s="188" t="n">
        <v>55312381649.3381</v>
      </c>
    </row>
    <row r="778" ht="15" customHeight="1" s="95">
      <c r="A778" s="143" t="n">
        <v>44242</v>
      </c>
      <c r="B778" s="94" t="n">
        <v>2021</v>
      </c>
      <c r="C778" s="94" t="inlineStr">
        <is>
          <t>2021-Q1</t>
        </is>
      </c>
      <c r="D778" s="186" t="n">
        <v>48607.8745224845</v>
      </c>
      <c r="E778" s="188" t="n">
        <v>905515462576.995</v>
      </c>
      <c r="F778" s="188" t="n">
        <v>57738376570.1319</v>
      </c>
    </row>
    <row r="779" ht="15" customHeight="1" s="95">
      <c r="A779" s="143" t="n">
        <v>44243</v>
      </c>
      <c r="B779" s="94" t="n">
        <v>2021</v>
      </c>
      <c r="C779" s="94" t="inlineStr">
        <is>
          <t>2021-Q1</t>
        </is>
      </c>
      <c r="D779" s="186" t="n">
        <v>47898.4870276331</v>
      </c>
      <c r="E779" s="188" t="n">
        <v>892345220938.278</v>
      </c>
      <c r="F779" s="188" t="n">
        <v>61061855793.7628</v>
      </c>
    </row>
    <row r="780" ht="15" customHeight="1" s="95">
      <c r="A780" s="143" t="n">
        <v>44244</v>
      </c>
      <c r="B780" s="94" t="n">
        <v>2021</v>
      </c>
      <c r="C780" s="94" t="inlineStr">
        <is>
          <t>2021-Q1</t>
        </is>
      </c>
      <c r="D780" s="186" t="n">
        <v>49238.1369067249</v>
      </c>
      <c r="E780" s="188" t="n">
        <v>917339726314.696</v>
      </c>
      <c r="F780" s="188" t="n">
        <v>64141133353.9756</v>
      </c>
    </row>
    <row r="781" ht="15" customHeight="1" s="95">
      <c r="A781" s="143" t="n">
        <v>44245</v>
      </c>
      <c r="B781" s="94" t="n">
        <v>2021</v>
      </c>
      <c r="C781" s="94" t="inlineStr">
        <is>
          <t>2021-Q1</t>
        </is>
      </c>
      <c r="D781" s="186" t="n">
        <v>52143.6788446198</v>
      </c>
      <c r="E781" s="188" t="n">
        <v>971516568847.578</v>
      </c>
      <c r="F781" s="188" t="n">
        <v>68478739131.4286</v>
      </c>
    </row>
    <row r="782" ht="15" customHeight="1" s="95">
      <c r="A782" s="143" t="n">
        <v>44246</v>
      </c>
      <c r="B782" s="94" t="n">
        <v>2021</v>
      </c>
      <c r="C782" s="94" t="inlineStr">
        <is>
          <t>2021-Q1</t>
        </is>
      </c>
      <c r="D782" s="186" t="n">
        <v>51733.075539032</v>
      </c>
      <c r="E782" s="188" t="n">
        <v>963911356673.46</v>
      </c>
      <c r="F782" s="188" t="n">
        <v>58486508605.5578</v>
      </c>
    </row>
    <row r="783" ht="15" customHeight="1" s="95">
      <c r="A783" s="143" t="n">
        <v>44247</v>
      </c>
      <c r="B783" s="94" t="n">
        <v>2021</v>
      </c>
      <c r="C783" s="94" t="inlineStr">
        <is>
          <t>2021-Q1</t>
        </is>
      </c>
      <c r="D783" s="186" t="n">
        <v>56038.7277589299</v>
      </c>
      <c r="E783" s="188" t="n">
        <v>1044189900351.59</v>
      </c>
      <c r="F783" s="188" t="n">
        <v>71397235196.8383</v>
      </c>
    </row>
    <row r="784" ht="15" customHeight="1" s="95">
      <c r="A784" s="143" t="n">
        <v>44248</v>
      </c>
      <c r="B784" s="94" t="n">
        <v>2021</v>
      </c>
      <c r="C784" s="94" t="inlineStr">
        <is>
          <t>2021-Q1</t>
        </is>
      </c>
      <c r="D784" s="186" t="n">
        <v>56377.6334779099</v>
      </c>
      <c r="E784" s="188" t="n">
        <v>1050555931433.15</v>
      </c>
      <c r="F784" s="188" t="n">
        <v>77351787996.1046</v>
      </c>
    </row>
    <row r="785" ht="15" customHeight="1" s="95">
      <c r="A785" s="143" t="n">
        <v>44249</v>
      </c>
      <c r="B785" s="94" t="n">
        <v>2021</v>
      </c>
      <c r="C785" s="94" t="inlineStr">
        <is>
          <t>2021-Q1</t>
        </is>
      </c>
      <c r="D785" s="186" t="n">
        <v>57669.3035269179</v>
      </c>
      <c r="E785" s="188" t="n">
        <v>1075380337357.91</v>
      </c>
      <c r="F785" s="188" t="n">
        <v>61223272210.9628</v>
      </c>
    </row>
    <row r="786" ht="15" customHeight="1" s="95">
      <c r="A786" s="143" t="n">
        <v>44250</v>
      </c>
      <c r="B786" s="94" t="n">
        <v>2021</v>
      </c>
      <c r="C786" s="94" t="inlineStr">
        <is>
          <t>2021-Q1</t>
        </is>
      </c>
      <c r="D786" s="186" t="n">
        <v>54410.856294516</v>
      </c>
      <c r="E786" s="188" t="n">
        <v>1012091985973.46</v>
      </c>
      <c r="F786" s="188" t="n">
        <v>101532021847.067</v>
      </c>
    </row>
    <row r="787" ht="15" customHeight="1" s="95">
      <c r="A787" s="143" t="n">
        <v>44251</v>
      </c>
      <c r="B787" s="94" t="n">
        <v>2021</v>
      </c>
      <c r="C787" s="94" t="inlineStr">
        <is>
          <t>2021-Q1</t>
        </is>
      </c>
      <c r="D787" s="186" t="n">
        <v>48691.8948317044</v>
      </c>
      <c r="E787" s="188" t="n">
        <v>904133801444.528</v>
      </c>
      <c r="F787" s="188" t="n">
        <v>116689607925.815</v>
      </c>
    </row>
    <row r="788" ht="15" customHeight="1" s="95">
      <c r="A788" s="143" t="n">
        <v>44252</v>
      </c>
      <c r="B788" s="94" t="n">
        <v>2021</v>
      </c>
      <c r="C788" s="94" t="inlineStr">
        <is>
          <t>2021-Q1</t>
        </is>
      </c>
      <c r="D788" s="186" t="n">
        <v>49849.3787135831</v>
      </c>
      <c r="E788" s="188" t="n">
        <v>929081504353.552</v>
      </c>
      <c r="F788" s="188" t="n">
        <v>73140585468.9653</v>
      </c>
    </row>
    <row r="789" ht="15" customHeight="1" s="95">
      <c r="A789" s="143" t="n">
        <v>44253</v>
      </c>
      <c r="B789" s="94" t="n">
        <v>2021</v>
      </c>
      <c r="C789" s="94" t="inlineStr">
        <is>
          <t>2021-Q1</t>
        </is>
      </c>
      <c r="D789" s="186" t="n">
        <v>46992.6654500485</v>
      </c>
      <c r="E789" s="188" t="n">
        <v>875883932252.4399</v>
      </c>
      <c r="F789" s="188" t="n">
        <v>60355381275.5455</v>
      </c>
    </row>
    <row r="790" ht="15" customHeight="1" s="95">
      <c r="A790" s="143" t="n">
        <v>44254</v>
      </c>
      <c r="B790" s="94" t="n">
        <v>2021</v>
      </c>
      <c r="C790" s="94" t="inlineStr">
        <is>
          <t>2021-Q1</t>
        </is>
      </c>
      <c r="D790" s="186" t="n">
        <v>46551.4874767547</v>
      </c>
      <c r="E790" s="188" t="n">
        <v>869070614247.8621</v>
      </c>
      <c r="F790" s="188" t="n">
        <v>74357197463.7094</v>
      </c>
    </row>
    <row r="791" ht="15" customHeight="1" s="95">
      <c r="A791" s="143" t="n">
        <v>44255</v>
      </c>
      <c r="B791" s="94" t="n">
        <v>2021</v>
      </c>
      <c r="C791" s="94" t="inlineStr">
        <is>
          <t>2021-Q1</t>
        </is>
      </c>
      <c r="D791" s="186" t="n">
        <v>46653.5263993958</v>
      </c>
      <c r="E791" s="188" t="n">
        <v>869649724200.578</v>
      </c>
      <c r="F791" s="188" t="n">
        <v>50989764248.8277</v>
      </c>
    </row>
    <row r="792" ht="15" customHeight="1" s="95">
      <c r="A792" s="143" t="n">
        <v>44256</v>
      </c>
      <c r="B792" s="94" t="n">
        <v>2021</v>
      </c>
      <c r="C792" s="94" t="inlineStr">
        <is>
          <t>2021-Q1</t>
        </is>
      </c>
      <c r="D792" s="186" t="n">
        <v>44970.1634599467</v>
      </c>
      <c r="E792" s="188" t="n">
        <v>838307614585.194</v>
      </c>
      <c r="F792" s="188" t="n">
        <v>59679588927.0806</v>
      </c>
    </row>
    <row r="793" ht="15" customHeight="1" s="95">
      <c r="A793" s="143" t="n">
        <v>44257</v>
      </c>
      <c r="B793" s="94" t="n">
        <v>2021</v>
      </c>
      <c r="C793" s="94" t="inlineStr">
        <is>
          <t>2021-Q1</t>
        </is>
      </c>
      <c r="D793" s="186" t="n">
        <v>49787.3399594967</v>
      </c>
      <c r="E793" s="188" t="n">
        <v>928146793676.429</v>
      </c>
      <c r="F793" s="188" t="n">
        <v>63218569171.5983</v>
      </c>
    </row>
    <row r="794" ht="15" customHeight="1" s="95">
      <c r="A794" s="143" t="n">
        <v>44258</v>
      </c>
      <c r="B794" s="94" t="n">
        <v>2021</v>
      </c>
      <c r="C794" s="94" t="inlineStr">
        <is>
          <t>2021-Q1</t>
        </is>
      </c>
      <c r="D794" s="186" t="n">
        <v>48532.236789817</v>
      </c>
      <c r="E794" s="188" t="n">
        <v>905413239164.906</v>
      </c>
      <c r="F794" s="188" t="n">
        <v>53499537416.8165</v>
      </c>
    </row>
    <row r="795" ht="15" customHeight="1" s="95">
      <c r="A795" s="143" t="n">
        <v>44259</v>
      </c>
      <c r="B795" s="94" t="n">
        <v>2021</v>
      </c>
      <c r="C795" s="94" t="inlineStr">
        <is>
          <t>2021-Q1</t>
        </is>
      </c>
      <c r="D795" s="186" t="n">
        <v>50577.457469152</v>
      </c>
      <c r="E795" s="188" t="n">
        <v>942969910364.1801</v>
      </c>
      <c r="F795" s="188" t="n">
        <v>59212268141.1663</v>
      </c>
    </row>
    <row r="796" ht="15" customHeight="1" s="95">
      <c r="A796" s="143" t="n">
        <v>44260</v>
      </c>
      <c r="B796" s="94" t="n">
        <v>2021</v>
      </c>
      <c r="C796" s="94" t="inlineStr">
        <is>
          <t>2021-Q1</t>
        </is>
      </c>
      <c r="D796" s="186" t="n">
        <v>48727.4512008012</v>
      </c>
      <c r="E796" s="188" t="n">
        <v>908517236707.537</v>
      </c>
      <c r="F796" s="188" t="n">
        <v>60749587836.1691</v>
      </c>
    </row>
    <row r="797" ht="15" customHeight="1" s="95">
      <c r="A797" s="143" t="n">
        <v>44261</v>
      </c>
      <c r="B797" s="94" t="n">
        <v>2021</v>
      </c>
      <c r="C797" s="94" t="inlineStr">
        <is>
          <t>2021-Q1</t>
        </is>
      </c>
      <c r="D797" s="186" t="n">
        <v>49091.8148823298</v>
      </c>
      <c r="E797" s="188" t="n">
        <v>911379300053.3459</v>
      </c>
      <c r="F797" s="188" t="n">
        <v>56568112294.2683</v>
      </c>
    </row>
    <row r="798" ht="15" customHeight="1" s="95">
      <c r="A798" s="143" t="n">
        <v>44262</v>
      </c>
      <c r="B798" s="94" t="n">
        <v>2021</v>
      </c>
      <c r="C798" s="94" t="inlineStr">
        <is>
          <t>2021-Q1</t>
        </is>
      </c>
      <c r="D798" s="186" t="n">
        <v>49019.3685923658</v>
      </c>
      <c r="E798" s="188" t="n">
        <v>916504852500.3929</v>
      </c>
      <c r="F798" s="188" t="n">
        <v>41478786533.3821</v>
      </c>
    </row>
    <row r="799" ht="15" customHeight="1" s="95">
      <c r="A799" s="143" t="n">
        <v>44263</v>
      </c>
      <c r="B799" s="94" t="n">
        <v>2021</v>
      </c>
      <c r="C799" s="94" t="inlineStr">
        <is>
          <t>2021-Q1</t>
        </is>
      </c>
      <c r="D799" s="186" t="n">
        <v>51313.0926202736</v>
      </c>
      <c r="E799" s="188" t="n">
        <v>955040794770.14</v>
      </c>
      <c r="F799" s="188" t="n">
        <v>46146324828.4808</v>
      </c>
    </row>
    <row r="800" ht="15" customHeight="1" s="95">
      <c r="A800" s="143" t="n">
        <v>44264</v>
      </c>
      <c r="B800" s="94" t="n">
        <v>2021</v>
      </c>
      <c r="C800" s="94" t="inlineStr">
        <is>
          <t>2021-Q1</t>
        </is>
      </c>
      <c r="D800" s="186" t="n">
        <v>52328.5359126325</v>
      </c>
      <c r="E800" s="188" t="n">
        <v>974195000547.444</v>
      </c>
      <c r="F800" s="188" t="n">
        <v>53568946625.6223</v>
      </c>
    </row>
    <row r="801" ht="15" customHeight="1" s="95">
      <c r="A801" s="143" t="n">
        <v>44265</v>
      </c>
      <c r="B801" s="94" t="n">
        <v>2021</v>
      </c>
      <c r="C801" s="94" t="inlineStr">
        <is>
          <t>2021-Q1</t>
        </is>
      </c>
      <c r="D801" s="186" t="n">
        <v>54700.2734392774</v>
      </c>
      <c r="E801" s="188" t="n">
        <v>1018978819157.42</v>
      </c>
      <c r="F801" s="188" t="n">
        <v>57418251743.0604</v>
      </c>
    </row>
    <row r="802" ht="15" customHeight="1" s="95">
      <c r="A802" s="143" t="n">
        <v>44266</v>
      </c>
      <c r="B802" s="94" t="n">
        <v>2021</v>
      </c>
      <c r="C802" s="94" t="inlineStr">
        <is>
          <t>2021-Q1</t>
        </is>
      </c>
      <c r="D802" s="186" t="n">
        <v>56020.4877195857</v>
      </c>
      <c r="E802" s="188" t="n">
        <v>1044805904677.55</v>
      </c>
      <c r="F802" s="188" t="n">
        <v>63560545036.7973</v>
      </c>
    </row>
    <row r="803" ht="15" customHeight="1" s="95">
      <c r="A803" s="143" t="n">
        <v>44267</v>
      </c>
      <c r="B803" s="94" t="n">
        <v>2021</v>
      </c>
      <c r="C803" s="94" t="inlineStr">
        <is>
          <t>2021-Q1</t>
        </is>
      </c>
      <c r="D803" s="186" t="n">
        <v>57788.8681032951</v>
      </c>
      <c r="E803" s="188" t="n">
        <v>1077836070933.29</v>
      </c>
      <c r="F803" s="188" t="n">
        <v>64605228617.761</v>
      </c>
    </row>
    <row r="804" ht="15" customHeight="1" s="95">
      <c r="A804" s="143" t="n">
        <v>44268</v>
      </c>
      <c r="B804" s="94" t="n">
        <v>2021</v>
      </c>
      <c r="C804" s="94" t="inlineStr">
        <is>
          <t>2021-Q1</t>
        </is>
      </c>
      <c r="D804" s="186" t="n">
        <v>57353.8614719725</v>
      </c>
      <c r="E804" s="188" t="n">
        <v>1069776383193.86</v>
      </c>
      <c r="F804" s="188" t="n">
        <v>59984971691.807</v>
      </c>
    </row>
    <row r="805" ht="15" customHeight="1" s="95">
      <c r="A805" s="143" t="n">
        <v>44269</v>
      </c>
      <c r="B805" s="94" t="n">
        <v>2021</v>
      </c>
      <c r="C805" s="94" t="inlineStr">
        <is>
          <t>2021-Q1</t>
        </is>
      </c>
      <c r="D805" s="186" t="n">
        <v>61315.1979327668</v>
      </c>
      <c r="E805" s="188" t="n">
        <v>1145191373521.59</v>
      </c>
      <c r="F805" s="188" t="n">
        <v>67332756651.2757</v>
      </c>
    </row>
    <row r="806" ht="15" customHeight="1" s="95">
      <c r="A806" s="143" t="n">
        <v>44270</v>
      </c>
      <c r="B806" s="94" t="n">
        <v>2021</v>
      </c>
      <c r="C806" s="94" t="inlineStr">
        <is>
          <t>2021-Q1</t>
        </is>
      </c>
      <c r="D806" s="186" t="n">
        <v>59428.9675660278</v>
      </c>
      <c r="E806" s="188" t="n">
        <v>1111684638819.07</v>
      </c>
      <c r="F806" s="188" t="n">
        <v>48104078384.2741</v>
      </c>
    </row>
    <row r="807" ht="15" customHeight="1" s="95">
      <c r="A807" s="143" t="n">
        <v>44271</v>
      </c>
      <c r="B807" s="94" t="n">
        <v>2021</v>
      </c>
      <c r="C807" s="94" t="inlineStr">
        <is>
          <t>2021-Q1</t>
        </is>
      </c>
      <c r="D807" s="186" t="n">
        <v>55805.3292492343</v>
      </c>
      <c r="E807" s="188" t="n">
        <v>1049197142851.56</v>
      </c>
      <c r="F807" s="188" t="n">
        <v>70594488699.7068</v>
      </c>
    </row>
    <row r="808" ht="15" customHeight="1" s="95">
      <c r="A808" s="143" t="n">
        <v>44272</v>
      </c>
      <c r="B808" s="94" t="n">
        <v>2021</v>
      </c>
      <c r="C808" s="94" t="inlineStr">
        <is>
          <t>2021-Q1</t>
        </is>
      </c>
      <c r="D808" s="186" t="n">
        <v>56830.2533350762</v>
      </c>
      <c r="E808" s="188" t="n">
        <v>1060221966894.74</v>
      </c>
      <c r="F808" s="188" t="n">
        <v>63219904254.3545</v>
      </c>
    </row>
    <row r="809" ht="15" customHeight="1" s="95">
      <c r="A809" s="143" t="n">
        <v>44273</v>
      </c>
      <c r="B809" s="94" t="n">
        <v>2021</v>
      </c>
      <c r="C809" s="94" t="inlineStr">
        <is>
          <t>2021-Q1</t>
        </is>
      </c>
      <c r="D809" s="186" t="n">
        <v>59014.925632051</v>
      </c>
      <c r="E809" s="188" t="n">
        <v>1101028543248.46</v>
      </c>
      <c r="F809" s="188" t="n">
        <v>63368268626.2783</v>
      </c>
    </row>
    <row r="810" ht="15" customHeight="1" s="95">
      <c r="A810" s="143" t="n">
        <v>44274</v>
      </c>
      <c r="B810" s="94" t="n">
        <v>2021</v>
      </c>
      <c r="C810" s="94" t="inlineStr">
        <is>
          <t>2021-Q1</t>
        </is>
      </c>
      <c r="D810" s="186" t="n">
        <v>57922.4095926291</v>
      </c>
      <c r="E810" s="188" t="n">
        <v>1081065767945.87</v>
      </c>
      <c r="F810" s="188" t="n">
        <v>58387006275.7283</v>
      </c>
    </row>
    <row r="811" ht="15" customHeight="1" s="95">
      <c r="A811" s="143" t="n">
        <v>44275</v>
      </c>
      <c r="B811" s="94" t="n">
        <v>2021</v>
      </c>
      <c r="C811" s="94" t="inlineStr">
        <is>
          <t>2021-Q1</t>
        </is>
      </c>
      <c r="D811" s="186" t="n">
        <v>58243.2706089236</v>
      </c>
      <c r="E811" s="188" t="n">
        <v>1086741150606.82</v>
      </c>
      <c r="F811" s="188" t="n">
        <v>51948388930.7582</v>
      </c>
    </row>
    <row r="812" ht="15" customHeight="1" s="95">
      <c r="A812" s="143" t="n">
        <v>44276</v>
      </c>
      <c r="B812" s="94" t="n">
        <v>2021</v>
      </c>
      <c r="C812" s="94" t="inlineStr">
        <is>
          <t>2021-Q1</t>
        </is>
      </c>
      <c r="D812" s="186" t="n">
        <v>58376.1584713721</v>
      </c>
      <c r="E812" s="188" t="n">
        <v>1090022321077.5</v>
      </c>
      <c r="F812" s="188" t="n">
        <v>54549112635.6717</v>
      </c>
    </row>
    <row r="813" ht="15" customHeight="1" s="95">
      <c r="A813" s="143" t="n">
        <v>44277</v>
      </c>
      <c r="B813" s="94" t="n">
        <v>2021</v>
      </c>
      <c r="C813" s="94" t="inlineStr">
        <is>
          <t>2021-Q1</t>
        </is>
      </c>
      <c r="D813" s="186" t="n">
        <v>57573.5393447787</v>
      </c>
      <c r="E813" s="188" t="n">
        <v>1074356788297.18</v>
      </c>
      <c r="F813" s="188" t="n">
        <v>55664123837.6026</v>
      </c>
    </row>
    <row r="814" ht="15" customHeight="1" s="95">
      <c r="A814" s="143" t="n">
        <v>44278</v>
      </c>
      <c r="B814" s="94" t="n">
        <v>2021</v>
      </c>
      <c r="C814" s="94" t="inlineStr">
        <is>
          <t>2021-Q1</t>
        </is>
      </c>
      <c r="D814" s="186" t="n">
        <v>54370.1375578952</v>
      </c>
      <c r="E814" s="188" t="n">
        <v>1020641820438.66</v>
      </c>
      <c r="F814" s="188" t="n">
        <v>62001716794.8435</v>
      </c>
    </row>
    <row r="815" ht="15" customHeight="1" s="95">
      <c r="A815" s="143" t="n">
        <v>44279</v>
      </c>
      <c r="B815" s="94" t="n">
        <v>2021</v>
      </c>
      <c r="C815" s="94" t="inlineStr">
        <is>
          <t>2021-Q1</t>
        </is>
      </c>
      <c r="D815" s="186" t="n">
        <v>54584.8699469946</v>
      </c>
      <c r="E815" s="188" t="n">
        <v>1017637245492.02</v>
      </c>
      <c r="F815" s="188" t="n">
        <v>60383378707.0485</v>
      </c>
    </row>
    <row r="816" ht="15" customHeight="1" s="95">
      <c r="A816" s="143" t="n">
        <v>44280</v>
      </c>
      <c r="B816" s="94" t="n">
        <v>2021</v>
      </c>
      <c r="C816" s="94" t="inlineStr">
        <is>
          <t>2021-Q1</t>
        </is>
      </c>
      <c r="D816" s="186" t="n">
        <v>52526.8665970466</v>
      </c>
      <c r="E816" s="188" t="n">
        <v>982797427007.257</v>
      </c>
      <c r="F816" s="188" t="n">
        <v>73029051195.052</v>
      </c>
    </row>
    <row r="817" ht="15" customHeight="1" s="95">
      <c r="A817" s="143" t="n">
        <v>44281</v>
      </c>
      <c r="B817" s="94" t="n">
        <v>2021</v>
      </c>
      <c r="C817" s="94" t="inlineStr">
        <is>
          <t>2021-Q1</t>
        </is>
      </c>
      <c r="D817" s="186" t="n">
        <v>51416.9083049801</v>
      </c>
      <c r="E817" s="188" t="n">
        <v>959155260366.741</v>
      </c>
      <c r="F817" s="188" t="n">
        <v>63401640502.5613</v>
      </c>
    </row>
    <row r="818" ht="15" customHeight="1" s="95">
      <c r="A818" s="143" t="n">
        <v>44282</v>
      </c>
      <c r="B818" s="94" t="n">
        <v>2021</v>
      </c>
      <c r="C818" s="94" t="inlineStr">
        <is>
          <t>2021-Q1</t>
        </is>
      </c>
      <c r="D818" s="186" t="n">
        <v>55033.100480447</v>
      </c>
      <c r="E818" s="188" t="n">
        <v>1027209990794.89</v>
      </c>
      <c r="F818" s="188" t="n">
        <v>55442557956.1546</v>
      </c>
    </row>
    <row r="819" ht="15" customHeight="1" s="95">
      <c r="A819" s="143" t="n">
        <v>44283</v>
      </c>
      <c r="B819" s="94" t="n">
        <v>2021</v>
      </c>
      <c r="C819" s="94" t="inlineStr">
        <is>
          <t>2021-Q1</t>
        </is>
      </c>
      <c r="D819" s="186" t="n">
        <v>55832.4181096183</v>
      </c>
      <c r="E819" s="188" t="n">
        <v>1042184275332.64</v>
      </c>
      <c r="F819" s="188" t="n">
        <v>47285749218.6651</v>
      </c>
    </row>
    <row r="820" ht="15" customHeight="1" s="95">
      <c r="A820" s="143" t="n">
        <v>44284</v>
      </c>
      <c r="B820" s="94" t="n">
        <v>2021</v>
      </c>
      <c r="C820" s="94" t="inlineStr">
        <is>
          <t>2021-Q1</t>
        </is>
      </c>
      <c r="D820" s="186" t="n">
        <v>55728.1013278065</v>
      </c>
      <c r="E820" s="188" t="n">
        <v>1039333584621.14</v>
      </c>
      <c r="F820" s="188" t="n">
        <v>49315845081.4244</v>
      </c>
    </row>
    <row r="821" ht="15" customHeight="1" s="95">
      <c r="A821" s="143" t="n">
        <v>44285</v>
      </c>
      <c r="B821" s="94" t="n">
        <v>2021</v>
      </c>
      <c r="C821" s="94" t="inlineStr">
        <is>
          <t>2021-Q1</t>
        </is>
      </c>
      <c r="D821" s="186" t="n">
        <v>57634.9286944754</v>
      </c>
      <c r="E821" s="188" t="n">
        <v>1075942162537</v>
      </c>
      <c r="F821" s="188" t="n">
        <v>57387039705.4713</v>
      </c>
    </row>
    <row r="822" ht="15" customHeight="1" s="95">
      <c r="A822" s="143" t="n">
        <v>44286</v>
      </c>
      <c r="B822" s="94" t="n">
        <v>2021</v>
      </c>
      <c r="C822" s="94" t="inlineStr">
        <is>
          <t>2021-Q1</t>
        </is>
      </c>
      <c r="D822" s="186" t="n">
        <v>58668.628336761</v>
      </c>
      <c r="E822" s="188" t="n">
        <v>1095293012032.84</v>
      </c>
      <c r="F822" s="188" t="n">
        <v>52387542500.622</v>
      </c>
    </row>
    <row r="823" ht="15" customHeight="1" s="95">
      <c r="A823" s="143" t="n">
        <v>44287</v>
      </c>
      <c r="B823" s="94" t="n">
        <v>2021</v>
      </c>
      <c r="C823" s="94" t="inlineStr">
        <is>
          <t>2021-Q2</t>
        </is>
      </c>
      <c r="D823" s="186" t="n">
        <v>58817.3738884188</v>
      </c>
      <c r="E823" s="188" t="n">
        <v>1098127310946.9</v>
      </c>
      <c r="F823" s="188" t="n">
        <v>57495844477.9185</v>
      </c>
    </row>
    <row r="824" ht="15" customHeight="1" s="95">
      <c r="A824" s="143" t="n">
        <v>44288</v>
      </c>
      <c r="B824" s="94" t="n">
        <v>2021</v>
      </c>
      <c r="C824" s="94" t="inlineStr">
        <is>
          <t>2021-Q2</t>
        </is>
      </c>
      <c r="D824" s="186" t="n">
        <v>58801.1948438781</v>
      </c>
      <c r="E824" s="188" t="n">
        <v>1098583823874.23</v>
      </c>
      <c r="F824" s="188" t="n">
        <v>54320681400.5678</v>
      </c>
    </row>
    <row r="825" ht="15" customHeight="1" s="95">
      <c r="A825" s="143" t="n">
        <v>44289</v>
      </c>
      <c r="B825" s="94" t="n">
        <v>2021</v>
      </c>
      <c r="C825" s="94" t="inlineStr">
        <is>
          <t>2021-Q2</t>
        </is>
      </c>
      <c r="D825" s="186" t="n">
        <v>59060.026783338</v>
      </c>
      <c r="E825" s="188" t="n">
        <v>1103133931136.55</v>
      </c>
      <c r="F825" s="188" t="n">
        <v>52224918752.0804</v>
      </c>
    </row>
    <row r="826" ht="15" customHeight="1" s="95">
      <c r="A826" s="143" t="n">
        <v>44290</v>
      </c>
      <c r="B826" s="94" t="n">
        <v>2021</v>
      </c>
      <c r="C826" s="94" t="inlineStr">
        <is>
          <t>2021-Q2</t>
        </is>
      </c>
      <c r="D826" s="186" t="n">
        <v>57060.4066547109</v>
      </c>
      <c r="E826" s="188" t="n">
        <v>1067101827372.95</v>
      </c>
      <c r="F826" s="188" t="n">
        <v>52067853987.6005</v>
      </c>
    </row>
    <row r="827" ht="15" customHeight="1" s="95">
      <c r="A827" s="143" t="n">
        <v>44291</v>
      </c>
      <c r="B827" s="94" t="n">
        <v>2021</v>
      </c>
      <c r="C827" s="94" t="inlineStr">
        <is>
          <t>2021-Q2</t>
        </is>
      </c>
      <c r="D827" s="186" t="n">
        <v>58228.8026234662</v>
      </c>
      <c r="E827" s="188" t="n">
        <v>1087344280109.69</v>
      </c>
      <c r="F827" s="188" t="n">
        <v>46156767978.1774</v>
      </c>
    </row>
    <row r="828" ht="15" customHeight="1" s="95">
      <c r="A828" s="143" t="n">
        <v>44292</v>
      </c>
      <c r="B828" s="94" t="n">
        <v>2021</v>
      </c>
      <c r="C828" s="94" t="inlineStr">
        <is>
          <t>2021-Q2</t>
        </is>
      </c>
      <c r="D828" s="186" t="n">
        <v>58706.815593114</v>
      </c>
      <c r="E828" s="188" t="n">
        <v>1096202611389.95</v>
      </c>
      <c r="F828" s="188" t="n">
        <v>54670173277.0873</v>
      </c>
    </row>
    <row r="829" ht="15" customHeight="1" s="95">
      <c r="A829" s="143" t="n">
        <v>44293</v>
      </c>
      <c r="B829" s="94" t="n">
        <v>2021</v>
      </c>
      <c r="C829" s="94" t="inlineStr">
        <is>
          <t>2021-Q2</t>
        </is>
      </c>
      <c r="D829" s="186" t="n">
        <v>58062.1787243365</v>
      </c>
      <c r="E829" s="188" t="n">
        <v>1084341670320.81</v>
      </c>
      <c r="F829" s="188" t="n">
        <v>61497704158.1383</v>
      </c>
    </row>
    <row r="830" ht="15" customHeight="1" s="95">
      <c r="A830" s="143" t="n">
        <v>44294</v>
      </c>
      <c r="B830" s="94" t="n">
        <v>2021</v>
      </c>
      <c r="C830" s="94" t="inlineStr">
        <is>
          <t>2021-Q2</t>
        </is>
      </c>
      <c r="D830" s="186" t="n">
        <v>56134.4173886644</v>
      </c>
      <c r="E830" s="188" t="n">
        <v>1050759681844.61</v>
      </c>
      <c r="F830" s="188" t="n">
        <v>67617613532.4331</v>
      </c>
    </row>
    <row r="831" ht="15" customHeight="1" s="95">
      <c r="A831" s="143" t="n">
        <v>44295</v>
      </c>
      <c r="B831" s="94" t="n">
        <v>2021</v>
      </c>
      <c r="C831" s="94" t="inlineStr">
        <is>
          <t>2021-Q2</t>
        </is>
      </c>
      <c r="D831" s="186" t="n">
        <v>58065.6440248153</v>
      </c>
      <c r="E831" s="188" t="n">
        <v>1083362883828.12</v>
      </c>
      <c r="F831" s="188" t="n">
        <v>48714359354.0723</v>
      </c>
    </row>
    <row r="832" ht="15" customHeight="1" s="95">
      <c r="A832" s="143" t="n">
        <v>44296</v>
      </c>
      <c r="B832" s="94" t="n">
        <v>2021</v>
      </c>
      <c r="C832" s="94" t="inlineStr">
        <is>
          <t>2021-Q2</t>
        </is>
      </c>
      <c r="D832" s="186" t="n">
        <v>58152.9932621418</v>
      </c>
      <c r="E832" s="188" t="n">
        <v>1085794662404.73</v>
      </c>
      <c r="F832" s="188" t="n">
        <v>45880879041.761</v>
      </c>
    </row>
    <row r="833" ht="15" customHeight="1" s="95">
      <c r="A833" s="143" t="n">
        <v>44297</v>
      </c>
      <c r="B833" s="94" t="n">
        <v>2021</v>
      </c>
      <c r="C833" s="94" t="inlineStr">
        <is>
          <t>2021-Q2</t>
        </is>
      </c>
      <c r="D833" s="186" t="n">
        <v>59979.3928157183</v>
      </c>
      <c r="E833" s="188" t="n">
        <v>1116221525334.33</v>
      </c>
      <c r="F833" s="188" t="n">
        <v>61788197398.7379</v>
      </c>
    </row>
    <row r="834" ht="15" customHeight="1" s="95">
      <c r="A834" s="143" t="n">
        <v>44298</v>
      </c>
      <c r="B834" s="94" t="n">
        <v>2021</v>
      </c>
      <c r="C834" s="94" t="inlineStr">
        <is>
          <t>2021-Q2</t>
        </is>
      </c>
      <c r="D834" s="186" t="n">
        <v>59988.0209585298</v>
      </c>
      <c r="E834" s="188" t="n">
        <v>1120606689450.47</v>
      </c>
      <c r="F834" s="188" t="n">
        <v>46792500386.965</v>
      </c>
    </row>
    <row r="835" ht="15" customHeight="1" s="95">
      <c r="A835" s="143" t="n">
        <v>44299</v>
      </c>
      <c r="B835" s="94" t="n">
        <v>2021</v>
      </c>
      <c r="C835" s="94" t="inlineStr">
        <is>
          <t>2021-Q2</t>
        </is>
      </c>
      <c r="D835" s="186" t="n">
        <v>59911.0205948473</v>
      </c>
      <c r="E835" s="188" t="n">
        <v>1118532902101.53</v>
      </c>
      <c r="F835" s="188" t="n">
        <v>55994558888.5224</v>
      </c>
    </row>
    <row r="836" ht="15" customHeight="1" s="95">
      <c r="A836" s="143" t="n">
        <v>44300</v>
      </c>
      <c r="B836" s="94" t="n">
        <v>2021</v>
      </c>
      <c r="C836" s="94" t="inlineStr">
        <is>
          <t>2021-Q2</t>
        </is>
      </c>
      <c r="D836" s="186" t="n">
        <v>63576.6760410483</v>
      </c>
      <c r="E836" s="188" t="n">
        <v>1187737045885.17</v>
      </c>
      <c r="F836" s="188" t="n">
        <v>71993120011.1832</v>
      </c>
    </row>
    <row r="837" ht="15" customHeight="1" s="95">
      <c r="A837" s="143" t="n">
        <v>44301</v>
      </c>
      <c r="B837" s="94" t="n">
        <v>2021</v>
      </c>
      <c r="C837" s="94" t="inlineStr">
        <is>
          <t>2021-Q2</t>
        </is>
      </c>
      <c r="D837" s="186" t="n">
        <v>62807.123232593</v>
      </c>
      <c r="E837" s="188" t="n">
        <v>1173412921929.89</v>
      </c>
      <c r="F837" s="188" t="n">
        <v>80157135507.589</v>
      </c>
    </row>
    <row r="838" ht="15" customHeight="1" s="95">
      <c r="A838" s="143" t="n">
        <v>44302</v>
      </c>
      <c r="B838" s="94" t="n">
        <v>2021</v>
      </c>
      <c r="C838" s="94" t="inlineStr">
        <is>
          <t>2021-Q2</t>
        </is>
      </c>
      <c r="D838" s="186" t="n">
        <v>63179.7724460847</v>
      </c>
      <c r="E838" s="188" t="n">
        <v>1179561609816.94</v>
      </c>
      <c r="F838" s="188" t="n">
        <v>60495376851.2807</v>
      </c>
    </row>
    <row r="839" ht="15" customHeight="1" s="95">
      <c r="A839" s="143" t="n">
        <v>44303</v>
      </c>
      <c r="B839" s="94" t="n">
        <v>2021</v>
      </c>
      <c r="C839" s="94" t="inlineStr">
        <is>
          <t>2021-Q2</t>
        </is>
      </c>
      <c r="D839" s="186" t="n">
        <v>61497.2995694412</v>
      </c>
      <c r="E839" s="188" t="n">
        <v>1149602869702.26</v>
      </c>
      <c r="F839" s="188" t="n">
        <v>86260673269.7661</v>
      </c>
    </row>
    <row r="840" ht="15" customHeight="1" s="95">
      <c r="A840" s="143" t="n">
        <v>44304</v>
      </c>
      <c r="B840" s="94" t="n">
        <v>2021</v>
      </c>
      <c r="C840" s="94" t="inlineStr">
        <is>
          <t>2021-Q2</t>
        </is>
      </c>
      <c r="D840" s="186" t="n">
        <v>60273.8666769473</v>
      </c>
      <c r="E840" s="188" t="n">
        <v>1125592412523.22</v>
      </c>
      <c r="F840" s="188" t="n">
        <v>63808212132.5364</v>
      </c>
    </row>
    <row r="841" ht="15" customHeight="1" s="95">
      <c r="A841" s="143" t="n">
        <v>44305</v>
      </c>
      <c r="B841" s="94" t="n">
        <v>2021</v>
      </c>
      <c r="C841" s="94" t="inlineStr">
        <is>
          <t>2021-Q2</t>
        </is>
      </c>
      <c r="D841" s="186" t="n">
        <v>56288.945340012</v>
      </c>
      <c r="E841" s="188" t="n">
        <v>1053618163309.58</v>
      </c>
      <c r="F841" s="188" t="n">
        <v>102065957642.23</v>
      </c>
    </row>
    <row r="842" ht="15" customHeight="1" s="95">
      <c r="A842" s="143" t="n">
        <v>44306</v>
      </c>
      <c r="B842" s="94" t="n">
        <v>2021</v>
      </c>
      <c r="C842" s="94" t="inlineStr">
        <is>
          <t>2021-Q2</t>
        </is>
      </c>
      <c r="D842" s="186" t="n">
        <v>55721.1660526956</v>
      </c>
      <c r="E842" s="188" t="n">
        <v>1043148020633.03</v>
      </c>
      <c r="F842" s="188" t="n">
        <v>66156275209.7971</v>
      </c>
    </row>
    <row r="843" ht="15" customHeight="1" s="95">
      <c r="A843" s="143" t="n">
        <v>44307</v>
      </c>
      <c r="B843" s="94" t="n">
        <v>2021</v>
      </c>
      <c r="C843" s="94" t="inlineStr">
        <is>
          <t>2021-Q2</t>
        </is>
      </c>
      <c r="D843" s="186" t="n">
        <v>56294.7285585869</v>
      </c>
      <c r="E843" s="188" t="n">
        <v>1055145534127.33</v>
      </c>
      <c r="F843" s="188" t="n">
        <v>68166802215.7595</v>
      </c>
    </row>
    <row r="844" ht="15" customHeight="1" s="95">
      <c r="A844" s="143" t="n">
        <v>44308</v>
      </c>
      <c r="B844" s="94" t="n">
        <v>2021</v>
      </c>
      <c r="C844" s="94" t="inlineStr">
        <is>
          <t>2021-Q2</t>
        </is>
      </c>
      <c r="D844" s="186" t="n">
        <v>54190.0702628341</v>
      </c>
      <c r="E844" s="188" t="n">
        <v>1012699264345.66</v>
      </c>
      <c r="F844" s="188" t="n">
        <v>56115370322.1406</v>
      </c>
    </row>
    <row r="845" ht="15" customHeight="1" s="95">
      <c r="A845" s="143" t="n">
        <v>44309</v>
      </c>
      <c r="B845" s="94" t="n">
        <v>2021</v>
      </c>
      <c r="C845" s="94" t="inlineStr">
        <is>
          <t>2021-Q2</t>
        </is>
      </c>
      <c r="D845" s="186" t="n">
        <v>51965.5664304852</v>
      </c>
      <c r="E845" s="188" t="n">
        <v>971174701492.849</v>
      </c>
      <c r="F845" s="188" t="n">
        <v>77897442831.717</v>
      </c>
    </row>
    <row r="846" ht="15" customHeight="1" s="95">
      <c r="A846" s="143" t="n">
        <v>44310</v>
      </c>
      <c r="B846" s="94" t="n">
        <v>2021</v>
      </c>
      <c r="C846" s="94" t="inlineStr">
        <is>
          <t>2021-Q2</t>
        </is>
      </c>
      <c r="D846" s="186" t="n">
        <v>51191.1246964079</v>
      </c>
      <c r="E846" s="188" t="n">
        <v>956744203682.22</v>
      </c>
      <c r="F846" s="188" t="n">
        <v>91138220375.4599</v>
      </c>
    </row>
    <row r="847" ht="15" customHeight="1" s="95">
      <c r="A847" s="143" t="n">
        <v>44311</v>
      </c>
      <c r="B847" s="94" t="n">
        <v>2021</v>
      </c>
      <c r="C847" s="94" t="inlineStr">
        <is>
          <t>2021-Q2</t>
        </is>
      </c>
      <c r="D847" s="186" t="n">
        <v>50133.1073963654</v>
      </c>
      <c r="E847" s="188" t="n">
        <v>937014999515.386</v>
      </c>
      <c r="F847" s="188" t="n">
        <v>49296256745.6512</v>
      </c>
    </row>
    <row r="848" ht="15" customHeight="1" s="95">
      <c r="A848" s="143" t="n">
        <v>44312</v>
      </c>
      <c r="B848" s="94" t="n">
        <v>2021</v>
      </c>
      <c r="C848" s="94" t="inlineStr">
        <is>
          <t>2021-Q2</t>
        </is>
      </c>
      <c r="D848" s="186" t="n">
        <v>48981.4413932161</v>
      </c>
      <c r="E848" s="188" t="n">
        <v>915533819859.139</v>
      </c>
      <c r="F848" s="188" t="n">
        <v>46233432154.2253</v>
      </c>
    </row>
    <row r="849" ht="15" customHeight="1" s="95">
      <c r="A849" s="143" t="n">
        <v>44313</v>
      </c>
      <c r="B849" s="94" t="n">
        <v>2021</v>
      </c>
      <c r="C849" s="94" t="inlineStr">
        <is>
          <t>2021-Q2</t>
        </is>
      </c>
      <c r="D849" s="186" t="n">
        <v>53978.8055472896</v>
      </c>
      <c r="E849" s="188" t="n">
        <v>1008389773189.79</v>
      </c>
      <c r="F849" s="188" t="n">
        <v>60226926859.9165</v>
      </c>
    </row>
    <row r="850" ht="15" customHeight="1" s="95">
      <c r="A850" s="143" t="n">
        <v>44314</v>
      </c>
      <c r="B850" s="94" t="n">
        <v>2021</v>
      </c>
      <c r="C850" s="94" t="inlineStr">
        <is>
          <t>2021-Q2</t>
        </is>
      </c>
      <c r="D850" s="186" t="n">
        <v>54991.8148426211</v>
      </c>
      <c r="E850" s="188" t="n">
        <v>1027617870421.66</v>
      </c>
      <c r="F850" s="188" t="n">
        <v>48468560013.1379</v>
      </c>
    </row>
    <row r="851" ht="15" customHeight="1" s="95">
      <c r="A851" s="143" t="n">
        <v>44315</v>
      </c>
      <c r="B851" s="94" t="n">
        <v>2021</v>
      </c>
      <c r="C851" s="94" t="inlineStr">
        <is>
          <t>2021-Q2</t>
        </is>
      </c>
      <c r="D851" s="186" t="n">
        <v>54810.6138506792</v>
      </c>
      <c r="E851" s="188" t="n">
        <v>1024625833392.24</v>
      </c>
      <c r="F851" s="188" t="n">
        <v>48072930663.0145</v>
      </c>
    </row>
    <row r="852" ht="15" customHeight="1" s="95">
      <c r="A852" s="143" t="n">
        <v>44316</v>
      </c>
      <c r="B852" s="94" t="n">
        <v>2021</v>
      </c>
      <c r="C852" s="94" t="inlineStr">
        <is>
          <t>2021-Q2</t>
        </is>
      </c>
      <c r="D852" s="186" t="n">
        <v>53596.7040226668</v>
      </c>
      <c r="E852" s="188" t="n">
        <v>1001973605935.4</v>
      </c>
      <c r="F852" s="188" t="n">
        <v>46958036373.3603</v>
      </c>
    </row>
    <row r="853" ht="15" customHeight="1" s="95">
      <c r="A853" s="143" t="n">
        <v>44317</v>
      </c>
      <c r="B853" s="94" t="n">
        <v>2021</v>
      </c>
      <c r="C853" s="94" t="inlineStr">
        <is>
          <t>2021-Q2</t>
        </is>
      </c>
      <c r="D853" s="186" t="n">
        <v>57828.5118144259</v>
      </c>
      <c r="E853" s="188" t="n">
        <v>1082721727348.04</v>
      </c>
      <c r="F853" s="188" t="n">
        <v>53879045974.4321</v>
      </c>
    </row>
    <row r="854" ht="15" customHeight="1" s="95">
      <c r="A854" s="143" t="n">
        <v>44318</v>
      </c>
      <c r="B854" s="94" t="n">
        <v>2021</v>
      </c>
      <c r="C854" s="94" t="inlineStr">
        <is>
          <t>2021-Q2</t>
        </is>
      </c>
      <c r="D854" s="186" t="n">
        <v>57812.9691596789</v>
      </c>
      <c r="E854" s="188" t="n">
        <v>1080897634123.29</v>
      </c>
      <c r="F854" s="188" t="n">
        <v>43967070045.8231</v>
      </c>
    </row>
    <row r="855" ht="15" customHeight="1" s="95">
      <c r="A855" s="143" t="n">
        <v>44319</v>
      </c>
      <c r="B855" s="94" t="n">
        <v>2021</v>
      </c>
      <c r="C855" s="94" t="inlineStr">
        <is>
          <t>2021-Q2</t>
        </is>
      </c>
      <c r="D855" s="186" t="n">
        <v>56600.7452873843</v>
      </c>
      <c r="E855" s="188" t="n">
        <v>1057850321948.55</v>
      </c>
      <c r="F855" s="188" t="n">
        <v>39072664393.9294</v>
      </c>
    </row>
    <row r="856" ht="15" customHeight="1" s="95">
      <c r="A856" s="143" t="n">
        <v>44320</v>
      </c>
      <c r="B856" s="94" t="n">
        <v>2021</v>
      </c>
      <c r="C856" s="94" t="inlineStr">
        <is>
          <t>2021-Q2</t>
        </is>
      </c>
      <c r="D856" s="186" t="n">
        <v>57200.3002987116</v>
      </c>
      <c r="E856" s="188" t="n">
        <v>1069571255195.52</v>
      </c>
      <c r="F856" s="188" t="n">
        <v>54132470274.0751</v>
      </c>
    </row>
    <row r="857" ht="15" customHeight="1" s="95">
      <c r="A857" s="143" t="n">
        <v>44321</v>
      </c>
      <c r="B857" s="94" t="n">
        <v>2021</v>
      </c>
      <c r="C857" s="94" t="inlineStr">
        <is>
          <t>2021-Q2</t>
        </is>
      </c>
      <c r="D857" s="186" t="n">
        <v>53464.3702195037</v>
      </c>
      <c r="E857" s="188" t="n">
        <v>999775008412.374</v>
      </c>
      <c r="F857" s="188" t="n">
        <v>71296763919.13271</v>
      </c>
    </row>
    <row r="858" ht="15" customHeight="1" s="95">
      <c r="A858" s="143" t="n">
        <v>44322</v>
      </c>
      <c r="B858" s="94" t="n">
        <v>2021</v>
      </c>
      <c r="C858" s="94" t="inlineStr">
        <is>
          <t>2021-Q2</t>
        </is>
      </c>
      <c r="D858" s="186" t="n">
        <v>57432.1002270876</v>
      </c>
      <c r="E858" s="188" t="n">
        <v>1070969079353.53</v>
      </c>
      <c r="F858" s="188" t="n">
        <v>72158368257.5471</v>
      </c>
    </row>
    <row r="859" ht="15" customHeight="1" s="95">
      <c r="A859" s="143" t="n">
        <v>44323</v>
      </c>
      <c r="B859" s="94" t="n">
        <v>2021</v>
      </c>
      <c r="C859" s="94" t="inlineStr">
        <is>
          <t>2021-Q2</t>
        </is>
      </c>
      <c r="D859" s="186" t="n">
        <v>56507.7594398696</v>
      </c>
      <c r="E859" s="188" t="n">
        <v>1056801053574.51</v>
      </c>
      <c r="F859" s="188" t="n">
        <v>87510802710.77631</v>
      </c>
    </row>
    <row r="860" ht="15" customHeight="1" s="95">
      <c r="A860" s="143" t="n">
        <v>44324</v>
      </c>
      <c r="B860" s="94" t="n">
        <v>2021</v>
      </c>
      <c r="C860" s="94" t="inlineStr">
        <is>
          <t>2021-Q2</t>
        </is>
      </c>
      <c r="D860" s="186" t="n">
        <v>57361.5690432889</v>
      </c>
      <c r="E860" s="188" t="n">
        <v>1072831991777.41</v>
      </c>
      <c r="F860" s="188" t="n">
        <v>68154805947.0942</v>
      </c>
    </row>
    <row r="861" ht="15" customHeight="1" s="95">
      <c r="A861" s="143" t="n">
        <v>44325</v>
      </c>
      <c r="B861" s="94" t="n">
        <v>2021</v>
      </c>
      <c r="C861" s="94" t="inlineStr">
        <is>
          <t>2021-Q2</t>
        </is>
      </c>
      <c r="D861" s="186" t="n">
        <v>58771.8816895094</v>
      </c>
      <c r="E861" s="188" t="n">
        <v>1099271802311.5</v>
      </c>
      <c r="F861" s="188" t="n">
        <v>66812167538.2271</v>
      </c>
    </row>
    <row r="862" ht="15" customHeight="1" s="95">
      <c r="A862" s="143" t="n">
        <v>44326</v>
      </c>
      <c r="B862" s="94" t="n">
        <v>2021</v>
      </c>
      <c r="C862" s="94" t="inlineStr">
        <is>
          <t>2021-Q2</t>
        </is>
      </c>
      <c r="D862" s="186" t="n">
        <v>58213.9262937444</v>
      </c>
      <c r="E862" s="188" t="n">
        <v>1088903483393.31</v>
      </c>
      <c r="F862" s="188" t="n">
        <v>67906284080.6139</v>
      </c>
    </row>
    <row r="863" ht="15" customHeight="1" s="95">
      <c r="A863" s="143" t="n">
        <v>44327</v>
      </c>
      <c r="B863" s="94" t="n">
        <v>2021</v>
      </c>
      <c r="C863" s="94" t="inlineStr">
        <is>
          <t>2021-Q2</t>
        </is>
      </c>
      <c r="D863" s="186" t="n">
        <v>55901.6675945615</v>
      </c>
      <c r="E863" s="188" t="n">
        <v>1045714370754.16</v>
      </c>
      <c r="F863" s="188" t="n">
        <v>76672978747.6904</v>
      </c>
    </row>
    <row r="864" ht="15" customHeight="1" s="95">
      <c r="A864" s="143" t="n">
        <v>44328</v>
      </c>
      <c r="B864" s="94" t="n">
        <v>2021</v>
      </c>
      <c r="C864" s="94" t="inlineStr">
        <is>
          <t>2021-Q2</t>
        </is>
      </c>
      <c r="D864" s="186" t="n">
        <v>56928.9723566016</v>
      </c>
      <c r="E864" s="188" t="n">
        <v>1064993057463.89</v>
      </c>
      <c r="F864" s="188" t="n">
        <v>67726708140.5651</v>
      </c>
    </row>
    <row r="865" ht="15" customHeight="1" s="95">
      <c r="A865" s="143" t="n">
        <v>44329</v>
      </c>
      <c r="B865" s="94" t="n">
        <v>2021</v>
      </c>
      <c r="C865" s="94" t="inlineStr">
        <is>
          <t>2021-Q2</t>
        </is>
      </c>
      <c r="D865" s="186" t="n">
        <v>50004.7621831369</v>
      </c>
      <c r="E865" s="188" t="n">
        <v>935512493150.826</v>
      </c>
      <c r="F865" s="188" t="n">
        <v>75523928654.34039</v>
      </c>
    </row>
    <row r="866" ht="15" customHeight="1" s="95">
      <c r="A866" s="143" t="n">
        <v>44330</v>
      </c>
      <c r="B866" s="94" t="n">
        <v>2021</v>
      </c>
      <c r="C866" s="94" t="inlineStr">
        <is>
          <t>2021-Q2</t>
        </is>
      </c>
      <c r="D866" s="186" t="n">
        <v>49972.7953983724</v>
      </c>
      <c r="E866" s="188" t="n">
        <v>934964766185.964</v>
      </c>
      <c r="F866" s="188" t="n">
        <v>104203551167.938</v>
      </c>
    </row>
    <row r="867" ht="15" customHeight="1" s="95">
      <c r="A867" s="143" t="n">
        <v>44331</v>
      </c>
      <c r="B867" s="94" t="n">
        <v>2021</v>
      </c>
      <c r="C867" s="94" t="inlineStr">
        <is>
          <t>2021-Q2</t>
        </is>
      </c>
      <c r="D867" s="186" t="n">
        <v>49913.2631439882</v>
      </c>
      <c r="E867" s="188" t="n">
        <v>935962705739.4399</v>
      </c>
      <c r="F867" s="188" t="n">
        <v>56820196964.5127</v>
      </c>
    </row>
    <row r="868" ht="15" customHeight="1" s="95">
      <c r="A868" s="143" t="n">
        <v>44332</v>
      </c>
      <c r="B868" s="94" t="n">
        <v>2021</v>
      </c>
      <c r="C868" s="94" t="inlineStr">
        <is>
          <t>2021-Q2</t>
        </is>
      </c>
      <c r="D868" s="186" t="n">
        <v>46780.9023046882</v>
      </c>
      <c r="E868" s="188" t="n">
        <v>875321252276.108</v>
      </c>
      <c r="F868" s="188" t="n">
        <v>62896879696.149</v>
      </c>
    </row>
    <row r="869" ht="15" customHeight="1" s="95">
      <c r="A869" s="143" t="n">
        <v>44333</v>
      </c>
      <c r="B869" s="94" t="n">
        <v>2021</v>
      </c>
      <c r="C869" s="94" t="inlineStr">
        <is>
          <t>2021-Q2</t>
        </is>
      </c>
      <c r="D869" s="186" t="n">
        <v>46585.0641353885</v>
      </c>
      <c r="E869" s="188" t="n">
        <v>871695620615.745</v>
      </c>
      <c r="F869" s="188" t="n">
        <v>70636455913.96021</v>
      </c>
    </row>
    <row r="870" ht="15" customHeight="1" s="95">
      <c r="A870" s="143" t="n">
        <v>44334</v>
      </c>
      <c r="B870" s="94" t="n">
        <v>2021</v>
      </c>
      <c r="C870" s="94" t="inlineStr">
        <is>
          <t>2021-Q2</t>
        </is>
      </c>
      <c r="D870" s="186" t="n">
        <v>43780.8255978249</v>
      </c>
      <c r="E870" s="188" t="n">
        <v>819256623328.731</v>
      </c>
      <c r="F870" s="188" t="n">
        <v>84054878923.85201</v>
      </c>
    </row>
    <row r="871" ht="15" customHeight="1" s="95">
      <c r="A871" s="143" t="n">
        <v>44335</v>
      </c>
      <c r="B871" s="94" t="n">
        <v>2021</v>
      </c>
      <c r="C871" s="94" t="inlineStr">
        <is>
          <t>2021-Q2</t>
        </is>
      </c>
      <c r="D871" s="186" t="n">
        <v>43091.0414475692</v>
      </c>
      <c r="E871" s="188" t="n">
        <v>800545278567.687</v>
      </c>
      <c r="F871" s="188" t="n">
        <v>65037066859.1167</v>
      </c>
    </row>
    <row r="872" ht="15" customHeight="1" s="95">
      <c r="A872" s="143" t="n">
        <v>44336</v>
      </c>
      <c r="B872" s="94" t="n">
        <v>2021</v>
      </c>
      <c r="C872" s="94" t="inlineStr">
        <is>
          <t>2021-Q2</t>
        </is>
      </c>
      <c r="D872" s="186" t="n">
        <v>37287.3914024274</v>
      </c>
      <c r="E872" s="188" t="n">
        <v>697785056487.605</v>
      </c>
      <c r="F872" s="188" t="n">
        <v>141151477374.613</v>
      </c>
    </row>
    <row r="873" ht="15" customHeight="1" s="95">
      <c r="A873" s="143" t="n">
        <v>44337</v>
      </c>
      <c r="B873" s="94" t="n">
        <v>2021</v>
      </c>
      <c r="C873" s="94" t="inlineStr">
        <is>
          <t>2021-Q2</t>
        </is>
      </c>
      <c r="D873" s="186" t="n">
        <v>40437.7300962556</v>
      </c>
      <c r="E873" s="188" t="n">
        <v>759679496751.278</v>
      </c>
      <c r="F873" s="188" t="n">
        <v>95001812130.50999</v>
      </c>
    </row>
    <row r="874" ht="15" customHeight="1" s="95">
      <c r="A874" s="143" t="n">
        <v>44338</v>
      </c>
      <c r="B874" s="94" t="n">
        <v>2021</v>
      </c>
      <c r="C874" s="94" t="inlineStr">
        <is>
          <t>2021-Q2</t>
        </is>
      </c>
      <c r="D874" s="186" t="n">
        <v>37339.6342013463</v>
      </c>
      <c r="E874" s="188" t="n">
        <v>698762712553.734</v>
      </c>
      <c r="F874" s="188" t="n">
        <v>88706010988.2912</v>
      </c>
    </row>
    <row r="875" ht="15" customHeight="1" s="95">
      <c r="A875" s="143" t="n">
        <v>44339</v>
      </c>
      <c r="B875" s="94" t="n">
        <v>2021</v>
      </c>
      <c r="C875" s="94" t="inlineStr">
        <is>
          <t>2021-Q2</t>
        </is>
      </c>
      <c r="D875" s="186" t="n">
        <v>37520.3176754744</v>
      </c>
      <c r="E875" s="188" t="n">
        <v>702143968883.525</v>
      </c>
      <c r="F875" s="188" t="n">
        <v>61178935273.6533</v>
      </c>
    </row>
    <row r="876" ht="15" customHeight="1" s="95">
      <c r="A876" s="143" t="n">
        <v>44340</v>
      </c>
      <c r="B876" s="94" t="n">
        <v>2021</v>
      </c>
      <c r="C876" s="94" t="inlineStr">
        <is>
          <t>2021-Q2</t>
        </is>
      </c>
      <c r="D876" s="186" t="n">
        <v>34977.5278019624</v>
      </c>
      <c r="E876" s="188" t="n">
        <v>654558962027.584</v>
      </c>
      <c r="F876" s="188" t="n">
        <v>84358034875.51311</v>
      </c>
    </row>
    <row r="877" ht="15" customHeight="1" s="95">
      <c r="A877" s="143" t="n">
        <v>44341</v>
      </c>
      <c r="B877" s="94" t="n">
        <v>2021</v>
      </c>
      <c r="C877" s="94" t="inlineStr">
        <is>
          <t>2021-Q2</t>
        </is>
      </c>
      <c r="D877" s="186" t="n">
        <v>38642.4422973396</v>
      </c>
      <c r="E877" s="188" t="n">
        <v>723143072419.724</v>
      </c>
      <c r="F877" s="188" t="n">
        <v>71163197727.3351</v>
      </c>
    </row>
    <row r="878" ht="15" customHeight="1" s="95">
      <c r="A878" s="143" t="n">
        <v>44342</v>
      </c>
      <c r="B878" s="94" t="n">
        <v>2021</v>
      </c>
      <c r="C878" s="94" t="inlineStr">
        <is>
          <t>2021-Q2</t>
        </is>
      </c>
      <c r="D878" s="186" t="n">
        <v>38210.8052175939</v>
      </c>
      <c r="E878" s="188" t="n">
        <v>715248689989.895</v>
      </c>
      <c r="F878" s="188" t="n">
        <v>48724794157.9851</v>
      </c>
    </row>
    <row r="879" ht="15" customHeight="1" s="95">
      <c r="A879" s="143" t="n">
        <v>44343</v>
      </c>
      <c r="B879" s="94" t="n">
        <v>2021</v>
      </c>
      <c r="C879" s="94" t="inlineStr">
        <is>
          <t>2021-Q2</t>
        </is>
      </c>
      <c r="D879" s="186" t="n">
        <v>39406.9342441162</v>
      </c>
      <c r="E879" s="188" t="n">
        <v>737668726732.3831</v>
      </c>
      <c r="F879" s="188" t="n">
        <v>47026386118.4724</v>
      </c>
    </row>
    <row r="880" ht="15" customHeight="1" s="95">
      <c r="A880" s="143" t="n">
        <v>44344</v>
      </c>
      <c r="B880" s="94" t="n">
        <v>2021</v>
      </c>
      <c r="C880" s="94" t="inlineStr">
        <is>
          <t>2021-Q2</t>
        </is>
      </c>
      <c r="D880" s="186" t="n">
        <v>38642.8955543422</v>
      </c>
      <c r="E880" s="188" t="n">
        <v>723137484747.147</v>
      </c>
      <c r="F880" s="188" t="n">
        <v>40836817155.7197</v>
      </c>
    </row>
    <row r="881" ht="15" customHeight="1" s="95">
      <c r="A881" s="143" t="n">
        <v>44345</v>
      </c>
      <c r="B881" s="94" t="n">
        <v>2021</v>
      </c>
      <c r="C881" s="94" t="inlineStr">
        <is>
          <t>2021-Q2</t>
        </is>
      </c>
      <c r="D881" s="186" t="n">
        <v>35710.2209365299</v>
      </c>
      <c r="E881" s="188" t="n">
        <v>668521654364.67</v>
      </c>
      <c r="F881" s="188" t="n">
        <v>49991590067.738</v>
      </c>
    </row>
    <row r="882" ht="15" customHeight="1" s="95">
      <c r="A882" s="143" t="n">
        <v>44346</v>
      </c>
      <c r="B882" s="94" t="n">
        <v>2021</v>
      </c>
      <c r="C882" s="94" t="inlineStr">
        <is>
          <t>2021-Q2</t>
        </is>
      </c>
      <c r="D882" s="186" t="n">
        <v>34775.0794134728</v>
      </c>
      <c r="E882" s="188" t="n">
        <v>654239808356.6591</v>
      </c>
      <c r="F882" s="188" t="n">
        <v>43184025044.7728</v>
      </c>
    </row>
    <row r="883" ht="15" customHeight="1" s="95">
      <c r="A883" s="143" t="n">
        <v>44347</v>
      </c>
      <c r="B883" s="94" t="n">
        <v>2021</v>
      </c>
      <c r="C883" s="94" t="inlineStr">
        <is>
          <t>2021-Q2</t>
        </is>
      </c>
      <c r="D883" s="186" t="n">
        <v>35714.7520201807</v>
      </c>
      <c r="E883" s="188" t="n">
        <v>668664301773.542</v>
      </c>
      <c r="F883" s="188" t="n">
        <v>30650274657.6953</v>
      </c>
    </row>
    <row r="884" ht="15" customHeight="1" s="95">
      <c r="A884" s="143" t="n">
        <v>44348</v>
      </c>
      <c r="B884" s="94" t="n">
        <v>2021</v>
      </c>
      <c r="C884" s="94" t="inlineStr">
        <is>
          <t>2021-Q2</t>
        </is>
      </c>
      <c r="D884" s="186" t="n">
        <v>37340.6792659422</v>
      </c>
      <c r="E884" s="188" t="n">
        <v>699138611681.298</v>
      </c>
      <c r="F884" s="188" t="n">
        <v>37950798680.4817</v>
      </c>
    </row>
    <row r="885" ht="15" customHeight="1" s="95">
      <c r="A885" s="143" t="n">
        <v>44349</v>
      </c>
      <c r="B885" s="94" t="n">
        <v>2021</v>
      </c>
      <c r="C885" s="94" t="inlineStr">
        <is>
          <t>2021-Q2</t>
        </is>
      </c>
      <c r="D885" s="186" t="n">
        <v>36680.0682018028</v>
      </c>
      <c r="E885" s="188" t="n">
        <v>688726381047.179</v>
      </c>
      <c r="F885" s="188" t="n">
        <v>33536905027.7102</v>
      </c>
    </row>
    <row r="886" ht="15" customHeight="1" s="95">
      <c r="A886" s="143" t="n">
        <v>44350</v>
      </c>
      <c r="B886" s="94" t="n">
        <v>2021</v>
      </c>
      <c r="C886" s="94" t="inlineStr">
        <is>
          <t>2021-Q2</t>
        </is>
      </c>
      <c r="D886" s="186" t="n">
        <v>37685.7179817483</v>
      </c>
      <c r="E886" s="188" t="n">
        <v>704531333543.391</v>
      </c>
      <c r="F886" s="188" t="n">
        <v>31240691604.1993</v>
      </c>
    </row>
    <row r="887" ht="15" customHeight="1" s="95">
      <c r="A887" s="143" t="n">
        <v>44351</v>
      </c>
      <c r="B887" s="94" t="n">
        <v>2021</v>
      </c>
      <c r="C887" s="94" t="inlineStr">
        <is>
          <t>2021-Q2</t>
        </is>
      </c>
      <c r="D887" s="186" t="n">
        <v>39151.3161838003</v>
      </c>
      <c r="E887" s="188" t="n">
        <v>733150718114.455</v>
      </c>
      <c r="F887" s="188" t="n">
        <v>33396718844.5571</v>
      </c>
    </row>
    <row r="888" ht="15" customHeight="1" s="95">
      <c r="A888" s="143" t="n">
        <v>44352</v>
      </c>
      <c r="B888" s="94" t="n">
        <v>2021</v>
      </c>
      <c r="C888" s="94" t="inlineStr">
        <is>
          <t>2021-Q2</t>
        </is>
      </c>
      <c r="D888" s="186" t="n">
        <v>36938.7203113919</v>
      </c>
      <c r="E888" s="188" t="n">
        <v>691747462828.3621</v>
      </c>
      <c r="F888" s="188" t="n">
        <v>39345490149.3146</v>
      </c>
    </row>
    <row r="889" ht="15" customHeight="1" s="95">
      <c r="A889" s="143" t="n">
        <v>44353</v>
      </c>
      <c r="B889" s="94" t="n">
        <v>2021</v>
      </c>
      <c r="C889" s="94" t="inlineStr">
        <is>
          <t>2021-Q2</t>
        </is>
      </c>
      <c r="D889" s="186" t="n">
        <v>35546.9859648336</v>
      </c>
      <c r="E889" s="188" t="n">
        <v>662913486273.34</v>
      </c>
      <c r="F889" s="188" t="n">
        <v>34068172835.7667</v>
      </c>
    </row>
    <row r="890" ht="15" customHeight="1" s="95">
      <c r="A890" s="143" t="n">
        <v>44354</v>
      </c>
      <c r="B890" s="94" t="n">
        <v>2021</v>
      </c>
      <c r="C890" s="94" t="inlineStr">
        <is>
          <t>2021-Q2</t>
        </is>
      </c>
      <c r="D890" s="186" t="n">
        <v>35834.4744744042</v>
      </c>
      <c r="E890" s="188" t="n">
        <v>671131079523.729</v>
      </c>
      <c r="F890" s="188" t="n">
        <v>27689283070.8369</v>
      </c>
    </row>
    <row r="891" ht="15" customHeight="1" s="95">
      <c r="A891" s="143" t="n">
        <v>44355</v>
      </c>
      <c r="B891" s="94" t="n">
        <v>2021</v>
      </c>
      <c r="C891" s="94" t="inlineStr">
        <is>
          <t>2021-Q2</t>
        </is>
      </c>
      <c r="D891" s="186" t="n">
        <v>33451.3834071453</v>
      </c>
      <c r="E891" s="188" t="n">
        <v>626527049947.844</v>
      </c>
      <c r="F891" s="188" t="n">
        <v>33345528753.3402</v>
      </c>
    </row>
    <row r="892" ht="15" customHeight="1" s="95">
      <c r="A892" s="143" t="n">
        <v>44356</v>
      </c>
      <c r="B892" s="94" t="n">
        <v>2021</v>
      </c>
      <c r="C892" s="94" t="inlineStr">
        <is>
          <t>2021-Q2</t>
        </is>
      </c>
      <c r="D892" s="186" t="n">
        <v>33557.1506830918</v>
      </c>
      <c r="E892" s="188" t="n">
        <v>629018966290.401</v>
      </c>
      <c r="F892" s="188" t="n">
        <v>46727462986.3665</v>
      </c>
    </row>
    <row r="893" ht="15" customHeight="1" s="95">
      <c r="A893" s="143" t="n">
        <v>44357</v>
      </c>
      <c r="B893" s="94" t="n">
        <v>2021</v>
      </c>
      <c r="C893" s="94" t="inlineStr">
        <is>
          <t>2021-Q2</t>
        </is>
      </c>
      <c r="D893" s="186" t="n">
        <v>37553.6437585189</v>
      </c>
      <c r="E893" s="188" t="n">
        <v>705292677171.463</v>
      </c>
      <c r="F893" s="188" t="n">
        <v>54511387836.115</v>
      </c>
    </row>
    <row r="894" ht="15" customHeight="1" s="95">
      <c r="A894" s="143" t="n">
        <v>44358</v>
      </c>
      <c r="B894" s="94" t="n">
        <v>2021</v>
      </c>
      <c r="C894" s="94" t="inlineStr">
        <is>
          <t>2021-Q2</t>
        </is>
      </c>
      <c r="D894" s="186" t="n">
        <v>36903.3049067789</v>
      </c>
      <c r="E894" s="188" t="n">
        <v>691681868464.472</v>
      </c>
      <c r="F894" s="188" t="n">
        <v>42952476854.8346</v>
      </c>
    </row>
    <row r="895" ht="15" customHeight="1" s="95">
      <c r="A895" s="143" t="n">
        <v>44359</v>
      </c>
      <c r="B895" s="94" t="n">
        <v>2021</v>
      </c>
      <c r="C895" s="94" t="inlineStr">
        <is>
          <t>2021-Q2</t>
        </is>
      </c>
      <c r="D895" s="186" t="n">
        <v>37289.4325221022</v>
      </c>
      <c r="E895" s="188" t="n">
        <v>698528023663.532</v>
      </c>
      <c r="F895" s="188" t="n">
        <v>36358044262.7098</v>
      </c>
    </row>
    <row r="896" ht="15" customHeight="1" s="95">
      <c r="A896" s="143" t="n">
        <v>44360</v>
      </c>
      <c r="B896" s="94" t="n">
        <v>2021</v>
      </c>
      <c r="C896" s="94" t="inlineStr">
        <is>
          <t>2021-Q2</t>
        </is>
      </c>
      <c r="D896" s="186" t="n">
        <v>35666.1497787731</v>
      </c>
      <c r="E896" s="188" t="n">
        <v>668148892256.364</v>
      </c>
      <c r="F896" s="188" t="n">
        <v>35710196743.3206</v>
      </c>
    </row>
    <row r="897" ht="15" customHeight="1" s="95">
      <c r="A897" s="143" t="n">
        <v>44361</v>
      </c>
      <c r="B897" s="94" t="n">
        <v>2021</v>
      </c>
      <c r="C897" s="94" t="inlineStr">
        <is>
          <t>2021-Q2</t>
        </is>
      </c>
      <c r="D897" s="186" t="n">
        <v>39147.7056788</v>
      </c>
      <c r="E897" s="188" t="n">
        <v>733402631079.119</v>
      </c>
      <c r="F897" s="188" t="n">
        <v>38185633278.2872</v>
      </c>
    </row>
    <row r="898" ht="15" customHeight="1" s="95">
      <c r="A898" s="143" t="n">
        <v>44362</v>
      </c>
      <c r="B898" s="94" t="n">
        <v>2021</v>
      </c>
      <c r="C898" s="94" t="inlineStr">
        <is>
          <t>2021-Q2</t>
        </is>
      </c>
      <c r="D898" s="186" t="n">
        <v>40624.5130531615</v>
      </c>
      <c r="E898" s="188" t="n">
        <v>761104314502.287</v>
      </c>
      <c r="F898" s="188" t="n">
        <v>45836408439.4516</v>
      </c>
    </row>
    <row r="899" ht="15" customHeight="1" s="95">
      <c r="A899" s="143" t="n">
        <v>44363</v>
      </c>
      <c r="B899" s="94" t="n">
        <v>2021</v>
      </c>
      <c r="C899" s="94" t="inlineStr">
        <is>
          <t>2021-Q2</t>
        </is>
      </c>
      <c r="D899" s="186" t="n">
        <v>40378.2025497111</v>
      </c>
      <c r="E899" s="188" t="n">
        <v>756522207420.348</v>
      </c>
      <c r="F899" s="188" t="n">
        <v>36706248352.2371</v>
      </c>
    </row>
    <row r="900" ht="15" customHeight="1" s="95">
      <c r="A900" s="143" t="n">
        <v>44364</v>
      </c>
      <c r="B900" s="94" t="n">
        <v>2021</v>
      </c>
      <c r="C900" s="94" t="inlineStr">
        <is>
          <t>2021-Q2</t>
        </is>
      </c>
      <c r="D900" s="186" t="n">
        <v>38321.4546565742</v>
      </c>
      <c r="E900" s="188" t="n">
        <v>718016373177.285</v>
      </c>
      <c r="F900" s="188" t="n">
        <v>36563438889.7854</v>
      </c>
    </row>
    <row r="901" ht="15" customHeight="1" s="95">
      <c r="A901" s="143" t="n">
        <v>44365</v>
      </c>
      <c r="B901" s="94" t="n">
        <v>2021</v>
      </c>
      <c r="C901" s="94" t="inlineStr">
        <is>
          <t>2021-Q2</t>
        </is>
      </c>
      <c r="D901" s="186" t="n">
        <v>38193.619141944</v>
      </c>
      <c r="E901" s="188" t="n">
        <v>715652442155.126</v>
      </c>
      <c r="F901" s="188" t="n">
        <v>36330237284.4183</v>
      </c>
    </row>
    <row r="902" ht="15" customHeight="1" s="95">
      <c r="A902" s="143" t="n">
        <v>44366</v>
      </c>
      <c r="B902" s="94" t="n">
        <v>2021</v>
      </c>
      <c r="C902" s="94" t="inlineStr">
        <is>
          <t>2021-Q2</t>
        </is>
      </c>
      <c r="D902" s="186" t="n">
        <v>35881.1113713754</v>
      </c>
      <c r="E902" s="188" t="n">
        <v>673761687974.4919</v>
      </c>
      <c r="F902" s="188" t="n">
        <v>35162612172.7528</v>
      </c>
    </row>
    <row r="903" ht="15" customHeight="1" s="95">
      <c r="A903" s="143" t="n">
        <v>44367</v>
      </c>
      <c r="B903" s="94" t="n">
        <v>2021</v>
      </c>
      <c r="C903" s="94" t="inlineStr">
        <is>
          <t>2021-Q2</t>
        </is>
      </c>
      <c r="D903" s="186" t="n">
        <v>35581.642267732</v>
      </c>
      <c r="E903" s="188" t="n">
        <v>666901325910.371</v>
      </c>
      <c r="F903" s="188" t="n">
        <v>28858979691.7859</v>
      </c>
    </row>
    <row r="904" ht="15" customHeight="1" s="95">
      <c r="A904" s="143" t="n">
        <v>44368</v>
      </c>
      <c r="B904" s="94" t="n">
        <v>2021</v>
      </c>
      <c r="C904" s="94" t="inlineStr">
        <is>
          <t>2021-Q2</t>
        </is>
      </c>
      <c r="D904" s="186" t="n">
        <v>35787.0774052323</v>
      </c>
      <c r="E904" s="188" t="n">
        <v>670634370556.615</v>
      </c>
      <c r="F904" s="188" t="n">
        <v>35609127163.6224</v>
      </c>
    </row>
    <row r="905" ht="15" customHeight="1" s="95">
      <c r="A905" s="143" t="n">
        <v>44369</v>
      </c>
      <c r="B905" s="94" t="n">
        <v>2021</v>
      </c>
      <c r="C905" s="94" t="inlineStr">
        <is>
          <t>2021-Q2</t>
        </is>
      </c>
      <c r="D905" s="186" t="n">
        <v>31711.935467727</v>
      </c>
      <c r="E905" s="188" t="n">
        <v>598335733135.868</v>
      </c>
      <c r="F905" s="188" t="n">
        <v>51873870276.5225</v>
      </c>
    </row>
    <row r="906" ht="15" customHeight="1" s="95">
      <c r="A906" s="143" t="n">
        <v>44370</v>
      </c>
      <c r="B906" s="94" t="n">
        <v>2021</v>
      </c>
      <c r="C906" s="94" t="inlineStr">
        <is>
          <t>2021-Q2</t>
        </is>
      </c>
      <c r="D906" s="186" t="n">
        <v>32507.7387070269</v>
      </c>
      <c r="E906" s="188" t="n">
        <v>606580031922.724</v>
      </c>
      <c r="F906" s="188" t="n">
        <v>57443014757.9247</v>
      </c>
    </row>
    <row r="907" ht="15" customHeight="1" s="95">
      <c r="A907" s="143" t="n">
        <v>44371</v>
      </c>
      <c r="B907" s="94" t="n">
        <v>2021</v>
      </c>
      <c r="C907" s="94" t="inlineStr">
        <is>
          <t>2021-Q2</t>
        </is>
      </c>
      <c r="D907" s="186" t="n">
        <v>33702.617793714</v>
      </c>
      <c r="E907" s="188" t="n">
        <v>631634847766.231</v>
      </c>
      <c r="F907" s="188" t="n">
        <v>39798236962.4407</v>
      </c>
    </row>
    <row r="908" ht="15" customHeight="1" s="95">
      <c r="A908" s="143" t="n">
        <v>44372</v>
      </c>
      <c r="B908" s="94" t="n">
        <v>2021</v>
      </c>
      <c r="C908" s="94" t="inlineStr">
        <is>
          <t>2021-Q2</t>
        </is>
      </c>
      <c r="D908" s="186" t="n">
        <v>34675.4491053034</v>
      </c>
      <c r="E908" s="188" t="n">
        <v>650340461975.814</v>
      </c>
      <c r="F908" s="188" t="n">
        <v>31862051544.3499</v>
      </c>
    </row>
    <row r="909" ht="15" customHeight="1" s="95">
      <c r="A909" s="143" t="n">
        <v>44373</v>
      </c>
      <c r="B909" s="94" t="n">
        <v>2021</v>
      </c>
      <c r="C909" s="94" t="inlineStr">
        <is>
          <t>2021-Q2</t>
        </is>
      </c>
      <c r="D909" s="186" t="n">
        <v>31943.1364678631</v>
      </c>
      <c r="E909" s="188" t="n">
        <v>598703019611.453</v>
      </c>
      <c r="F909" s="188" t="n">
        <v>38635245431.3565</v>
      </c>
    </row>
    <row r="910" ht="15" customHeight="1" s="95">
      <c r="A910" s="143" t="n">
        <v>44374</v>
      </c>
      <c r="B910" s="94" t="n">
        <v>2021</v>
      </c>
      <c r="C910" s="94" t="inlineStr">
        <is>
          <t>2021-Q2</t>
        </is>
      </c>
      <c r="D910" s="186" t="n">
        <v>32023.9739017749</v>
      </c>
      <c r="E910" s="188" t="n">
        <v>600235334320.825</v>
      </c>
      <c r="F910" s="188" t="n">
        <v>36873109419.9024</v>
      </c>
    </row>
    <row r="911" ht="15" customHeight="1" s="95">
      <c r="A911" s="143" t="n">
        <v>44375</v>
      </c>
      <c r="B911" s="94" t="n">
        <v>2021</v>
      </c>
      <c r="C911" s="94" t="inlineStr">
        <is>
          <t>2021-Q2</t>
        </is>
      </c>
      <c r="D911" s="186" t="n">
        <v>34607.2932740834</v>
      </c>
      <c r="E911" s="188" t="n">
        <v>649262127990.376</v>
      </c>
      <c r="F911" s="188" t="n">
        <v>34335452117.3263</v>
      </c>
    </row>
    <row r="912" ht="15" customHeight="1" s="95">
      <c r="A912" s="143" t="n">
        <v>44376</v>
      </c>
      <c r="B912" s="94" t="n">
        <v>2021</v>
      </c>
      <c r="C912" s="94" t="inlineStr">
        <is>
          <t>2021-Q2</t>
        </is>
      </c>
      <c r="D912" s="186" t="n">
        <v>34556.8421269449</v>
      </c>
      <c r="E912" s="188" t="n">
        <v>647741224116.934</v>
      </c>
      <c r="F912" s="188" t="n">
        <v>32453802891.0152</v>
      </c>
    </row>
    <row r="913" ht="15" customHeight="1" s="95">
      <c r="A913" s="143" t="n">
        <v>44377</v>
      </c>
      <c r="B913" s="94" t="n">
        <v>2021</v>
      </c>
      <c r="C913" s="94" t="inlineStr">
        <is>
          <t>2021-Q2</t>
        </is>
      </c>
      <c r="D913" s="186" t="n">
        <v>35968.9936679704</v>
      </c>
      <c r="E913" s="188" t="n">
        <v>674231340724.415</v>
      </c>
      <c r="F913" s="188" t="n">
        <v>35121257875.5466</v>
      </c>
    </row>
    <row r="914" ht="15" customHeight="1" s="95">
      <c r="A914" s="143" t="n">
        <v>44378</v>
      </c>
      <c r="B914" s="94" t="n">
        <v>2021</v>
      </c>
      <c r="C914" s="94" t="inlineStr">
        <is>
          <t>2021-Q3</t>
        </is>
      </c>
      <c r="D914" s="186" t="n">
        <v>35171.4863048501</v>
      </c>
      <c r="E914" s="188" t="n">
        <v>660200427590.478</v>
      </c>
      <c r="F914" s="188" t="n">
        <v>31024153846.8785</v>
      </c>
    </row>
    <row r="915" ht="15" customHeight="1" s="95">
      <c r="A915" s="143" t="n">
        <v>44379</v>
      </c>
      <c r="B915" s="94" t="n">
        <v>2021</v>
      </c>
      <c r="C915" s="94" t="inlineStr">
        <is>
          <t>2021-Q3</t>
        </is>
      </c>
      <c r="D915" s="186" t="n">
        <v>33677.5662359226</v>
      </c>
      <c r="E915" s="188" t="n">
        <v>629863895571.7469</v>
      </c>
      <c r="F915" s="188" t="n">
        <v>29129630236.1408</v>
      </c>
    </row>
    <row r="916" ht="15" customHeight="1" s="95">
      <c r="A916" s="143" t="n">
        <v>44380</v>
      </c>
      <c r="B916" s="94" t="n">
        <v>2021</v>
      </c>
      <c r="C916" s="94" t="inlineStr">
        <is>
          <t>2021-Q3</t>
        </is>
      </c>
      <c r="D916" s="186" t="n">
        <v>33950.786555181</v>
      </c>
      <c r="E916" s="188" t="n">
        <v>633684390025.561</v>
      </c>
      <c r="F916" s="188" t="n">
        <v>25084046353.1695</v>
      </c>
    </row>
    <row r="917" ht="15" customHeight="1" s="95">
      <c r="A917" s="143" t="n">
        <v>44381</v>
      </c>
      <c r="B917" s="94" t="n">
        <v>2021</v>
      </c>
      <c r="C917" s="94" t="inlineStr">
        <is>
          <t>2021-Q3</t>
        </is>
      </c>
      <c r="D917" s="186" t="n">
        <v>34729.8907780102</v>
      </c>
      <c r="E917" s="188" t="n">
        <v>650382046624.65</v>
      </c>
      <c r="F917" s="188" t="n">
        <v>22986053604.7043</v>
      </c>
    </row>
    <row r="918" ht="15" customHeight="1" s="95">
      <c r="A918" s="143" t="n">
        <v>44382</v>
      </c>
      <c r="B918" s="94" t="n">
        <v>2021</v>
      </c>
      <c r="C918" s="94" t="inlineStr">
        <is>
          <t>2021-Q3</t>
        </is>
      </c>
      <c r="D918" s="186" t="n">
        <v>35394.2130740809</v>
      </c>
      <c r="E918" s="188" t="n">
        <v>663571591568.196</v>
      </c>
      <c r="F918" s="188" t="n">
        <v>22727930417.7488</v>
      </c>
    </row>
    <row r="919" ht="15" customHeight="1" s="95">
      <c r="A919" s="143" t="n">
        <v>44383</v>
      </c>
      <c r="B919" s="94" t="n">
        <v>2021</v>
      </c>
      <c r="C919" s="94" t="inlineStr">
        <is>
          <t>2021-Q3</t>
        </is>
      </c>
      <c r="D919" s="186" t="n">
        <v>33928.1342183715</v>
      </c>
      <c r="E919" s="188" t="n">
        <v>636061920914.828</v>
      </c>
      <c r="F919" s="188" t="n">
        <v>25894820184.7451</v>
      </c>
    </row>
    <row r="920" ht="15" customHeight="1" s="95">
      <c r="A920" s="143" t="n">
        <v>44384</v>
      </c>
      <c r="B920" s="94" t="n">
        <v>2021</v>
      </c>
      <c r="C920" s="94" t="inlineStr">
        <is>
          <t>2021-Q3</t>
        </is>
      </c>
      <c r="D920" s="186" t="n">
        <v>34149.9898147741</v>
      </c>
      <c r="E920" s="188" t="n">
        <v>640405812761.686</v>
      </c>
      <c r="F920" s="188" t="n">
        <v>26106856611.9233</v>
      </c>
    </row>
    <row r="921" ht="15" customHeight="1" s="95">
      <c r="A921" s="143" t="n">
        <v>44385</v>
      </c>
      <c r="B921" s="94" t="n">
        <v>2021</v>
      </c>
      <c r="C921" s="94" t="inlineStr">
        <is>
          <t>2021-Q3</t>
        </is>
      </c>
      <c r="D921" s="186" t="n">
        <v>33932.2546383154</v>
      </c>
      <c r="E921" s="188" t="n">
        <v>636246944189.26</v>
      </c>
      <c r="F921" s="188" t="n">
        <v>23692220470.1351</v>
      </c>
    </row>
    <row r="922" ht="15" customHeight="1" s="95">
      <c r="A922" s="143" t="n">
        <v>44386</v>
      </c>
      <c r="B922" s="94" t="n">
        <v>2021</v>
      </c>
      <c r="C922" s="94" t="inlineStr">
        <is>
          <t>2021-Q3</t>
        </is>
      </c>
      <c r="D922" s="186" t="n">
        <v>32933.5781992924</v>
      </c>
      <c r="E922" s="188" t="n">
        <v>617861633771.989</v>
      </c>
      <c r="F922" s="188" t="n">
        <v>29065577052.2972</v>
      </c>
    </row>
    <row r="923" ht="15" customHeight="1" s="95">
      <c r="A923" s="143" t="n">
        <v>44387</v>
      </c>
      <c r="B923" s="94" t="n">
        <v>2021</v>
      </c>
      <c r="C923" s="94" t="inlineStr">
        <is>
          <t>2021-Q3</t>
        </is>
      </c>
      <c r="D923" s="186" t="n">
        <v>33971.297749758</v>
      </c>
      <c r="E923" s="188" t="n">
        <v>637000370375.4659</v>
      </c>
      <c r="F923" s="188" t="n">
        <v>24282108111.2157</v>
      </c>
    </row>
    <row r="924" ht="15" customHeight="1" s="95">
      <c r="A924" s="143" t="n">
        <v>44388</v>
      </c>
      <c r="B924" s="94" t="n">
        <v>2021</v>
      </c>
      <c r="C924" s="94" t="inlineStr">
        <is>
          <t>2021-Q3</t>
        </is>
      </c>
      <c r="D924" s="186" t="n">
        <v>33704.5384744051</v>
      </c>
      <c r="E924" s="188" t="n">
        <v>632185737683.155</v>
      </c>
      <c r="F924" s="188" t="n">
        <v>20558304483.5941</v>
      </c>
    </row>
    <row r="925" ht="15" customHeight="1" s="95">
      <c r="A925" s="143" t="n">
        <v>44389</v>
      </c>
      <c r="B925" s="94" t="n">
        <v>2021</v>
      </c>
      <c r="C925" s="94" t="inlineStr">
        <is>
          <t>2021-Q3</t>
        </is>
      </c>
      <c r="D925" s="186" t="n">
        <v>34299.9380165174</v>
      </c>
      <c r="E925" s="188" t="n">
        <v>643335853171.135</v>
      </c>
      <c r="F925" s="188" t="n">
        <v>17798828844.2723</v>
      </c>
    </row>
    <row r="926" ht="15" customHeight="1" s="95">
      <c r="A926" s="143" t="n">
        <v>44390</v>
      </c>
      <c r="B926" s="94" t="n">
        <v>2021</v>
      </c>
      <c r="C926" s="94" t="inlineStr">
        <is>
          <t>2021-Q3</t>
        </is>
      </c>
      <c r="D926" s="186" t="n">
        <v>33262.6543524462</v>
      </c>
      <c r="E926" s="188" t="n">
        <v>623350567666.981</v>
      </c>
      <c r="F926" s="188" t="n">
        <v>21683885320.6113</v>
      </c>
    </row>
    <row r="927" ht="15" customHeight="1" s="95">
      <c r="A927" s="143" t="n">
        <v>44391</v>
      </c>
      <c r="B927" s="94" t="n">
        <v>2021</v>
      </c>
      <c r="C927" s="94" t="inlineStr">
        <is>
          <t>2021-Q3</t>
        </is>
      </c>
      <c r="D927" s="186" t="n">
        <v>32676.3838009602</v>
      </c>
      <c r="E927" s="188" t="n">
        <v>613002045101.37</v>
      </c>
      <c r="F927" s="188" t="n">
        <v>19932531699.6246</v>
      </c>
    </row>
    <row r="928" ht="15" customHeight="1" s="95">
      <c r="A928" s="143" t="n">
        <v>44392</v>
      </c>
      <c r="B928" s="94" t="n">
        <v>2021</v>
      </c>
      <c r="C928" s="94" t="inlineStr">
        <is>
          <t>2021-Q3</t>
        </is>
      </c>
      <c r="D928" s="186" t="n">
        <v>32878.5018735715</v>
      </c>
      <c r="E928" s="188" t="n">
        <v>616691143979.958</v>
      </c>
      <c r="F928" s="188" t="n">
        <v>21779069066.446</v>
      </c>
    </row>
    <row r="929" ht="15" customHeight="1" s="95">
      <c r="A929" s="143" t="n">
        <v>44393</v>
      </c>
      <c r="B929" s="94" t="n">
        <v>2021</v>
      </c>
      <c r="C929" s="94" t="inlineStr">
        <is>
          <t>2021-Q3</t>
        </is>
      </c>
      <c r="D929" s="186" t="n">
        <v>31726.0388339098</v>
      </c>
      <c r="E929" s="188" t="n">
        <v>595342431373.864</v>
      </c>
      <c r="F929" s="188" t="n">
        <v>21557729227.2844</v>
      </c>
    </row>
    <row r="930" ht="15" customHeight="1" s="95">
      <c r="A930" s="143" t="n">
        <v>44394</v>
      </c>
      <c r="B930" s="94" t="n">
        <v>2021</v>
      </c>
      <c r="C930" s="94" t="inlineStr">
        <is>
          <t>2021-Q3</t>
        </is>
      </c>
      <c r="D930" s="186" t="n">
        <v>31399.6531286821</v>
      </c>
      <c r="E930" s="188" t="n">
        <v>588495008675.5179</v>
      </c>
      <c r="F930" s="188" t="n">
        <v>22671859962.6636</v>
      </c>
    </row>
    <row r="931" ht="15" customHeight="1" s="95">
      <c r="A931" s="143" t="n">
        <v>44395</v>
      </c>
      <c r="B931" s="94" t="n">
        <v>2021</v>
      </c>
      <c r="C931" s="94" t="inlineStr">
        <is>
          <t>2021-Q3</t>
        </is>
      </c>
      <c r="D931" s="186" t="n">
        <v>31588.6713510167</v>
      </c>
      <c r="E931" s="188" t="n">
        <v>592581931071.212</v>
      </c>
      <c r="F931" s="188" t="n">
        <v>17715455994.7894</v>
      </c>
    </row>
    <row r="932" ht="15" customHeight="1" s="95">
      <c r="A932" s="143" t="n">
        <v>44396</v>
      </c>
      <c r="B932" s="94" t="n">
        <v>2021</v>
      </c>
      <c r="C932" s="94" t="inlineStr">
        <is>
          <t>2021-Q3</t>
        </is>
      </c>
      <c r="D932" s="186" t="n">
        <v>31919.3939225546</v>
      </c>
      <c r="E932" s="188" t="n">
        <v>597872278369.111</v>
      </c>
      <c r="F932" s="188" t="n">
        <v>17742105807.8955</v>
      </c>
    </row>
    <row r="933" ht="15" customHeight="1" s="95">
      <c r="A933" s="143" t="n">
        <v>44397</v>
      </c>
      <c r="B933" s="94" t="n">
        <v>2021</v>
      </c>
      <c r="C933" s="94" t="inlineStr">
        <is>
          <t>2021-Q3</t>
        </is>
      </c>
      <c r="D933" s="186" t="n">
        <v>30928.2119088492</v>
      </c>
      <c r="E933" s="188" t="n">
        <v>580252472382.712</v>
      </c>
      <c r="F933" s="188" t="n">
        <v>20095540828.2957</v>
      </c>
    </row>
    <row r="934" ht="15" customHeight="1" s="95">
      <c r="A934" s="143" t="n">
        <v>44398</v>
      </c>
      <c r="B934" s="94" t="n">
        <v>2021</v>
      </c>
      <c r="C934" s="94" t="inlineStr">
        <is>
          <t>2021-Q3</t>
        </is>
      </c>
      <c r="D934" s="186" t="n">
        <v>29971.9037836121</v>
      </c>
      <c r="E934" s="188" t="n">
        <v>561743228116.548</v>
      </c>
      <c r="F934" s="188" t="n">
        <v>23000299061.8963</v>
      </c>
    </row>
    <row r="935" ht="15" customHeight="1" s="95">
      <c r="A935" s="143" t="n">
        <v>44399</v>
      </c>
      <c r="B935" s="94" t="n">
        <v>2021</v>
      </c>
      <c r="C935" s="94" t="inlineStr">
        <is>
          <t>2021-Q3</t>
        </is>
      </c>
      <c r="D935" s="186" t="n">
        <v>32383.7811269687</v>
      </c>
      <c r="E935" s="188" t="n">
        <v>605357009416.756</v>
      </c>
      <c r="F935" s="188" t="n">
        <v>29070652059.995</v>
      </c>
    </row>
    <row r="936" ht="15" customHeight="1" s="95">
      <c r="A936" s="143" t="n">
        <v>44400</v>
      </c>
      <c r="B936" s="94" t="n">
        <v>2021</v>
      </c>
      <c r="C936" s="94" t="inlineStr">
        <is>
          <t>2021-Q3</t>
        </is>
      </c>
      <c r="D936" s="186" t="n">
        <v>32409.4997671754</v>
      </c>
      <c r="E936" s="188" t="n">
        <v>607621607805.35</v>
      </c>
      <c r="F936" s="188" t="n">
        <v>19741588059.4523</v>
      </c>
    </row>
    <row r="937" ht="15" customHeight="1" s="95">
      <c r="A937" s="143" t="n">
        <v>44401</v>
      </c>
      <c r="B937" s="94" t="n">
        <v>2021</v>
      </c>
      <c r="C937" s="94" t="inlineStr">
        <is>
          <t>2021-Q3</t>
        </is>
      </c>
      <c r="D937" s="186" t="n">
        <v>33455.5512727226</v>
      </c>
      <c r="E937" s="188" t="n">
        <v>627747173675.433</v>
      </c>
      <c r="F937" s="188" t="n">
        <v>22937379734.6338</v>
      </c>
    </row>
    <row r="938" ht="15" customHeight="1" s="95">
      <c r="A938" s="143" t="n">
        <v>44402</v>
      </c>
      <c r="B938" s="94" t="n">
        <v>2021</v>
      </c>
      <c r="C938" s="94" t="inlineStr">
        <is>
          <t>2021-Q3</t>
        </is>
      </c>
      <c r="D938" s="186" t="n">
        <v>34213.5999321766</v>
      </c>
      <c r="E938" s="188" t="n">
        <v>642012590040.641</v>
      </c>
      <c r="F938" s="188" t="n">
        <v>22120323672.3672</v>
      </c>
    </row>
    <row r="939" ht="15" customHeight="1" s="95">
      <c r="A939" s="143" t="n">
        <v>44403</v>
      </c>
      <c r="B939" s="94" t="n">
        <v>2021</v>
      </c>
      <c r="C939" s="94" t="inlineStr">
        <is>
          <t>2021-Q3</t>
        </is>
      </c>
      <c r="D939" s="186" t="n">
        <v>35456.1246607668</v>
      </c>
      <c r="E939" s="188" t="n">
        <v>664681184168.776</v>
      </c>
      <c r="F939" s="188" t="n">
        <v>20929083220.5368</v>
      </c>
    </row>
    <row r="940" ht="15" customHeight="1" s="95">
      <c r="A940" s="143" t="n">
        <v>44404</v>
      </c>
      <c r="B940" s="94" t="n">
        <v>2021</v>
      </c>
      <c r="C940" s="94" t="inlineStr">
        <is>
          <t>2021-Q3</t>
        </is>
      </c>
      <c r="D940" s="186" t="n">
        <v>37281.9180921766</v>
      </c>
      <c r="E940" s="188" t="n">
        <v>701921012034.6639</v>
      </c>
      <c r="F940" s="188" t="n">
        <v>53550491997.7231</v>
      </c>
    </row>
    <row r="941" ht="15" customHeight="1" s="95">
      <c r="A941" s="143" t="n">
        <v>44405</v>
      </c>
      <c r="B941" s="94" t="n">
        <v>2021</v>
      </c>
      <c r="C941" s="94" t="inlineStr">
        <is>
          <t>2021-Q3</t>
        </is>
      </c>
      <c r="D941" s="186" t="n">
        <v>39076.5937706323</v>
      </c>
      <c r="E941" s="188" t="n">
        <v>732311951673.355</v>
      </c>
      <c r="F941" s="188" t="n">
        <v>36401287454.4306</v>
      </c>
    </row>
    <row r="942" ht="15" customHeight="1" s="95">
      <c r="A942" s="143" t="n">
        <v>44406</v>
      </c>
      <c r="B942" s="94" t="n">
        <v>2021</v>
      </c>
      <c r="C942" s="94" t="inlineStr">
        <is>
          <t>2021-Q3</t>
        </is>
      </c>
      <c r="D942" s="186" t="n">
        <v>40031.198244448</v>
      </c>
      <c r="E942" s="188" t="n">
        <v>751371299910.515</v>
      </c>
      <c r="F942" s="188" t="n">
        <v>41369107422.717</v>
      </c>
    </row>
    <row r="943" ht="15" customHeight="1" s="95">
      <c r="A943" s="143" t="n">
        <v>44407</v>
      </c>
      <c r="B943" s="94" t="n">
        <v>2021</v>
      </c>
      <c r="C943" s="94" t="inlineStr">
        <is>
          <t>2021-Q3</t>
        </is>
      </c>
      <c r="D943" s="186" t="n">
        <v>39977.7569392276</v>
      </c>
      <c r="E943" s="188" t="n">
        <v>750407963580.473</v>
      </c>
      <c r="F943" s="188" t="n">
        <v>28717414113.0173</v>
      </c>
    </row>
    <row r="944" ht="15" customHeight="1" s="95">
      <c r="A944" s="143" t="n">
        <v>44408</v>
      </c>
      <c r="B944" s="94" t="n">
        <v>2021</v>
      </c>
      <c r="C944" s="94" t="inlineStr">
        <is>
          <t>2021-Q3</t>
        </is>
      </c>
      <c r="D944" s="186" t="n">
        <v>41936.2614786772</v>
      </c>
      <c r="E944" s="188" t="n">
        <v>786531956383.6479</v>
      </c>
      <c r="F944" s="188" t="n">
        <v>35530501782.5209</v>
      </c>
    </row>
    <row r="945" ht="15" customHeight="1" s="95">
      <c r="A945" s="143" t="n">
        <v>44409</v>
      </c>
      <c r="B945" s="94" t="n">
        <v>2021</v>
      </c>
      <c r="C945" s="94" t="inlineStr">
        <is>
          <t>2021-Q3</t>
        </is>
      </c>
      <c r="D945" s="186" t="n">
        <v>41754.1666043528</v>
      </c>
      <c r="E945" s="188" t="n">
        <v>784039345926.1899</v>
      </c>
      <c r="F945" s="188" t="n">
        <v>28437941447.4993</v>
      </c>
    </row>
    <row r="946" ht="15" customHeight="1" s="95">
      <c r="A946" s="143" t="n">
        <v>44410</v>
      </c>
      <c r="B946" s="94" t="n">
        <v>2021</v>
      </c>
      <c r="C946" s="94" t="inlineStr">
        <is>
          <t>2021-Q3</t>
        </is>
      </c>
      <c r="D946" s="186" t="n">
        <v>39914.8297584879</v>
      </c>
      <c r="E946" s="188" t="n">
        <v>747403845431.828</v>
      </c>
      <c r="F946" s="188" t="n">
        <v>28555173661.6638</v>
      </c>
    </row>
    <row r="947" ht="15" customHeight="1" s="95">
      <c r="A947" s="143" t="n">
        <v>44411</v>
      </c>
      <c r="B947" s="94" t="n">
        <v>2021</v>
      </c>
      <c r="C947" s="94" t="inlineStr">
        <is>
          <t>2021-Q3</t>
        </is>
      </c>
      <c r="D947" s="186" t="n">
        <v>39278.7665081037</v>
      </c>
      <c r="E947" s="188" t="n">
        <v>737440183775.5551</v>
      </c>
      <c r="F947" s="188" t="n">
        <v>28057528866.2621</v>
      </c>
    </row>
    <row r="948" ht="15" customHeight="1" s="95">
      <c r="A948" s="143" t="n">
        <v>44412</v>
      </c>
      <c r="B948" s="94" t="n">
        <v>2021</v>
      </c>
      <c r="C948" s="94" t="inlineStr">
        <is>
          <t>2021-Q3</t>
        </is>
      </c>
      <c r="D948" s="186" t="n">
        <v>38368.354011979</v>
      </c>
      <c r="E948" s="188" t="n">
        <v>720835141114.334</v>
      </c>
      <c r="F948" s="188" t="n">
        <v>28422901237.1695</v>
      </c>
    </row>
    <row r="949" ht="15" customHeight="1" s="95">
      <c r="A949" s="143" t="n">
        <v>44413</v>
      </c>
      <c r="B949" s="94" t="n">
        <v>2021</v>
      </c>
      <c r="C949" s="94" t="inlineStr">
        <is>
          <t>2021-Q3</t>
        </is>
      </c>
      <c r="D949" s="186" t="n">
        <v>39751.5845750986</v>
      </c>
      <c r="E949" s="188" t="n">
        <v>747085951935.0551</v>
      </c>
      <c r="F949" s="188" t="n">
        <v>27751046040.3293</v>
      </c>
    </row>
    <row r="950" ht="15" customHeight="1" s="95">
      <c r="A950" s="143" t="n">
        <v>44414</v>
      </c>
      <c r="B950" s="94" t="n">
        <v>2021</v>
      </c>
      <c r="C950" s="94" t="inlineStr">
        <is>
          <t>2021-Q3</t>
        </is>
      </c>
      <c r="D950" s="186" t="n">
        <v>40825.3819404497</v>
      </c>
      <c r="E950" s="188" t="n">
        <v>768416417393.597</v>
      </c>
      <c r="F950" s="188" t="n">
        <v>38527930905.3152</v>
      </c>
    </row>
    <row r="951" ht="15" customHeight="1" s="95">
      <c r="A951" s="143" t="n">
        <v>44415</v>
      </c>
      <c r="B951" s="94" t="n">
        <v>2021</v>
      </c>
      <c r="C951" s="94" t="inlineStr">
        <is>
          <t>2021-Q3</t>
        </is>
      </c>
      <c r="D951" s="186" t="n">
        <v>42802.1371747414</v>
      </c>
      <c r="E951" s="188" t="n">
        <v>803853127161.281</v>
      </c>
      <c r="F951" s="188" t="n">
        <v>40840608016.8431</v>
      </c>
    </row>
    <row r="952" ht="15" customHeight="1" s="95">
      <c r="A952" s="143" t="n">
        <v>44416</v>
      </c>
      <c r="B952" s="94" t="n">
        <v>2021</v>
      </c>
      <c r="C952" s="94" t="inlineStr">
        <is>
          <t>2021-Q3</t>
        </is>
      </c>
      <c r="D952" s="186" t="n">
        <v>44647.5776030012</v>
      </c>
      <c r="E952" s="188" t="n">
        <v>838457486987.611</v>
      </c>
      <c r="F952" s="188" t="n">
        <v>42725276705.4652</v>
      </c>
    </row>
    <row r="953" ht="15" customHeight="1" s="95">
      <c r="A953" s="143" t="n">
        <v>44417</v>
      </c>
      <c r="B953" s="94" t="n">
        <v>2021</v>
      </c>
      <c r="C953" s="94" t="inlineStr">
        <is>
          <t>2021-Q3</t>
        </is>
      </c>
      <c r="D953" s="186" t="n">
        <v>43753.2178626463</v>
      </c>
      <c r="E953" s="188" t="n">
        <v>821704814136.011</v>
      </c>
      <c r="F953" s="188" t="n">
        <v>39633218478.6153</v>
      </c>
    </row>
    <row r="954" ht="15" customHeight="1" s="95">
      <c r="A954" s="143" t="n">
        <v>44418</v>
      </c>
      <c r="B954" s="94" t="n">
        <v>2021</v>
      </c>
      <c r="C954" s="94" t="inlineStr">
        <is>
          <t>2021-Q3</t>
        </is>
      </c>
      <c r="D954" s="186" t="n">
        <v>46311.0018985769</v>
      </c>
      <c r="E954" s="188" t="n">
        <v>861862844505.61</v>
      </c>
      <c r="F954" s="188" t="n">
        <v>42726733997.8578</v>
      </c>
    </row>
    <row r="955" ht="15" customHeight="1" s="95">
      <c r="A955" s="143" t="n">
        <v>44419</v>
      </c>
      <c r="B955" s="94" t="n">
        <v>2021</v>
      </c>
      <c r="C955" s="94" t="inlineStr">
        <is>
          <t>2021-Q3</t>
        </is>
      </c>
      <c r="D955" s="186" t="n">
        <v>45639.5140189071</v>
      </c>
      <c r="E955" s="188" t="n">
        <v>854344953098.755</v>
      </c>
      <c r="F955" s="188" t="n">
        <v>35669862361.5463</v>
      </c>
    </row>
    <row r="956" ht="15" customHeight="1" s="95">
      <c r="A956" s="143" t="n">
        <v>44420</v>
      </c>
      <c r="B956" s="94" t="n">
        <v>2021</v>
      </c>
      <c r="C956" s="94" t="inlineStr">
        <is>
          <t>2021-Q3</t>
        </is>
      </c>
      <c r="D956" s="186" t="n">
        <v>45652.0601250693</v>
      </c>
      <c r="E956" s="188" t="n">
        <v>857660568377.386</v>
      </c>
      <c r="F956" s="188" t="n">
        <v>35679832771.3715</v>
      </c>
    </row>
    <row r="957" ht="15" customHeight="1" s="95">
      <c r="A957" s="143" t="n">
        <v>44421</v>
      </c>
      <c r="B957" s="94" t="n">
        <v>2021</v>
      </c>
      <c r="C957" s="94" t="inlineStr">
        <is>
          <t>2021-Q3</t>
        </is>
      </c>
      <c r="D957" s="186" t="n">
        <v>44495.2097932796</v>
      </c>
      <c r="E957" s="188" t="n">
        <v>836054770491.896</v>
      </c>
      <c r="F957" s="188" t="n">
        <v>35838614930.0404</v>
      </c>
    </row>
    <row r="958" ht="15" customHeight="1" s="95">
      <c r="A958" s="143" t="n">
        <v>44422</v>
      </c>
      <c r="B958" s="94" t="n">
        <v>2021</v>
      </c>
      <c r="C958" s="94" t="inlineStr">
        <is>
          <t>2021-Q3</t>
        </is>
      </c>
      <c r="D958" s="186" t="n">
        <v>47717.270527665</v>
      </c>
      <c r="E958" s="188" t="n">
        <v>895084141168.8</v>
      </c>
      <c r="F958" s="188" t="n">
        <v>34320865037.1646</v>
      </c>
    </row>
    <row r="959" ht="15" customHeight="1" s="95">
      <c r="A959" s="143" t="n">
        <v>44423</v>
      </c>
      <c r="B959" s="94" t="n">
        <v>2021</v>
      </c>
      <c r="C959" s="94" t="inlineStr">
        <is>
          <t>2021-Q3</t>
        </is>
      </c>
      <c r="D959" s="186" t="n">
        <v>47088.8531345147</v>
      </c>
      <c r="E959" s="188" t="n">
        <v>886593539912.814</v>
      </c>
      <c r="F959" s="188" t="n">
        <v>33294851810.6485</v>
      </c>
    </row>
    <row r="960" ht="15" customHeight="1" s="95">
      <c r="A960" s="143" t="n">
        <v>44424</v>
      </c>
      <c r="B960" s="94" t="n">
        <v>2021</v>
      </c>
      <c r="C960" s="94" t="inlineStr">
        <is>
          <t>2021-Q3</t>
        </is>
      </c>
      <c r="D960" s="186" t="n">
        <v>47025.0032301128</v>
      </c>
      <c r="E960" s="188" t="n">
        <v>882888202377.709</v>
      </c>
      <c r="F960" s="188" t="n">
        <v>32863850458.0053</v>
      </c>
    </row>
    <row r="961" ht="15" customHeight="1" s="95">
      <c r="A961" s="143" t="n">
        <v>44425</v>
      </c>
      <c r="B961" s="94" t="n">
        <v>2021</v>
      </c>
      <c r="C961" s="94" t="inlineStr">
        <is>
          <t>2021-Q3</t>
        </is>
      </c>
      <c r="D961" s="186" t="n">
        <v>46031.7575436258</v>
      </c>
      <c r="E961" s="188" t="n">
        <v>866391335029.369</v>
      </c>
      <c r="F961" s="188" t="n">
        <v>34221605780.0014</v>
      </c>
    </row>
    <row r="962" ht="15" customHeight="1" s="95">
      <c r="A962" s="143" t="n">
        <v>44426</v>
      </c>
      <c r="B962" s="94" t="n">
        <v>2021</v>
      </c>
      <c r="C962" s="94" t="inlineStr">
        <is>
          <t>2021-Q3</t>
        </is>
      </c>
      <c r="D962" s="186" t="n">
        <v>44534.4548542199</v>
      </c>
      <c r="E962" s="188" t="n">
        <v>836777066605.98</v>
      </c>
      <c r="F962" s="188" t="n">
        <v>34488116651.1845</v>
      </c>
    </row>
    <row r="963" ht="15" customHeight="1" s="95">
      <c r="A963" s="143" t="n">
        <v>44427</v>
      </c>
      <c r="B963" s="94" t="n">
        <v>2021</v>
      </c>
      <c r="C963" s="94" t="inlineStr">
        <is>
          <t>2021-Q3</t>
        </is>
      </c>
      <c r="D963" s="186" t="n">
        <v>45015.4655460854</v>
      </c>
      <c r="E963" s="188" t="n">
        <v>847143004614.999</v>
      </c>
      <c r="F963" s="188" t="n">
        <v>34668999387.8382</v>
      </c>
    </row>
    <row r="964" ht="15" customHeight="1" s="95">
      <c r="A964" s="143" t="n">
        <v>44428</v>
      </c>
      <c r="B964" s="94" t="n">
        <v>2021</v>
      </c>
      <c r="C964" s="94" t="inlineStr">
        <is>
          <t>2021-Q3</t>
        </is>
      </c>
      <c r="D964" s="186" t="n">
        <v>46745.0346229699</v>
      </c>
      <c r="E964" s="188" t="n">
        <v>867650725472.864</v>
      </c>
      <c r="F964" s="188" t="n">
        <v>38434805722.9527</v>
      </c>
    </row>
    <row r="965" ht="15" customHeight="1" s="95">
      <c r="A965" s="143" t="n">
        <v>44429</v>
      </c>
      <c r="B965" s="94" t="n">
        <v>2021</v>
      </c>
      <c r="C965" s="94" t="inlineStr">
        <is>
          <t>2021-Q3</t>
        </is>
      </c>
      <c r="D965" s="186" t="n">
        <v>49195.8786018962</v>
      </c>
      <c r="E965" s="188" t="n">
        <v>923013359587.472</v>
      </c>
      <c r="F965" s="188" t="n">
        <v>36497089236.8711</v>
      </c>
    </row>
    <row r="966" ht="15" customHeight="1" s="95">
      <c r="A966" s="143" t="n">
        <v>44430</v>
      </c>
      <c r="B966" s="94" t="n">
        <v>2021</v>
      </c>
      <c r="C966" s="94" t="inlineStr">
        <is>
          <t>2021-Q3</t>
        </is>
      </c>
      <c r="D966" s="186" t="n">
        <v>48933.6891513116</v>
      </c>
      <c r="E966" s="188" t="n">
        <v>920750216465.385</v>
      </c>
      <c r="F966" s="188" t="n">
        <v>42147725293.1659</v>
      </c>
    </row>
    <row r="967" ht="15" customHeight="1" s="95">
      <c r="A967" s="143" t="n">
        <v>44431</v>
      </c>
      <c r="B967" s="94" t="n">
        <v>2021</v>
      </c>
      <c r="C967" s="94" t="inlineStr">
        <is>
          <t>2021-Q3</t>
        </is>
      </c>
      <c r="D967" s="186" t="n">
        <v>49250.544869718</v>
      </c>
      <c r="E967" s="188" t="n">
        <v>925630106451.479</v>
      </c>
      <c r="F967" s="188" t="n">
        <v>27110183703.2446</v>
      </c>
    </row>
    <row r="968" ht="15" customHeight="1" s="95">
      <c r="A968" s="143" t="n">
        <v>44432</v>
      </c>
      <c r="B968" s="94" t="n">
        <v>2021</v>
      </c>
      <c r="C968" s="94" t="inlineStr">
        <is>
          <t>2021-Q3</t>
        </is>
      </c>
      <c r="D968" s="186" t="n">
        <v>49518.577487907</v>
      </c>
      <c r="E968" s="188" t="n">
        <v>930729196214.295</v>
      </c>
      <c r="F968" s="188" t="n">
        <v>35800255386.4137</v>
      </c>
    </row>
    <row r="969" ht="15" customHeight="1" s="95">
      <c r="A969" s="143" t="n">
        <v>44433</v>
      </c>
      <c r="B969" s="94" t="n">
        <v>2021</v>
      </c>
      <c r="C969" s="94" t="inlineStr">
        <is>
          <t>2021-Q3</t>
        </is>
      </c>
      <c r="D969" s="186" t="n">
        <v>47940.6079149608</v>
      </c>
      <c r="E969" s="188" t="n">
        <v>902489541307.531</v>
      </c>
      <c r="F969" s="188" t="n">
        <v>38387146174.8706</v>
      </c>
    </row>
    <row r="970" ht="15" customHeight="1" s="95">
      <c r="A970" s="143" t="n">
        <v>44434</v>
      </c>
      <c r="B970" s="94" t="n">
        <v>2021</v>
      </c>
      <c r="C970" s="94" t="inlineStr">
        <is>
          <t>2021-Q3</t>
        </is>
      </c>
      <c r="D970" s="186" t="n">
        <v>49002.7037662755</v>
      </c>
      <c r="E970" s="188" t="n">
        <v>921328247353.563</v>
      </c>
      <c r="F970" s="188" t="n">
        <v>33517327123.5554</v>
      </c>
    </row>
    <row r="971" ht="15" customHeight="1" s="95">
      <c r="A971" s="143" t="n">
        <v>44435</v>
      </c>
      <c r="B971" s="94" t="n">
        <v>2021</v>
      </c>
      <c r="C971" s="94" t="inlineStr">
        <is>
          <t>2021-Q3</t>
        </is>
      </c>
      <c r="D971" s="186" t="n">
        <v>47229.0706508761</v>
      </c>
      <c r="E971" s="188" t="n">
        <v>887832142450.196</v>
      </c>
      <c r="F971" s="188" t="n">
        <v>33774857002.9282</v>
      </c>
    </row>
    <row r="972" ht="15" customHeight="1" s="95">
      <c r="A972" s="143" t="n">
        <v>44436</v>
      </c>
      <c r="B972" s="94" t="n">
        <v>2021</v>
      </c>
      <c r="C972" s="94" t="inlineStr">
        <is>
          <t>2021-Q3</t>
        </is>
      </c>
      <c r="D972" s="186" t="n">
        <v>49083.1033058622</v>
      </c>
      <c r="E972" s="188" t="n">
        <v>922969799298.9399</v>
      </c>
      <c r="F972" s="188" t="n">
        <v>34607868773.3984</v>
      </c>
    </row>
    <row r="973" ht="15" customHeight="1" s="95">
      <c r="A973" s="143" t="n">
        <v>44437</v>
      </c>
      <c r="B973" s="94" t="n">
        <v>2021</v>
      </c>
      <c r="C973" s="94" t="inlineStr">
        <is>
          <t>2021-Q3</t>
        </is>
      </c>
      <c r="D973" s="186" t="n">
        <v>48936.5372541422</v>
      </c>
      <c r="E973" s="188" t="n">
        <v>920017911098.756</v>
      </c>
      <c r="F973" s="188" t="n">
        <v>28491785397.3658</v>
      </c>
    </row>
    <row r="974" ht="15" customHeight="1" s="95">
      <c r="A974" s="143" t="n">
        <v>44438</v>
      </c>
      <c r="B974" s="94" t="n">
        <v>2021</v>
      </c>
      <c r="C974" s="94" t="inlineStr">
        <is>
          <t>2021-Q3</t>
        </is>
      </c>
      <c r="D974" s="186" t="n">
        <v>48907.2707310622</v>
      </c>
      <c r="E974" s="188" t="n">
        <v>919515378468.847</v>
      </c>
      <c r="F974" s="188" t="n">
        <v>26244843557.5079</v>
      </c>
    </row>
    <row r="975" ht="15" customHeight="1" s="95">
      <c r="A975" s="143" t="n">
        <v>44439</v>
      </c>
      <c r="B975" s="94" t="n">
        <v>2021</v>
      </c>
      <c r="C975" s="94" t="inlineStr">
        <is>
          <t>2021-Q3</t>
        </is>
      </c>
      <c r="D975" s="186" t="n">
        <v>47124.254224694</v>
      </c>
      <c r="E975" s="188" t="n">
        <v>885729258052.632</v>
      </c>
      <c r="F975" s="188" t="n">
        <v>32326073271.9196</v>
      </c>
    </row>
    <row r="976" ht="15" customHeight="1" s="95">
      <c r="A976" s="143" t="n">
        <v>44440</v>
      </c>
      <c r="B976" s="94" t="n">
        <v>2021</v>
      </c>
      <c r="C976" s="94" t="inlineStr">
        <is>
          <t>2021-Q3</t>
        </is>
      </c>
      <c r="D976" s="186" t="n">
        <v>47335.4202992057</v>
      </c>
      <c r="E976" s="188" t="n">
        <v>890014982634.899</v>
      </c>
      <c r="F976" s="188" t="n">
        <v>34868965959.2451</v>
      </c>
    </row>
    <row r="977" ht="15" customHeight="1" s="95">
      <c r="A977" s="143" t="n">
        <v>44441</v>
      </c>
      <c r="B977" s="94" t="n">
        <v>2021</v>
      </c>
      <c r="C977" s="94" t="inlineStr">
        <is>
          <t>2021-Q3</t>
        </is>
      </c>
      <c r="D977" s="186" t="n">
        <v>48823.0552096492</v>
      </c>
      <c r="E977" s="188" t="n">
        <v>918058330851.483</v>
      </c>
      <c r="F977" s="188" t="n">
        <v>39060601275.2127</v>
      </c>
    </row>
    <row r="978" ht="15" customHeight="1" s="95">
      <c r="A978" s="143" t="n">
        <v>44442</v>
      </c>
      <c r="B978" s="94" t="n">
        <v>2021</v>
      </c>
      <c r="C978" s="94" t="inlineStr">
        <is>
          <t>2021-Q3</t>
        </is>
      </c>
      <c r="D978" s="186" t="n">
        <v>49338.7846518333</v>
      </c>
      <c r="E978" s="188" t="n">
        <v>927323146557.212</v>
      </c>
      <c r="F978" s="188" t="n">
        <v>39362789535.4604</v>
      </c>
    </row>
    <row r="979" ht="15" customHeight="1" s="95">
      <c r="A979" s="143" t="n">
        <v>44443</v>
      </c>
      <c r="B979" s="94" t="n">
        <v>2021</v>
      </c>
      <c r="C979" s="94" t="inlineStr">
        <is>
          <t>2021-Q3</t>
        </is>
      </c>
      <c r="D979" s="186" t="n">
        <v>49934.5282762881</v>
      </c>
      <c r="E979" s="188" t="n">
        <v>937295558515.2889</v>
      </c>
      <c r="F979" s="188" t="n">
        <v>42934455726.2885</v>
      </c>
    </row>
    <row r="980" ht="15" customHeight="1" s="95">
      <c r="A980" s="143" t="n">
        <v>44444</v>
      </c>
      <c r="B980" s="94" t="n">
        <v>2021</v>
      </c>
      <c r="C980" s="94" t="inlineStr">
        <is>
          <t>2021-Q3</t>
        </is>
      </c>
      <c r="D980" s="186" t="n">
        <v>50013.0299469459</v>
      </c>
      <c r="E980" s="188" t="n">
        <v>940538655659.809</v>
      </c>
      <c r="F980" s="188" t="n">
        <v>36985805206.7294</v>
      </c>
    </row>
    <row r="981" ht="15" customHeight="1" s="95">
      <c r="A981" s="143" t="n">
        <v>44445</v>
      </c>
      <c r="B981" s="94" t="n">
        <v>2021</v>
      </c>
      <c r="C981" s="94" t="inlineStr">
        <is>
          <t>2021-Q3</t>
        </is>
      </c>
      <c r="D981" s="186" t="n">
        <v>51696.2064313179</v>
      </c>
      <c r="E981" s="188" t="n">
        <v>971284117138.4399</v>
      </c>
      <c r="F981" s="188" t="n">
        <v>31765191430.1713</v>
      </c>
    </row>
    <row r="982" ht="15" customHeight="1" s="95">
      <c r="A982" s="143" t="n">
        <v>44446</v>
      </c>
      <c r="B982" s="94" t="n">
        <v>2021</v>
      </c>
      <c r="C982" s="94" t="inlineStr">
        <is>
          <t>2021-Q3</t>
        </is>
      </c>
      <c r="D982" s="186" t="n">
        <v>52739.8001663455</v>
      </c>
      <c r="E982" s="188" t="n">
        <v>992868819862.231</v>
      </c>
      <c r="F982" s="188" t="n">
        <v>37532574716.9024</v>
      </c>
    </row>
    <row r="983" ht="15" customHeight="1" s="95">
      <c r="A983" s="143" t="n">
        <v>44447</v>
      </c>
      <c r="B983" s="94" t="n">
        <v>2021</v>
      </c>
      <c r="C983" s="94" t="inlineStr">
        <is>
          <t>2021-Q3</t>
        </is>
      </c>
      <c r="D983" s="186" t="n">
        <v>46995.1641709598</v>
      </c>
      <c r="E983" s="188" t="n">
        <v>881943904968.651</v>
      </c>
      <c r="F983" s="188" t="n">
        <v>64010507329.2719</v>
      </c>
    </row>
    <row r="984" ht="15" customHeight="1" s="95">
      <c r="A984" s="143" t="n">
        <v>44448</v>
      </c>
      <c r="B984" s="94" t="n">
        <v>2021</v>
      </c>
      <c r="C984" s="94" t="inlineStr">
        <is>
          <t>2021-Q3</t>
        </is>
      </c>
      <c r="D984" s="186" t="n">
        <v>46085.0286157819</v>
      </c>
      <c r="E984" s="188" t="n">
        <v>866885887154.311</v>
      </c>
      <c r="F984" s="188" t="n">
        <v>48151104381.0849</v>
      </c>
    </row>
    <row r="985" ht="15" customHeight="1" s="95">
      <c r="A985" s="143" t="n">
        <v>44449</v>
      </c>
      <c r="B985" s="94" t="n">
        <v>2021</v>
      </c>
      <c r="C985" s="94" t="inlineStr">
        <is>
          <t>2021-Q3</t>
        </is>
      </c>
      <c r="D985" s="186" t="n">
        <v>46518.9411866024</v>
      </c>
      <c r="E985" s="188" t="n">
        <v>876179332243.744</v>
      </c>
      <c r="F985" s="188" t="n">
        <v>38581092903.8442</v>
      </c>
    </row>
    <row r="986" ht="15" customHeight="1" s="95">
      <c r="A986" s="143" t="n">
        <v>44450</v>
      </c>
      <c r="B986" s="94" t="n">
        <v>2021</v>
      </c>
      <c r="C986" s="94" t="inlineStr">
        <is>
          <t>2021-Q3</t>
        </is>
      </c>
      <c r="D986" s="186" t="n">
        <v>44802.606402497</v>
      </c>
      <c r="E986" s="188" t="n">
        <v>842222636395.468</v>
      </c>
      <c r="F986" s="188" t="n">
        <v>38051987740.1577</v>
      </c>
    </row>
    <row r="987" ht="15" customHeight="1" s="95">
      <c r="A987" s="143" t="n">
        <v>44451</v>
      </c>
      <c r="B987" s="94" t="n">
        <v>2021</v>
      </c>
      <c r="C987" s="94" t="inlineStr">
        <is>
          <t>2021-Q3</t>
        </is>
      </c>
      <c r="D987" s="186" t="n">
        <v>45196.4882775582</v>
      </c>
      <c r="E987" s="188" t="n">
        <v>849828231595.672</v>
      </c>
      <c r="F987" s="188" t="n">
        <v>34160277726.4411</v>
      </c>
    </row>
    <row r="988" ht="15" customHeight="1" s="95">
      <c r="A988" s="143" t="n">
        <v>44452</v>
      </c>
      <c r="B988" s="94" t="n">
        <v>2021</v>
      </c>
      <c r="C988" s="94" t="inlineStr">
        <is>
          <t>2021-Q3</t>
        </is>
      </c>
      <c r="D988" s="186" t="n">
        <v>46195.2183008294</v>
      </c>
      <c r="E988" s="188" t="n">
        <v>869122611514.0909</v>
      </c>
      <c r="F988" s="188" t="n">
        <v>27585855039.2207</v>
      </c>
    </row>
    <row r="989" ht="15" customHeight="1" s="95">
      <c r="A989" s="143" t="n">
        <v>44453</v>
      </c>
      <c r="B989" s="94" t="n">
        <v>2021</v>
      </c>
      <c r="C989" s="94" t="inlineStr">
        <is>
          <t>2021-Q3</t>
        </is>
      </c>
      <c r="D989" s="186" t="n">
        <v>45139.8339687327</v>
      </c>
      <c r="E989" s="188" t="n">
        <v>848992511473.562</v>
      </c>
      <c r="F989" s="188" t="n">
        <v>40683028027.855</v>
      </c>
    </row>
    <row r="990" ht="15" customHeight="1" s="95">
      <c r="A990" s="143" t="n">
        <v>44454</v>
      </c>
      <c r="B990" s="94" t="n">
        <v>2021</v>
      </c>
      <c r="C990" s="94" t="inlineStr">
        <is>
          <t>2021-Q3</t>
        </is>
      </c>
      <c r="D990" s="186" t="n">
        <v>47135.4319956269</v>
      </c>
      <c r="E990" s="188" t="n">
        <v>886524004596.606</v>
      </c>
      <c r="F990" s="188" t="n">
        <v>38645575965.5275</v>
      </c>
    </row>
    <row r="991" ht="15" customHeight="1" s="95">
      <c r="A991" s="143" t="n">
        <v>44455</v>
      </c>
      <c r="B991" s="94" t="n">
        <v>2021</v>
      </c>
      <c r="C991" s="94" t="inlineStr">
        <is>
          <t>2021-Q3</t>
        </is>
      </c>
      <c r="D991" s="186" t="n">
        <v>48186.5327570472</v>
      </c>
      <c r="E991" s="188" t="n">
        <v>906727769791.0699</v>
      </c>
      <c r="F991" s="188" t="n">
        <v>30037816650.1285</v>
      </c>
    </row>
    <row r="992" ht="15" customHeight="1" s="95">
      <c r="A992" s="143" t="n">
        <v>44456</v>
      </c>
      <c r="B992" s="94" t="n">
        <v>2021</v>
      </c>
      <c r="C992" s="94" t="inlineStr">
        <is>
          <t>2021-Q3</t>
        </is>
      </c>
      <c r="D992" s="186" t="n">
        <v>47879.473439921</v>
      </c>
      <c r="E992" s="188" t="n">
        <v>900990520811.9351</v>
      </c>
      <c r="F992" s="188" t="n">
        <v>31578783374.7687</v>
      </c>
    </row>
    <row r="993" ht="15" customHeight="1" s="95">
      <c r="A993" s="143" t="n">
        <v>44457</v>
      </c>
      <c r="B993" s="94" t="n">
        <v>2021</v>
      </c>
      <c r="C993" s="94" t="inlineStr">
        <is>
          <t>2021-Q3</t>
        </is>
      </c>
      <c r="D993" s="186" t="n">
        <v>47228.6582162326</v>
      </c>
      <c r="E993" s="188" t="n">
        <v>892585184977.833</v>
      </c>
      <c r="F993" s="188" t="n">
        <v>27731209179.0524</v>
      </c>
    </row>
    <row r="994" ht="15" customHeight="1" s="95">
      <c r="A994" s="143" t="n">
        <v>44458</v>
      </c>
      <c r="B994" s="94" t="n">
        <v>2021</v>
      </c>
      <c r="C994" s="94" t="inlineStr">
        <is>
          <t>2021-Q3</t>
        </is>
      </c>
      <c r="D994" s="186" t="n">
        <v>48266.6270727906</v>
      </c>
      <c r="E994" s="188" t="n">
        <v>907957032341.134</v>
      </c>
      <c r="F994" s="188" t="n">
        <v>27630476157.8273</v>
      </c>
    </row>
    <row r="995" ht="15" customHeight="1" s="95">
      <c r="A995" s="143" t="n">
        <v>44459</v>
      </c>
      <c r="B995" s="94" t="n">
        <v>2021</v>
      </c>
      <c r="C995" s="94" t="inlineStr">
        <is>
          <t>2021-Q3</t>
        </is>
      </c>
      <c r="D995" s="186" t="n">
        <v>47371.0393323647</v>
      </c>
      <c r="E995" s="188" t="n">
        <v>891560241243.059</v>
      </c>
      <c r="F995" s="188" t="n">
        <v>26163167368.5944</v>
      </c>
    </row>
    <row r="996" ht="15" customHeight="1" s="95">
      <c r="A996" s="143" t="n">
        <v>44460</v>
      </c>
      <c r="B996" s="94" t="n">
        <v>2021</v>
      </c>
      <c r="C996" s="94" t="inlineStr">
        <is>
          <t>2021-Q3</t>
        </is>
      </c>
      <c r="D996" s="186" t="n">
        <v>42932.9465959541</v>
      </c>
      <c r="E996" s="188" t="n">
        <v>805826302811.35</v>
      </c>
      <c r="F996" s="188" t="n">
        <v>41220025453.5186</v>
      </c>
    </row>
    <row r="997" ht="15" customHeight="1" s="95">
      <c r="A997" s="143" t="n">
        <v>44461</v>
      </c>
      <c r="B997" s="94" t="n">
        <v>2021</v>
      </c>
      <c r="C997" s="94" t="inlineStr">
        <is>
          <t>2021-Q3</t>
        </is>
      </c>
      <c r="D997" s="186" t="n">
        <v>40386.6236352893</v>
      </c>
      <c r="E997" s="188" t="n">
        <v>760802031650.605</v>
      </c>
      <c r="F997" s="188" t="n">
        <v>45940419565.0828</v>
      </c>
    </row>
    <row r="998" ht="15" customHeight="1" s="95">
      <c r="A998" s="143" t="n">
        <v>44462</v>
      </c>
      <c r="B998" s="94" t="n">
        <v>2021</v>
      </c>
      <c r="C998" s="94" t="inlineStr">
        <is>
          <t>2021-Q3</t>
        </is>
      </c>
      <c r="D998" s="186" t="n">
        <v>43587.2230505847</v>
      </c>
      <c r="E998" s="188" t="n">
        <v>820460824050.953</v>
      </c>
      <c r="F998" s="188" t="n">
        <v>36624234960.053</v>
      </c>
    </row>
    <row r="999" ht="15" customHeight="1" s="95">
      <c r="A999" s="143" t="n">
        <v>44463</v>
      </c>
      <c r="B999" s="94" t="n">
        <v>2021</v>
      </c>
      <c r="C999" s="94" t="inlineStr">
        <is>
          <t>2021-Q3</t>
        </is>
      </c>
      <c r="D999" s="186" t="n">
        <v>44980.8982148109</v>
      </c>
      <c r="E999" s="188" t="n">
        <v>846615719473.873</v>
      </c>
      <c r="F999" s="188" t="n">
        <v>33594750549.9986</v>
      </c>
    </row>
    <row r="1000" ht="15" customHeight="1" s="95">
      <c r="A1000" s="143" t="n">
        <v>44464</v>
      </c>
      <c r="B1000" s="94" t="n">
        <v>2021</v>
      </c>
      <c r="C1000" s="94" t="inlineStr">
        <is>
          <t>2021-Q3</t>
        </is>
      </c>
      <c r="D1000" s="186" t="n">
        <v>42752.1681545072</v>
      </c>
      <c r="E1000" s="188" t="n">
        <v>809772498812.6801</v>
      </c>
      <c r="F1000" s="188" t="n">
        <v>42973070342.6503</v>
      </c>
    </row>
    <row r="1001" ht="15" customHeight="1" s="95">
      <c r="A1001" s="143" t="n">
        <v>44465</v>
      </c>
      <c r="B1001" s="94" t="n">
        <v>2021</v>
      </c>
      <c r="C1001" s="94" t="inlineStr">
        <is>
          <t>2021-Q3</t>
        </is>
      </c>
      <c r="D1001" s="186" t="n">
        <v>42856.8551642245</v>
      </c>
      <c r="E1001" s="188" t="n">
        <v>808279417023.3409</v>
      </c>
      <c r="F1001" s="188" t="n">
        <v>30898116660.0566</v>
      </c>
    </row>
    <row r="1002" ht="15" customHeight="1" s="95">
      <c r="A1002" s="143" t="n">
        <v>44466</v>
      </c>
      <c r="B1002" s="94" t="n">
        <v>2021</v>
      </c>
      <c r="C1002" s="94" t="inlineStr">
        <is>
          <t>2021-Q3</t>
        </is>
      </c>
      <c r="D1002" s="186" t="n">
        <v>43336.8612332427</v>
      </c>
      <c r="E1002" s="188" t="n">
        <v>825341135635.717</v>
      </c>
      <c r="F1002" s="188" t="n">
        <v>30462815705.2837</v>
      </c>
    </row>
    <row r="1003" ht="15" customHeight="1" s="95">
      <c r="A1003" s="143" t="n">
        <v>44467</v>
      </c>
      <c r="B1003" s="94" t="n">
        <v>2021</v>
      </c>
      <c r="C1003" s="94" t="inlineStr">
        <is>
          <t>2021-Q3</t>
        </is>
      </c>
      <c r="D1003" s="186" t="n">
        <v>42247.3557290064</v>
      </c>
      <c r="E1003" s="188" t="n">
        <v>794889951096.439</v>
      </c>
      <c r="F1003" s="188" t="n">
        <v>30483144439.4526</v>
      </c>
    </row>
    <row r="1004" ht="15" customHeight="1" s="95">
      <c r="A1004" s="143" t="n">
        <v>44468</v>
      </c>
      <c r="B1004" s="94" t="n">
        <v>2021</v>
      </c>
      <c r="C1004" s="94" t="inlineStr">
        <is>
          <t>2021-Q3</t>
        </is>
      </c>
      <c r="D1004" s="186" t="n">
        <v>41010.3751983655</v>
      </c>
      <c r="E1004" s="188" t="n">
        <v>775534111089.489</v>
      </c>
      <c r="F1004" s="188" t="n">
        <v>29691944223.2928</v>
      </c>
    </row>
    <row r="1005" ht="15" customHeight="1" s="95">
      <c r="A1005" s="143" t="n">
        <v>44469</v>
      </c>
      <c r="B1005" s="94" t="n">
        <v>2021</v>
      </c>
      <c r="C1005" s="94" t="inlineStr">
        <is>
          <t>2021-Q3</t>
        </is>
      </c>
      <c r="D1005" s="186" t="n">
        <v>41587.667862323</v>
      </c>
      <c r="E1005" s="188" t="n">
        <v>782626384092.2841</v>
      </c>
      <c r="F1005" s="188" t="n">
        <v>30068690311.9659</v>
      </c>
    </row>
    <row r="1006" ht="15" customHeight="1" s="95">
      <c r="A1006" s="143" t="n">
        <v>44470</v>
      </c>
      <c r="B1006" s="94" t="n">
        <v>2021</v>
      </c>
      <c r="C1006" s="94" t="inlineStr">
        <is>
          <t>2021-Q4</t>
        </is>
      </c>
      <c r="D1006" s="186" t="n">
        <v>43859.3261472411</v>
      </c>
      <c r="E1006" s="188" t="n">
        <v>827840965059.613</v>
      </c>
      <c r="F1006" s="188" t="n">
        <v>30859918334.565</v>
      </c>
    </row>
    <row r="1007" ht="15" customHeight="1" s="95">
      <c r="A1007" s="143" t="n">
        <v>44471</v>
      </c>
      <c r="B1007" s="94" t="n">
        <v>2021</v>
      </c>
      <c r="C1007" s="94" t="inlineStr">
        <is>
          <t>2021-Q4</t>
        </is>
      </c>
      <c r="D1007" s="186" t="n">
        <v>48181.8762726001</v>
      </c>
      <c r="E1007" s="188" t="n">
        <v>906929641888.825</v>
      </c>
      <c r="F1007" s="188" t="n">
        <v>42089383189.8119</v>
      </c>
    </row>
    <row r="1008" ht="15" customHeight="1" s="95">
      <c r="A1008" s="143" t="n">
        <v>44472</v>
      </c>
      <c r="B1008" s="94" t="n">
        <v>2021</v>
      </c>
      <c r="C1008" s="94" t="inlineStr">
        <is>
          <t>2021-Q4</t>
        </is>
      </c>
      <c r="D1008" s="186" t="n">
        <v>47777.762019063</v>
      </c>
      <c r="E1008" s="188" t="n">
        <v>900582483713.1121</v>
      </c>
      <c r="F1008" s="188" t="n">
        <v>29742127387.9561</v>
      </c>
    </row>
    <row r="1009" ht="15" customHeight="1" s="95">
      <c r="A1009" s="143" t="n">
        <v>44473</v>
      </c>
      <c r="B1009" s="94" t="n">
        <v>2021</v>
      </c>
      <c r="C1009" s="94" t="inlineStr">
        <is>
          <t>2021-Q4</t>
        </is>
      </c>
      <c r="D1009" s="186" t="n">
        <v>48282.9711385745</v>
      </c>
      <c r="E1009" s="188" t="n">
        <v>910331395887.4821</v>
      </c>
      <c r="F1009" s="188" t="n">
        <v>26034594561.9634</v>
      </c>
    </row>
    <row r="1010" ht="15" customHeight="1" s="95">
      <c r="A1010" s="143" t="n">
        <v>44474</v>
      </c>
      <c r="B1010" s="94" t="n">
        <v>2021</v>
      </c>
      <c r="C1010" s="94" t="inlineStr">
        <is>
          <t>2021-Q4</t>
        </is>
      </c>
      <c r="D1010" s="186" t="n">
        <v>49260.2323211307</v>
      </c>
      <c r="E1010" s="188" t="n">
        <v>927812140868.052</v>
      </c>
      <c r="F1010" s="188" t="n">
        <v>32691763060.3191</v>
      </c>
    </row>
    <row r="1011" ht="15" customHeight="1" s="95">
      <c r="A1011" s="143" t="n">
        <v>44475</v>
      </c>
      <c r="B1011" s="94" t="n">
        <v>2021</v>
      </c>
      <c r="C1011" s="94" t="inlineStr">
        <is>
          <t>2021-Q4</t>
        </is>
      </c>
      <c r="D1011" s="186" t="n">
        <v>51668.9942243556</v>
      </c>
      <c r="E1011" s="188" t="n">
        <v>973040988102.911</v>
      </c>
      <c r="F1011" s="188" t="n">
        <v>35480330025.0279</v>
      </c>
    </row>
    <row r="1012" ht="15" customHeight="1" s="95">
      <c r="A1012" s="143" t="n">
        <v>44476</v>
      </c>
      <c r="B1012" s="94" t="n">
        <v>2021</v>
      </c>
      <c r="C1012" s="94" t="inlineStr">
        <is>
          <t>2021-Q4</t>
        </is>
      </c>
      <c r="D1012" s="186" t="n">
        <v>55415.005742029</v>
      </c>
      <c r="E1012" s="188" t="n">
        <v>1044675252844.37</v>
      </c>
      <c r="F1012" s="188" t="n">
        <v>48462388015.8015</v>
      </c>
    </row>
    <row r="1013" ht="15" customHeight="1" s="95">
      <c r="A1013" s="143" t="n">
        <v>44477</v>
      </c>
      <c r="B1013" s="94" t="n">
        <v>2021</v>
      </c>
      <c r="C1013" s="94" t="inlineStr">
        <is>
          <t>2021-Q4</t>
        </is>
      </c>
      <c r="D1013" s="186" t="n">
        <v>53894.5959945211</v>
      </c>
      <c r="E1013" s="188" t="n">
        <v>1015246512238.87</v>
      </c>
      <c r="F1013" s="188" t="n">
        <v>36549815857.2818</v>
      </c>
    </row>
    <row r="1014" ht="15" customHeight="1" s="95">
      <c r="A1014" s="143" t="n">
        <v>44478</v>
      </c>
      <c r="B1014" s="94" t="n">
        <v>2021</v>
      </c>
      <c r="C1014" s="94" t="inlineStr">
        <is>
          <t>2021-Q4</t>
        </is>
      </c>
      <c r="D1014" s="186" t="n">
        <v>54010.9374737441</v>
      </c>
      <c r="E1014" s="188" t="n">
        <v>1016650501581.11</v>
      </c>
      <c r="F1014" s="188" t="n">
        <v>33935485256.8262</v>
      </c>
    </row>
    <row r="1015" ht="15" customHeight="1" s="95">
      <c r="A1015" s="143" t="n">
        <v>44479</v>
      </c>
      <c r="B1015" s="94" t="n">
        <v>2021</v>
      </c>
      <c r="C1015" s="94" t="inlineStr">
        <is>
          <t>2021-Q4</t>
        </is>
      </c>
      <c r="D1015" s="186" t="n">
        <v>55125.4603376804</v>
      </c>
      <c r="E1015" s="188" t="n">
        <v>1038524699061.44</v>
      </c>
      <c r="F1015" s="188" t="n">
        <v>31927344846.4468</v>
      </c>
    </row>
    <row r="1016" ht="15" customHeight="1" s="95">
      <c r="A1016" s="143" t="n">
        <v>44480</v>
      </c>
      <c r="B1016" s="94" t="n">
        <v>2021</v>
      </c>
      <c r="C1016" s="94" t="inlineStr">
        <is>
          <t>2021-Q4</t>
        </is>
      </c>
      <c r="D1016" s="186" t="n">
        <v>54711.869596643</v>
      </c>
      <c r="E1016" s="188" t="n">
        <v>1030788036761.63</v>
      </c>
      <c r="F1016" s="188" t="n">
        <v>38579271671.0699</v>
      </c>
    </row>
    <row r="1017" ht="15" customHeight="1" s="95">
      <c r="A1017" s="143" t="n">
        <v>44481</v>
      </c>
      <c r="B1017" s="94" t="n">
        <v>2021</v>
      </c>
      <c r="C1017" s="94" t="inlineStr">
        <is>
          <t>2021-Q4</t>
        </is>
      </c>
      <c r="D1017" s="186" t="n">
        <v>57572.5108555965</v>
      </c>
      <c r="E1017" s="188" t="n">
        <v>1084736227837.66</v>
      </c>
      <c r="F1017" s="188" t="n">
        <v>41913482915.3792</v>
      </c>
    </row>
    <row r="1018" ht="15" customHeight="1" s="95">
      <c r="A1018" s="143" t="n">
        <v>44482</v>
      </c>
      <c r="B1018" s="94" t="n">
        <v>2021</v>
      </c>
      <c r="C1018" s="94" t="inlineStr">
        <is>
          <t>2021-Q4</t>
        </is>
      </c>
      <c r="D1018" s="186" t="n">
        <v>56335.0354605115</v>
      </c>
      <c r="E1018" s="188" t="n">
        <v>1061829863954.13</v>
      </c>
      <c r="F1018" s="188" t="n">
        <v>40021384610.6983</v>
      </c>
    </row>
    <row r="1019" ht="15" customHeight="1" s="95">
      <c r="A1019" s="143" t="n">
        <v>44483</v>
      </c>
      <c r="B1019" s="94" t="n">
        <v>2021</v>
      </c>
      <c r="C1019" s="94" t="inlineStr">
        <is>
          <t>2021-Q4</t>
        </is>
      </c>
      <c r="D1019" s="186" t="n">
        <v>57487.9858804222</v>
      </c>
      <c r="E1019" s="188" t="n">
        <v>1083366079898.55</v>
      </c>
      <c r="F1019" s="188" t="n">
        <v>41216945749.3466</v>
      </c>
    </row>
    <row r="1020" ht="15" customHeight="1" s="95">
      <c r="A1020" s="143" t="n">
        <v>44484</v>
      </c>
      <c r="B1020" s="94" t="n">
        <v>2021</v>
      </c>
      <c r="C1020" s="94" t="inlineStr">
        <is>
          <t>2021-Q4</t>
        </is>
      </c>
      <c r="D1020" s="186" t="n">
        <v>57452.4317850355</v>
      </c>
      <c r="E1020" s="188" t="n">
        <v>1082900149762.58</v>
      </c>
      <c r="F1020" s="188" t="n">
        <v>35994603913.1884</v>
      </c>
    </row>
    <row r="1021" ht="15" customHeight="1" s="95">
      <c r="A1021" s="143" t="n">
        <v>44485</v>
      </c>
      <c r="B1021" s="94" t="n">
        <v>2021</v>
      </c>
      <c r="C1021" s="94" t="inlineStr">
        <is>
          <t>2021-Q4</t>
        </is>
      </c>
      <c r="D1021" s="186" t="n">
        <v>61809.0239442703</v>
      </c>
      <c r="E1021" s="188" t="n">
        <v>1164782155730.33</v>
      </c>
      <c r="F1021" s="188" t="n">
        <v>53653355008.4082</v>
      </c>
    </row>
    <row r="1022" ht="15" customHeight="1" s="95">
      <c r="A1022" s="143" t="n">
        <v>44486</v>
      </c>
      <c r="B1022" s="94" t="n">
        <v>2021</v>
      </c>
      <c r="C1022" s="94" t="inlineStr">
        <is>
          <t>2021-Q4</t>
        </is>
      </c>
      <c r="D1022" s="186" t="n">
        <v>61165.6356421152</v>
      </c>
      <c r="E1022" s="188" t="n">
        <v>1153847028824.74</v>
      </c>
      <c r="F1022" s="188" t="n">
        <v>35385452268.7773</v>
      </c>
    </row>
    <row r="1023" ht="15" customHeight="1" s="95">
      <c r="A1023" s="143" t="n">
        <v>44487</v>
      </c>
      <c r="B1023" s="94" t="n">
        <v>2021</v>
      </c>
      <c r="C1023" s="94" t="inlineStr">
        <is>
          <t>2021-Q4</t>
        </is>
      </c>
      <c r="D1023" s="186" t="n">
        <v>61583.7744396134</v>
      </c>
      <c r="E1023" s="188" t="n">
        <v>1160650121141.99</v>
      </c>
      <c r="F1023" s="188" t="n">
        <v>29625957541.6776</v>
      </c>
    </row>
    <row r="1024" ht="15" customHeight="1" s="95">
      <c r="A1024" s="143" t="n">
        <v>44488</v>
      </c>
      <c r="B1024" s="94" t="n">
        <v>2021</v>
      </c>
      <c r="C1024" s="94" t="inlineStr">
        <is>
          <t>2021-Q4</t>
        </is>
      </c>
      <c r="D1024" s="186" t="n">
        <v>62017.9727251787</v>
      </c>
      <c r="E1024" s="188" t="n">
        <v>1173944883529.63</v>
      </c>
      <c r="F1024" s="188" t="n">
        <v>39610183787.2353</v>
      </c>
    </row>
    <row r="1025" ht="15" customHeight="1" s="95">
      <c r="A1025" s="143" t="n">
        <v>44489</v>
      </c>
      <c r="B1025" s="94" t="n">
        <v>2021</v>
      </c>
      <c r="C1025" s="94" t="inlineStr">
        <is>
          <t>2021-Q4</t>
        </is>
      </c>
      <c r="D1025" s="186" t="n">
        <v>64517.6485604228</v>
      </c>
      <c r="E1025" s="188" t="n">
        <v>1217582580302.56</v>
      </c>
      <c r="F1025" s="188" t="n">
        <v>42550624869.2941</v>
      </c>
    </row>
    <row r="1026" ht="15" customHeight="1" s="95">
      <c r="A1026" s="143" t="n">
        <v>44490</v>
      </c>
      <c r="B1026" s="94" t="n">
        <v>2021</v>
      </c>
      <c r="C1026" s="94" t="inlineStr">
        <is>
          <t>2021-Q4</t>
        </is>
      </c>
      <c r="D1026" s="186" t="n">
        <v>66237.51755029389</v>
      </c>
      <c r="E1026" s="188" t="n">
        <v>1250376460615.75</v>
      </c>
      <c r="F1026" s="188" t="n">
        <v>40790757381.6017</v>
      </c>
    </row>
    <row r="1027" ht="15" customHeight="1" s="95">
      <c r="A1027" s="143" t="n">
        <v>44491</v>
      </c>
      <c r="B1027" s="94" t="n">
        <v>2021</v>
      </c>
      <c r="C1027" s="94" t="inlineStr">
        <is>
          <t>2021-Q4</t>
        </is>
      </c>
      <c r="D1027" s="186" t="n">
        <v>62541.0869329352</v>
      </c>
      <c r="E1027" s="188" t="n">
        <v>1178926819140.82</v>
      </c>
      <c r="F1027" s="188" t="n">
        <v>48709960685.5335</v>
      </c>
    </row>
    <row r="1028" ht="15" customHeight="1" s="95">
      <c r="A1028" s="143" t="n">
        <v>44492</v>
      </c>
      <c r="B1028" s="94" t="n">
        <v>2021</v>
      </c>
      <c r="C1028" s="94" t="inlineStr">
        <is>
          <t>2021-Q4</t>
        </is>
      </c>
      <c r="D1028" s="186" t="n">
        <v>61029.2709318209</v>
      </c>
      <c r="E1028" s="188" t="n">
        <v>1151508584004.78</v>
      </c>
      <c r="F1028" s="188" t="n">
        <v>40766460604.969</v>
      </c>
    </row>
    <row r="1029" ht="15" customHeight="1" s="95">
      <c r="A1029" s="143" t="n">
        <v>44493</v>
      </c>
      <c r="B1029" s="94" t="n">
        <v>2021</v>
      </c>
      <c r="C1029" s="94" t="inlineStr">
        <is>
          <t>2021-Q4</t>
        </is>
      </c>
      <c r="D1029" s="186" t="n">
        <v>61572.1404342224</v>
      </c>
      <c r="E1029" s="188" t="n">
        <v>1161166467847.43</v>
      </c>
      <c r="F1029" s="188" t="n">
        <v>28505039147.7888</v>
      </c>
    </row>
    <row r="1030" ht="15" customHeight="1" s="95">
      <c r="A1030" s="143" t="n">
        <v>44494</v>
      </c>
      <c r="B1030" s="94" t="n">
        <v>2021</v>
      </c>
      <c r="C1030" s="94" t="inlineStr">
        <is>
          <t>2021-Q4</t>
        </is>
      </c>
      <c r="D1030" s="186" t="n">
        <v>61173.1663907232</v>
      </c>
      <c r="E1030" s="188" t="n">
        <v>1153315262663.06</v>
      </c>
      <c r="F1030" s="188" t="n">
        <v>29982535557.4028</v>
      </c>
    </row>
    <row r="1031" ht="15" customHeight="1" s="95">
      <c r="A1031" s="143" t="n">
        <v>44495</v>
      </c>
      <c r="B1031" s="94" t="n">
        <v>2021</v>
      </c>
      <c r="C1031" s="94" t="inlineStr">
        <is>
          <t>2021-Q4</t>
        </is>
      </c>
      <c r="D1031" s="186" t="n">
        <v>63228.2138258421</v>
      </c>
      <c r="E1031" s="188" t="n">
        <v>1192131994832.59</v>
      </c>
      <c r="F1031" s="188" t="n">
        <v>30852852368.0275</v>
      </c>
    </row>
    <row r="1032" ht="15" customHeight="1" s="95">
      <c r="A1032" s="143" t="n">
        <v>44496</v>
      </c>
      <c r="B1032" s="94" t="n">
        <v>2021</v>
      </c>
      <c r="C1032" s="94" t="inlineStr">
        <is>
          <t>2021-Q4</t>
        </is>
      </c>
      <c r="D1032" s="186" t="n">
        <v>60604.1888879475</v>
      </c>
      <c r="E1032" s="188" t="n">
        <v>1143497865064.67</v>
      </c>
      <c r="F1032" s="188" t="n">
        <v>33233702858.0947</v>
      </c>
    </row>
    <row r="1033" ht="15" customHeight="1" s="95">
      <c r="A1033" s="143" t="n">
        <v>44497</v>
      </c>
      <c r="B1033" s="94" t="n">
        <v>2021</v>
      </c>
      <c r="C1033" s="94" t="inlineStr">
        <is>
          <t>2021-Q4</t>
        </is>
      </c>
      <c r="D1033" s="186" t="n">
        <v>58641.0014741949</v>
      </c>
      <c r="E1033" s="188" t="n">
        <v>1105754837660.93</v>
      </c>
      <c r="F1033" s="188" t="n">
        <v>43976252157.0686</v>
      </c>
    </row>
    <row r="1034" ht="15" customHeight="1" s="95">
      <c r="A1034" s="143" t="n">
        <v>44498</v>
      </c>
      <c r="B1034" s="94" t="n">
        <v>2021</v>
      </c>
      <c r="C1034" s="94" t="inlineStr">
        <is>
          <t>2021-Q4</t>
        </is>
      </c>
      <c r="D1034" s="186" t="n">
        <v>60767.5558520673</v>
      </c>
      <c r="E1034" s="188" t="n">
        <v>1145912030969.19</v>
      </c>
      <c r="F1034" s="188" t="n">
        <v>52318597556.7946</v>
      </c>
    </row>
    <row r="1035" ht="15" customHeight="1" s="95">
      <c r="A1035" s="143" t="n">
        <v>44499</v>
      </c>
      <c r="B1035" s="94" t="n">
        <v>2021</v>
      </c>
      <c r="C1035" s="94" t="inlineStr">
        <is>
          <t>2021-Q4</t>
        </is>
      </c>
      <c r="D1035" s="186" t="n">
        <v>62283.1980558735</v>
      </c>
      <c r="E1035" s="188" t="n">
        <v>1178047465292.37</v>
      </c>
      <c r="F1035" s="188" t="n">
        <v>38648967244.9518</v>
      </c>
    </row>
    <row r="1036" ht="15" customHeight="1" s="95">
      <c r="A1036" s="143" t="n">
        <v>44500</v>
      </c>
      <c r="B1036" s="94" t="n">
        <v>2021</v>
      </c>
      <c r="C1036" s="94" t="inlineStr">
        <is>
          <t>2021-Q4</t>
        </is>
      </c>
      <c r="D1036" s="186" t="n">
        <v>61837.2570029789</v>
      </c>
      <c r="E1036" s="188" t="n">
        <v>1166423768409.6</v>
      </c>
      <c r="F1036" s="188" t="n">
        <v>31810216329.5299</v>
      </c>
    </row>
    <row r="1037" ht="15" customHeight="1" s="95">
      <c r="A1037" s="143" t="n">
        <v>44501</v>
      </c>
      <c r="B1037" s="94" t="n">
        <v>2021</v>
      </c>
      <c r="C1037" s="94" t="inlineStr">
        <is>
          <t>2021-Q4</t>
        </is>
      </c>
      <c r="D1037" s="186" t="n">
        <v>61471.8684627626</v>
      </c>
      <c r="E1037" s="188" t="n">
        <v>1159841954948.48</v>
      </c>
      <c r="F1037" s="188" t="n">
        <v>32494948460.7914</v>
      </c>
    </row>
    <row r="1038" ht="15" customHeight="1" s="95">
      <c r="A1038" s="143" t="n">
        <v>44502</v>
      </c>
      <c r="B1038" s="94" t="n">
        <v>2021</v>
      </c>
      <c r="C1038" s="94" t="inlineStr">
        <is>
          <t>2021-Q4</t>
        </is>
      </c>
      <c r="D1038" s="186" t="n">
        <v>61121.8312010651</v>
      </c>
      <c r="E1038" s="188" t="n">
        <v>1152831210803.71</v>
      </c>
      <c r="F1038" s="188" t="n">
        <v>35834742028.382</v>
      </c>
    </row>
    <row r="1039" ht="15" customHeight="1" s="95">
      <c r="A1039" s="143" t="n">
        <v>44503</v>
      </c>
      <c r="B1039" s="94" t="n">
        <v>2021</v>
      </c>
      <c r="C1039" s="94" t="inlineStr">
        <is>
          <t>2021-Q4</t>
        </is>
      </c>
      <c r="D1039" s="186" t="n">
        <v>63247.2089612783</v>
      </c>
      <c r="E1039" s="188" t="n">
        <v>1186951581189.47</v>
      </c>
      <c r="F1039" s="188" t="n">
        <v>37335066460.1553</v>
      </c>
    </row>
    <row r="1040" ht="15" customHeight="1" s="95">
      <c r="A1040" s="143" t="n">
        <v>44504</v>
      </c>
      <c r="B1040" s="94" t="n">
        <v>2021</v>
      </c>
      <c r="C1040" s="94" t="inlineStr">
        <is>
          <t>2021-Q4</t>
        </is>
      </c>
      <c r="D1040" s="186" t="n">
        <v>63130.9423517154</v>
      </c>
      <c r="E1040" s="188" t="n">
        <v>1187048124213.93</v>
      </c>
      <c r="F1040" s="188" t="n">
        <v>36561444796.9302</v>
      </c>
    </row>
    <row r="1041" ht="15" customHeight="1" s="95">
      <c r="A1041" s="143" t="n">
        <v>44505</v>
      </c>
      <c r="B1041" s="94" t="n">
        <v>2021</v>
      </c>
      <c r="C1041" s="94" t="inlineStr">
        <is>
          <t>2021-Q4</t>
        </is>
      </c>
      <c r="D1041" s="186" t="n">
        <v>61601.7435720498</v>
      </c>
      <c r="E1041" s="188" t="n">
        <v>1157101738112.73</v>
      </c>
      <c r="F1041" s="188" t="n">
        <v>33152275947.4326</v>
      </c>
    </row>
    <row r="1042" ht="15" customHeight="1" s="95">
      <c r="A1042" s="143" t="n">
        <v>44506</v>
      </c>
      <c r="B1042" s="94" t="n">
        <v>2021</v>
      </c>
      <c r="C1042" s="94" t="inlineStr">
        <is>
          <t>2021-Q4</t>
        </is>
      </c>
      <c r="D1042" s="186" t="n">
        <v>61247.3849421779</v>
      </c>
      <c r="E1042" s="188" t="n">
        <v>1154530569293.36</v>
      </c>
      <c r="F1042" s="188" t="n">
        <v>31182137447.9674</v>
      </c>
    </row>
    <row r="1043" ht="15" customHeight="1" s="95">
      <c r="A1043" s="143" t="n">
        <v>44507</v>
      </c>
      <c r="B1043" s="94" t="n">
        <v>2021</v>
      </c>
      <c r="C1043" s="94" t="inlineStr">
        <is>
          <t>2021-Q4</t>
        </is>
      </c>
      <c r="D1043" s="186" t="n">
        <v>61661.3586637204</v>
      </c>
      <c r="E1043" s="188" t="n">
        <v>1162489871875.48</v>
      </c>
      <c r="F1043" s="188" t="n">
        <v>31423601393.1734</v>
      </c>
    </row>
    <row r="1044" ht="15" customHeight="1" s="95">
      <c r="A1044" s="143" t="n">
        <v>44508</v>
      </c>
      <c r="B1044" s="94" t="n">
        <v>2021</v>
      </c>
      <c r="C1044" s="94" t="inlineStr">
        <is>
          <t>2021-Q4</t>
        </is>
      </c>
      <c r="D1044" s="186" t="n">
        <v>63153.2301930195</v>
      </c>
      <c r="E1044" s="188" t="n">
        <v>1191631271447.8</v>
      </c>
      <c r="F1044" s="188" t="n">
        <v>24877902989.7844</v>
      </c>
    </row>
    <row r="1045" ht="15" customHeight="1" s="95">
      <c r="A1045" s="143" t="n">
        <v>44509</v>
      </c>
      <c r="B1045" s="94" t="n">
        <v>2021</v>
      </c>
      <c r="C1045" s="94" t="inlineStr">
        <is>
          <t>2021-Q4</t>
        </is>
      </c>
      <c r="D1045" s="186" t="n">
        <v>67617.0155448617</v>
      </c>
      <c r="E1045" s="188" t="n">
        <v>1278797895528.36</v>
      </c>
      <c r="F1045" s="188" t="n">
        <v>105426313891.409</v>
      </c>
    </row>
    <row r="1046" ht="15" customHeight="1" s="95">
      <c r="A1046" s="143" t="n">
        <v>44510</v>
      </c>
      <c r="B1046" s="94" t="n">
        <v>2021</v>
      </c>
      <c r="C1046" s="94" t="inlineStr">
        <is>
          <t>2021-Q4</t>
        </is>
      </c>
      <c r="D1046" s="186" t="n">
        <v>67145.37493537059</v>
      </c>
      <c r="E1046" s="188" t="n">
        <v>1268116896159.25</v>
      </c>
      <c r="F1046" s="188" t="n">
        <v>41207912437.7922</v>
      </c>
    </row>
    <row r="1047" ht="15" customHeight="1" s="95">
      <c r="A1047" s="143" t="n">
        <v>44511</v>
      </c>
      <c r="B1047" s="94" t="n">
        <v>2021</v>
      </c>
      <c r="C1047" s="94" t="inlineStr">
        <is>
          <t>2021-Q4</t>
        </is>
      </c>
      <c r="D1047" s="186" t="n">
        <v>65061.0544069628</v>
      </c>
      <c r="E1047" s="188" t="n">
        <v>1221681091090.63</v>
      </c>
      <c r="F1047" s="188" t="n">
        <v>48648563669.3768</v>
      </c>
    </row>
    <row r="1048" ht="15" customHeight="1" s="95">
      <c r="A1048" s="143" t="n">
        <v>44512</v>
      </c>
      <c r="B1048" s="94" t="n">
        <v>2021</v>
      </c>
      <c r="C1048" s="94" t="inlineStr">
        <is>
          <t>2021-Q4</t>
        </is>
      </c>
      <c r="D1048" s="186" t="n">
        <v>65005.6451595668</v>
      </c>
      <c r="E1048" s="188" t="n">
        <v>1228606858156.69</v>
      </c>
      <c r="F1048" s="188" t="n">
        <v>35457583783.2136</v>
      </c>
    </row>
    <row r="1049" ht="15" customHeight="1" s="95">
      <c r="A1049" s="143" t="n">
        <v>44513</v>
      </c>
      <c r="B1049" s="94" t="n">
        <v>2021</v>
      </c>
      <c r="C1049" s="94" t="inlineStr">
        <is>
          <t>2021-Q4</t>
        </is>
      </c>
      <c r="D1049" s="186" t="n">
        <v>64432.0479473452</v>
      </c>
      <c r="E1049" s="188" t="n">
        <v>1215930166022.9</v>
      </c>
      <c r="F1049" s="188" t="n">
        <v>36872626217.7414</v>
      </c>
    </row>
    <row r="1050" ht="15" customHeight="1" s="95">
      <c r="A1050" s="143" t="n">
        <v>44514</v>
      </c>
      <c r="B1050" s="94" t="n">
        <v>2021</v>
      </c>
      <c r="C1050" s="94" t="inlineStr">
        <is>
          <t>2021-Q4</t>
        </is>
      </c>
      <c r="D1050" s="186" t="n">
        <v>64660.3353526734</v>
      </c>
      <c r="E1050" s="188" t="n">
        <v>1220299721850.59</v>
      </c>
      <c r="F1050" s="188" t="n">
        <v>29677693457.3165</v>
      </c>
    </row>
    <row r="1051" ht="15" customHeight="1" s="95">
      <c r="A1051" s="143" t="n">
        <v>44515</v>
      </c>
      <c r="B1051" s="94" t="n">
        <v>2021</v>
      </c>
      <c r="C1051" s="94" t="inlineStr">
        <is>
          <t>2021-Q4</t>
        </is>
      </c>
      <c r="D1051" s="186" t="n">
        <v>65648.9777911024</v>
      </c>
      <c r="E1051" s="188" t="n">
        <v>1239021452560.9</v>
      </c>
      <c r="F1051" s="188" t="n">
        <v>26088449436.7171</v>
      </c>
    </row>
    <row r="1052" ht="15" customHeight="1" s="95">
      <c r="A1052" s="143" t="n">
        <v>44516</v>
      </c>
      <c r="B1052" s="94" t="n">
        <v>2021</v>
      </c>
      <c r="C1052" s="94" t="inlineStr">
        <is>
          <t>2021-Q4</t>
        </is>
      </c>
      <c r="D1052" s="186" t="n">
        <v>63933.8354425993</v>
      </c>
      <c r="E1052" s="188" t="n">
        <v>1206711952537.94</v>
      </c>
      <c r="F1052" s="188" t="n">
        <v>32107212452.2984</v>
      </c>
    </row>
    <row r="1053" ht="15" customHeight="1" s="95">
      <c r="A1053" s="143" t="n">
        <v>44517</v>
      </c>
      <c r="B1053" s="94" t="n">
        <v>2021</v>
      </c>
      <c r="C1053" s="94" t="inlineStr">
        <is>
          <t>2021-Q4</t>
        </is>
      </c>
      <c r="D1053" s="186" t="n">
        <v>60448.5625125863</v>
      </c>
      <c r="E1053" s="188" t="n">
        <v>1141910823555.96</v>
      </c>
      <c r="F1053" s="188" t="n">
        <v>48978396010.9682</v>
      </c>
    </row>
    <row r="1054" ht="15" customHeight="1" s="95">
      <c r="A1054" s="143" t="n">
        <v>44518</v>
      </c>
      <c r="B1054" s="94" t="n">
        <v>2021</v>
      </c>
      <c r="C1054" s="94" t="inlineStr">
        <is>
          <t>2021-Q4</t>
        </is>
      </c>
      <c r="D1054" s="186" t="n">
        <v>60603.6558673865</v>
      </c>
      <c r="E1054" s="188" t="n">
        <v>1138136620641.49</v>
      </c>
      <c r="F1054" s="188" t="n">
        <v>39200729529.4879</v>
      </c>
    </row>
    <row r="1055" ht="15" customHeight="1" s="95">
      <c r="A1055" s="143" t="n">
        <v>44519</v>
      </c>
      <c r="B1055" s="94" t="n">
        <v>2021</v>
      </c>
      <c r="C1055" s="94" t="inlineStr">
        <is>
          <t>2021-Q4</t>
        </is>
      </c>
      <c r="D1055" s="186" t="n">
        <v>56987.3223385505</v>
      </c>
      <c r="E1055" s="188" t="n">
        <v>1075758915731.04</v>
      </c>
      <c r="F1055" s="188" t="n">
        <v>41828523861.7175</v>
      </c>
    </row>
    <row r="1056" ht="15" customHeight="1" s="95">
      <c r="A1056" s="143" t="n">
        <v>44520</v>
      </c>
      <c r="B1056" s="94" t="n">
        <v>2021</v>
      </c>
      <c r="C1056" s="94" t="inlineStr">
        <is>
          <t>2021-Q4</t>
        </is>
      </c>
      <c r="D1056" s="186" t="n">
        <v>58459.2555166746</v>
      </c>
      <c r="E1056" s="188" t="n">
        <v>1103594176399.32</v>
      </c>
      <c r="F1056" s="188" t="n">
        <v>37851259606.1422</v>
      </c>
    </row>
    <row r="1057" ht="15" customHeight="1" s="95">
      <c r="A1057" s="143" t="n">
        <v>44521</v>
      </c>
      <c r="B1057" s="94" t="n">
        <v>2021</v>
      </c>
      <c r="C1057" s="94" t="inlineStr">
        <is>
          <t>2021-Q4</t>
        </is>
      </c>
      <c r="D1057" s="186" t="n">
        <v>60082.9116684171</v>
      </c>
      <c r="E1057" s="188" t="n">
        <v>1134300362589.29</v>
      </c>
      <c r="F1057" s="188" t="n">
        <v>29676550711.7132</v>
      </c>
    </row>
    <row r="1058" ht="15" customHeight="1" s="95">
      <c r="A1058" s="143" t="n">
        <v>44522</v>
      </c>
      <c r="B1058" s="94" t="n">
        <v>2021</v>
      </c>
      <c r="C1058" s="94" t="inlineStr">
        <is>
          <t>2021-Q4</t>
        </is>
      </c>
      <c r="D1058" s="186" t="n">
        <v>59139.7792795272</v>
      </c>
      <c r="E1058" s="188" t="n">
        <v>1120610791475.75</v>
      </c>
      <c r="F1058" s="188" t="n">
        <v>25743426946.9619</v>
      </c>
    </row>
    <row r="1059" ht="15" customHeight="1" s="95">
      <c r="A1059" s="143" t="n">
        <v>44523</v>
      </c>
      <c r="B1059" s="94" t="n">
        <v>2021</v>
      </c>
      <c r="C1059" s="94" t="inlineStr">
        <is>
          <t>2021-Q4</t>
        </is>
      </c>
      <c r="D1059" s="186" t="n">
        <v>56386.8568531522</v>
      </c>
      <c r="E1059" s="188" t="n">
        <v>1064619437494.19</v>
      </c>
      <c r="F1059" s="188" t="n">
        <v>34001467918.5283</v>
      </c>
    </row>
    <row r="1060" ht="15" customHeight="1" s="95">
      <c r="A1060" s="143" t="n">
        <v>44524</v>
      </c>
      <c r="B1060" s="94" t="n">
        <v>2021</v>
      </c>
      <c r="C1060" s="94" t="inlineStr">
        <is>
          <t>2021-Q4</t>
        </is>
      </c>
      <c r="D1060" s="186" t="n">
        <v>57748.7931737886</v>
      </c>
      <c r="E1060" s="188" t="n">
        <v>1090380950871.23</v>
      </c>
      <c r="F1060" s="188" t="n">
        <v>36421192856.5364</v>
      </c>
    </row>
    <row r="1061" ht="15" customHeight="1" s="95">
      <c r="A1061" s="143" t="n">
        <v>44525</v>
      </c>
      <c r="B1061" s="94" t="n">
        <v>2021</v>
      </c>
      <c r="C1061" s="94" t="inlineStr">
        <is>
          <t>2021-Q4</t>
        </is>
      </c>
      <c r="D1061" s="186" t="n">
        <v>57198.1838462953</v>
      </c>
      <c r="E1061" s="188" t="n">
        <v>1080039673037.49</v>
      </c>
      <c r="F1061" s="188" t="n">
        <v>31695369987.8511</v>
      </c>
    </row>
    <row r="1062" ht="15" customHeight="1" s="95">
      <c r="A1062" s="143" t="n">
        <v>44526</v>
      </c>
      <c r="B1062" s="94" t="n">
        <v>2021</v>
      </c>
      <c r="C1062" s="94" t="inlineStr">
        <is>
          <t>2021-Q4</t>
        </is>
      </c>
      <c r="D1062" s="186" t="n">
        <v>58897.8469829979</v>
      </c>
      <c r="E1062" s="188" t="n">
        <v>1112182356756.77</v>
      </c>
      <c r="F1062" s="188" t="n">
        <v>33721097081.4198</v>
      </c>
    </row>
    <row r="1063" ht="15" customHeight="1" s="95">
      <c r="A1063" s="143" t="n">
        <v>44527</v>
      </c>
      <c r="B1063" s="94" t="n">
        <v>2021</v>
      </c>
      <c r="C1063" s="94" t="inlineStr">
        <is>
          <t>2021-Q4</t>
        </is>
      </c>
      <c r="D1063" s="186" t="n">
        <v>53827.7928650347</v>
      </c>
      <c r="E1063" s="188" t="n">
        <v>1016487054819.72</v>
      </c>
      <c r="F1063" s="188" t="n">
        <v>41325811946.271</v>
      </c>
    </row>
    <row r="1064" ht="15" customHeight="1" s="95">
      <c r="A1064" s="143" t="n">
        <v>44528</v>
      </c>
      <c r="B1064" s="94" t="n">
        <v>2021</v>
      </c>
      <c r="C1064" s="94" t="inlineStr">
        <is>
          <t>2021-Q4</t>
        </is>
      </c>
      <c r="D1064" s="186" t="n">
        <v>54533.4038824269</v>
      </c>
      <c r="E1064" s="188" t="n">
        <v>1030781591912.82</v>
      </c>
      <c r="F1064" s="188" t="n">
        <v>28256851067.7027</v>
      </c>
    </row>
    <row r="1065" ht="15" customHeight="1" s="95">
      <c r="A1065" s="143" t="n">
        <v>44529</v>
      </c>
      <c r="B1065" s="94" t="n">
        <v>2021</v>
      </c>
      <c r="C1065" s="94" t="inlineStr">
        <is>
          <t>2021-Q4</t>
        </is>
      </c>
      <c r="D1065" s="186" t="n">
        <v>57237.6611370904</v>
      </c>
      <c r="E1065" s="188" t="n">
        <v>1080980050980.76</v>
      </c>
      <c r="F1065" s="188" t="n">
        <v>27659464986.7389</v>
      </c>
    </row>
    <row r="1066" ht="15" customHeight="1" s="95">
      <c r="A1066" s="143" t="n">
        <v>44530</v>
      </c>
      <c r="B1066" s="94" t="n">
        <v>2021</v>
      </c>
      <c r="C1066" s="94" t="inlineStr">
        <is>
          <t>2021-Q4</t>
        </is>
      </c>
      <c r="D1066" s="186" t="n">
        <v>57848.7735371299</v>
      </c>
      <c r="E1066" s="188" t="n">
        <v>1092574224475.69</v>
      </c>
      <c r="F1066" s="188" t="n">
        <v>30985196646.766</v>
      </c>
    </row>
    <row r="1067" ht="15" customHeight="1" s="95">
      <c r="A1067" s="143" t="n">
        <v>44531</v>
      </c>
      <c r="B1067" s="94" t="n">
        <v>2021</v>
      </c>
      <c r="C1067" s="94" t="inlineStr">
        <is>
          <t>2021-Q4</t>
        </is>
      </c>
      <c r="D1067" s="186" t="n">
        <v>57011.2804742423</v>
      </c>
      <c r="E1067" s="188" t="n">
        <v>1076804436724.32</v>
      </c>
      <c r="F1067" s="188" t="n">
        <v>35723038603.8306</v>
      </c>
    </row>
    <row r="1068" ht="15" customHeight="1" s="95">
      <c r="A1068" s="143" t="n">
        <v>44532</v>
      </c>
      <c r="B1068" s="94" t="n">
        <v>2021</v>
      </c>
      <c r="C1068" s="94" t="inlineStr">
        <is>
          <t>2021-Q4</t>
        </is>
      </c>
      <c r="D1068" s="186" t="n">
        <v>57169.3719938106</v>
      </c>
      <c r="E1068" s="188" t="n">
        <v>1079838995016.59</v>
      </c>
      <c r="F1068" s="188" t="n">
        <v>49383073891.0005</v>
      </c>
    </row>
    <row r="1069" ht="15" customHeight="1" s="95">
      <c r="A1069" s="143" t="n">
        <v>44533</v>
      </c>
      <c r="B1069" s="94" t="n">
        <v>2021</v>
      </c>
      <c r="C1069" s="94" t="inlineStr">
        <is>
          <t>2021-Q4</t>
        </is>
      </c>
      <c r="D1069" s="186" t="n">
        <v>56508.2680540227</v>
      </c>
      <c r="E1069" s="188" t="n">
        <v>1067406204922.56</v>
      </c>
      <c r="F1069" s="188" t="n">
        <v>36296342256.7569</v>
      </c>
    </row>
    <row r="1070" ht="15" customHeight="1" s="95">
      <c r="A1070" s="143" t="n">
        <v>44534</v>
      </c>
      <c r="B1070" s="94" t="n">
        <v>2021</v>
      </c>
      <c r="C1070" s="94" t="inlineStr">
        <is>
          <t>2021-Q4</t>
        </is>
      </c>
      <c r="D1070" s="186" t="n">
        <v>53785.9671723792</v>
      </c>
      <c r="E1070" s="188" t="n">
        <v>1016040747069.7</v>
      </c>
      <c r="F1070" s="188" t="n">
        <v>39527112725.9228</v>
      </c>
    </row>
    <row r="1071" ht="15" customHeight="1" s="95">
      <c r="A1071" s="143" t="n">
        <v>44535</v>
      </c>
      <c r="B1071" s="94" t="n">
        <v>2021</v>
      </c>
      <c r="C1071" s="94" t="inlineStr">
        <is>
          <t>2021-Q4</t>
        </is>
      </c>
      <c r="D1071" s="186" t="n">
        <v>49161.9907095752</v>
      </c>
      <c r="E1071" s="188" t="n">
        <v>930097457941.656</v>
      </c>
      <c r="F1071" s="188" t="n">
        <v>55941408415.0365</v>
      </c>
    </row>
    <row r="1072" ht="15" customHeight="1" s="95">
      <c r="A1072" s="143" t="n">
        <v>44536</v>
      </c>
      <c r="B1072" s="94" t="n">
        <v>2021</v>
      </c>
      <c r="C1072" s="94" t="inlineStr">
        <is>
          <t>2021-Q4</t>
        </is>
      </c>
      <c r="D1072" s="186" t="n">
        <v>49268.4698905394</v>
      </c>
      <c r="E1072" s="188" t="n">
        <v>932015145132.0601</v>
      </c>
      <c r="F1072" s="188" t="n">
        <v>32826574574.4417</v>
      </c>
    </row>
    <row r="1073" ht="15" customHeight="1" s="95">
      <c r="A1073" s="143" t="n">
        <v>44537</v>
      </c>
      <c r="B1073" s="94" t="n">
        <v>2021</v>
      </c>
      <c r="C1073" s="94" t="inlineStr">
        <is>
          <t>2021-Q4</t>
        </is>
      </c>
      <c r="D1073" s="186" t="n">
        <v>50461.5768365398</v>
      </c>
      <c r="E1073" s="188" t="n">
        <v>953396710269.548</v>
      </c>
      <c r="F1073" s="188" t="n">
        <v>36126018721.8266</v>
      </c>
    </row>
    <row r="1074" ht="15" customHeight="1" s="95">
      <c r="A1074" s="143" t="n">
        <v>44538</v>
      </c>
      <c r="B1074" s="94" t="n">
        <v>2021</v>
      </c>
      <c r="C1074" s="94" t="inlineStr">
        <is>
          <t>2021-Q4</t>
        </is>
      </c>
      <c r="D1074" s="186" t="n">
        <v>50647.6634063576</v>
      </c>
      <c r="E1074" s="188" t="n">
        <v>956961313925.818</v>
      </c>
      <c r="F1074" s="188" t="n">
        <v>30083305919.5604</v>
      </c>
    </row>
    <row r="1075" ht="15" customHeight="1" s="95">
      <c r="A1075" s="143" t="n">
        <v>44539</v>
      </c>
      <c r="B1075" s="94" t="n">
        <v>2021</v>
      </c>
      <c r="C1075" s="94" t="inlineStr">
        <is>
          <t>2021-Q4</t>
        </is>
      </c>
      <c r="D1075" s="186" t="n">
        <v>50530.4580645934</v>
      </c>
      <c r="E1075" s="188" t="n">
        <v>954800139986.473</v>
      </c>
      <c r="F1075" s="188" t="n">
        <v>26590164539.0596</v>
      </c>
    </row>
    <row r="1076" ht="15" customHeight="1" s="95">
      <c r="A1076" s="143" t="n">
        <v>44540</v>
      </c>
      <c r="B1076" s="94" t="n">
        <v>2021</v>
      </c>
      <c r="C1076" s="94" t="inlineStr">
        <is>
          <t>2021-Q4</t>
        </is>
      </c>
      <c r="D1076" s="186" t="n">
        <v>47885.8719894171</v>
      </c>
      <c r="E1076" s="188" t="n">
        <v>904878061656.851</v>
      </c>
      <c r="F1076" s="188" t="n">
        <v>27269362515.2469</v>
      </c>
    </row>
    <row r="1077" ht="15" customHeight="1" s="95">
      <c r="A1077" s="143" t="n">
        <v>44541</v>
      </c>
      <c r="B1077" s="94" t="n">
        <v>2021</v>
      </c>
      <c r="C1077" s="94" t="inlineStr">
        <is>
          <t>2021-Q4</t>
        </is>
      </c>
      <c r="D1077" s="186" t="n">
        <v>47303.5641521741</v>
      </c>
      <c r="E1077" s="188" t="n">
        <v>893919955029.865</v>
      </c>
      <c r="F1077" s="188" t="n">
        <v>29611257204.741</v>
      </c>
    </row>
    <row r="1078" ht="15" customHeight="1" s="95">
      <c r="A1078" s="143" t="n">
        <v>44542</v>
      </c>
      <c r="B1078" s="94" t="n">
        <v>2021</v>
      </c>
      <c r="C1078" s="94" t="inlineStr">
        <is>
          <t>2021-Q4</t>
        </is>
      </c>
      <c r="D1078" s="186" t="n">
        <v>49242.3023240715</v>
      </c>
      <c r="E1078" s="188" t="n">
        <v>930603779263.9771</v>
      </c>
      <c r="F1078" s="188" t="n">
        <v>24619129766.7742</v>
      </c>
    </row>
    <row r="1079" ht="15" customHeight="1" s="95">
      <c r="A1079" s="143" t="n">
        <v>44543</v>
      </c>
      <c r="B1079" s="94" t="n">
        <v>2021</v>
      </c>
      <c r="C1079" s="94" t="inlineStr">
        <is>
          <t>2021-Q4</t>
        </is>
      </c>
      <c r="D1079" s="186" t="n">
        <v>50051.0783486749</v>
      </c>
      <c r="E1079" s="188" t="n">
        <v>945932497231.48</v>
      </c>
      <c r="F1079" s="188" t="n">
        <v>19871029748.3556</v>
      </c>
    </row>
    <row r="1080" ht="15" customHeight="1" s="95">
      <c r="A1080" s="143" t="n">
        <v>44544</v>
      </c>
      <c r="B1080" s="94" t="n">
        <v>2021</v>
      </c>
      <c r="C1080" s="94" t="inlineStr">
        <is>
          <t>2021-Q4</t>
        </is>
      </c>
      <c r="D1080" s="186" t="n">
        <v>46696.3046994668</v>
      </c>
      <c r="E1080" s="188" t="n">
        <v>882570058436.5179</v>
      </c>
      <c r="F1080" s="188" t="n">
        <v>29628245402.1241</v>
      </c>
    </row>
    <row r="1081" ht="15" customHeight="1" s="95">
      <c r="A1081" s="143" t="n">
        <v>44545</v>
      </c>
      <c r="B1081" s="94" t="n">
        <v>2021</v>
      </c>
      <c r="C1081" s="94" t="inlineStr">
        <is>
          <t>2021-Q4</t>
        </is>
      </c>
      <c r="D1081" s="186" t="n">
        <v>48410.5646563093</v>
      </c>
      <c r="E1081" s="188" t="n">
        <v>915015634616.989</v>
      </c>
      <c r="F1081" s="188" t="n">
        <v>30152105689.9527</v>
      </c>
    </row>
    <row r="1082" ht="15" customHeight="1" s="95">
      <c r="A1082" s="143" t="n">
        <v>44546</v>
      </c>
      <c r="B1082" s="94" t="n">
        <v>2021</v>
      </c>
      <c r="C1082" s="94" t="inlineStr">
        <is>
          <t>2021-Q4</t>
        </is>
      </c>
      <c r="D1082" s="186" t="n">
        <v>48936.8625824416</v>
      </c>
      <c r="E1082" s="188" t="n">
        <v>925006387197.226</v>
      </c>
      <c r="F1082" s="188" t="n">
        <v>33782603071.2087</v>
      </c>
    </row>
    <row r="1083" ht="15" customHeight="1" s="95">
      <c r="A1083" s="143" t="n">
        <v>44547</v>
      </c>
      <c r="B1083" s="94" t="n">
        <v>2021</v>
      </c>
      <c r="C1083" s="94" t="inlineStr">
        <is>
          <t>2021-Q4</t>
        </is>
      </c>
      <c r="D1083" s="186" t="n">
        <v>47694.5305022518</v>
      </c>
      <c r="E1083" s="188" t="n">
        <v>901558072618.6219</v>
      </c>
      <c r="F1083" s="188" t="n">
        <v>24699414443.5655</v>
      </c>
    </row>
    <row r="1084" ht="15" customHeight="1" s="95">
      <c r="A1084" s="143" t="n">
        <v>44548</v>
      </c>
      <c r="B1084" s="94" t="n">
        <v>2021</v>
      </c>
      <c r="C1084" s="94" t="inlineStr">
        <is>
          <t>2021-Q4</t>
        </is>
      </c>
      <c r="D1084" s="186" t="n">
        <v>46328.6963654447</v>
      </c>
      <c r="E1084" s="188" t="n">
        <v>875783175210.4041</v>
      </c>
      <c r="F1084" s="188" t="n">
        <v>30617760444.4496</v>
      </c>
    </row>
    <row r="1085" ht="15" customHeight="1" s="95">
      <c r="A1085" s="143" t="n">
        <v>44549</v>
      </c>
      <c r="B1085" s="94" t="n">
        <v>2021</v>
      </c>
      <c r="C1085" s="94" t="inlineStr">
        <is>
          <t>2021-Q4</t>
        </is>
      </c>
      <c r="D1085" s="186" t="n">
        <v>46970.057050727</v>
      </c>
      <c r="E1085" s="188" t="n">
        <v>887944269264.043</v>
      </c>
      <c r="F1085" s="188" t="n">
        <v>23305069269.6438</v>
      </c>
    </row>
    <row r="1086" ht="15" customHeight="1" s="95">
      <c r="A1086" s="143" t="n">
        <v>44550</v>
      </c>
      <c r="B1086" s="94" t="n">
        <v>2021</v>
      </c>
      <c r="C1086" s="94" t="inlineStr">
        <is>
          <t>2021-Q4</t>
        </is>
      </c>
      <c r="D1086" s="186" t="n">
        <v>46807.0486164263</v>
      </c>
      <c r="E1086" s="188" t="n">
        <v>884905649263.645</v>
      </c>
      <c r="F1086" s="188" t="n">
        <v>23002876885.7013</v>
      </c>
    </row>
    <row r="1087" ht="15" customHeight="1" s="95">
      <c r="A1087" s="143" t="n">
        <v>44551</v>
      </c>
      <c r="B1087" s="94" t="n">
        <v>2021</v>
      </c>
      <c r="C1087" s="94" t="inlineStr">
        <is>
          <t>2021-Q4</t>
        </is>
      </c>
      <c r="D1087" s="186" t="n">
        <v>47117.0082042105</v>
      </c>
      <c r="E1087" s="188" t="n">
        <v>890808857615.363</v>
      </c>
      <c r="F1087" s="188" t="n">
        <v>29356191956.1819</v>
      </c>
    </row>
    <row r="1088" ht="15" customHeight="1" s="95">
      <c r="A1088" s="143" t="n">
        <v>44552</v>
      </c>
      <c r="B1088" s="94" t="n">
        <v>2021</v>
      </c>
      <c r="C1088" s="94" t="inlineStr">
        <is>
          <t>2021-Q4</t>
        </is>
      </c>
      <c r="D1088" s="186" t="n">
        <v>49145.2172584989</v>
      </c>
      <c r="E1088" s="188" t="n">
        <v>929203956014.222</v>
      </c>
      <c r="F1088" s="188" t="n">
        <v>25764127608.3109</v>
      </c>
    </row>
    <row r="1089" ht="15" customHeight="1" s="95">
      <c r="A1089" s="143" t="n">
        <v>44553</v>
      </c>
      <c r="B1089" s="94" t="n">
        <v>2021</v>
      </c>
      <c r="C1089" s="94" t="inlineStr">
        <is>
          <t>2021-Q4</t>
        </is>
      </c>
      <c r="D1089" s="186" t="n">
        <v>48755.8956440448</v>
      </c>
      <c r="E1089" s="188" t="n">
        <v>921888029984.8669</v>
      </c>
      <c r="F1089" s="188" t="n">
        <v>21887790445.9283</v>
      </c>
    </row>
    <row r="1090" ht="15" customHeight="1" s="95">
      <c r="A1090" s="143" t="n">
        <v>44554</v>
      </c>
      <c r="B1090" s="94" t="n">
        <v>2021</v>
      </c>
      <c r="C1090" s="94" t="inlineStr">
        <is>
          <t>2021-Q4</t>
        </is>
      </c>
      <c r="D1090" s="186" t="n">
        <v>50900.614949516</v>
      </c>
      <c r="E1090" s="188" t="n">
        <v>960809259355.085</v>
      </c>
      <c r="F1090" s="188" t="n">
        <v>26419703744.657</v>
      </c>
    </row>
    <row r="1091" ht="15" customHeight="1" s="95">
      <c r="A1091" s="143" t="n">
        <v>44555</v>
      </c>
      <c r="B1091" s="94" t="n">
        <v>2021</v>
      </c>
      <c r="C1091" s="94" t="inlineStr">
        <is>
          <t>2021-Q4</t>
        </is>
      </c>
      <c r="D1091" s="186" t="n">
        <v>50888.7210367868</v>
      </c>
      <c r="E1091" s="188" t="n">
        <v>962312381228.095</v>
      </c>
      <c r="F1091" s="188" t="n">
        <v>22535489970.1972</v>
      </c>
    </row>
    <row r="1092" ht="15" customHeight="1" s="95">
      <c r="A1092" s="143" t="n">
        <v>44556</v>
      </c>
      <c r="B1092" s="94" t="n">
        <v>2021</v>
      </c>
      <c r="C1092" s="94" t="inlineStr">
        <is>
          <t>2021-Q4</t>
        </is>
      </c>
      <c r="D1092" s="186" t="n">
        <v>50663.4871021322</v>
      </c>
      <c r="E1092" s="188" t="n">
        <v>958099737762.776</v>
      </c>
      <c r="F1092" s="188" t="n">
        <v>17235296605.8256</v>
      </c>
    </row>
    <row r="1093" ht="15" customHeight="1" s="95">
      <c r="A1093" s="143" t="n">
        <v>44557</v>
      </c>
      <c r="B1093" s="94" t="n">
        <v>2021</v>
      </c>
      <c r="C1093" s="94" t="inlineStr">
        <is>
          <t>2021-Q4</t>
        </is>
      </c>
      <c r="D1093" s="186" t="n">
        <v>50852.8602595407</v>
      </c>
      <c r="E1093" s="188" t="n">
        <v>961723851972.385</v>
      </c>
      <c r="F1093" s="188" t="n">
        <v>19632044502.1314</v>
      </c>
    </row>
    <row r="1094" ht="15" customHeight="1" s="95">
      <c r="A1094" s="143" t="n">
        <v>44558</v>
      </c>
      <c r="B1094" s="94" t="n">
        <v>2021</v>
      </c>
      <c r="C1094" s="94" t="inlineStr">
        <is>
          <t>2021-Q4</t>
        </is>
      </c>
      <c r="D1094" s="186" t="n">
        <v>50774.067814743</v>
      </c>
      <c r="E1094" s="188" t="n">
        <v>960280703699.892</v>
      </c>
      <c r="F1094" s="188" t="n">
        <v>22793878136.8336</v>
      </c>
    </row>
    <row r="1095" ht="15" customHeight="1" s="95">
      <c r="A1095" s="143" t="n">
        <v>44559</v>
      </c>
      <c r="B1095" s="94" t="n">
        <v>2021</v>
      </c>
      <c r="C1095" s="94" t="inlineStr">
        <is>
          <t>2021-Q4</t>
        </is>
      </c>
      <c r="D1095" s="186" t="n">
        <v>47725.1480463193</v>
      </c>
      <c r="E1095" s="188" t="n">
        <v>902655839568.455</v>
      </c>
      <c r="F1095" s="188" t="n">
        <v>29538983233.487</v>
      </c>
    </row>
    <row r="1096" ht="15" customHeight="1" s="95">
      <c r="A1096" s="143" t="n">
        <v>44560</v>
      </c>
      <c r="B1096" s="94" t="n">
        <v>2021</v>
      </c>
      <c r="C1096" s="94" t="inlineStr">
        <is>
          <t>2021-Q4</t>
        </is>
      </c>
      <c r="D1096" s="186" t="n">
        <v>46506.9946476794</v>
      </c>
      <c r="E1096" s="188" t="n">
        <v>874314106559.554</v>
      </c>
      <c r="F1096" s="188" t="n">
        <v>26348739119.3781</v>
      </c>
    </row>
    <row r="1097" ht="15" customHeight="1" s="95">
      <c r="A1097" s="143" t="n">
        <v>44561</v>
      </c>
      <c r="B1097" s="94" t="n">
        <v>2021</v>
      </c>
      <c r="C1097" s="94" t="inlineStr">
        <is>
          <t>2021-Q4</t>
        </is>
      </c>
      <c r="D1097" s="186" t="n">
        <v>47191.8683898395</v>
      </c>
      <c r="E1097" s="188" t="n">
        <v>892648631305.542</v>
      </c>
      <c r="F1097" s="188" t="n">
        <v>23753871435.2166</v>
      </c>
    </row>
    <row r="1098" ht="15" customHeight="1" s="95">
      <c r="A1098" s="143" t="n">
        <v>44562</v>
      </c>
      <c r="B1098" s="94" t="n">
        <v>2022</v>
      </c>
      <c r="C1098" s="94" t="inlineStr">
        <is>
          <t>2022-Q1</t>
        </is>
      </c>
      <c r="D1098" s="186" t="n">
        <v>46319.6510880525</v>
      </c>
      <c r="E1098" s="188" t="n">
        <v>876192941903.0959</v>
      </c>
      <c r="F1098" s="188" t="n">
        <v>25895349604.8862</v>
      </c>
    </row>
    <row r="1099" ht="15" customHeight="1" s="95">
      <c r="A1099" s="143" t="n">
        <v>44563</v>
      </c>
      <c r="B1099" s="94" t="n">
        <v>2022</v>
      </c>
      <c r="C1099" s="94" t="inlineStr">
        <is>
          <t>2022-Q1</t>
        </is>
      </c>
      <c r="D1099" s="186" t="n">
        <v>47816.0776764085</v>
      </c>
      <c r="E1099" s="188" t="n">
        <v>904551946917.321</v>
      </c>
      <c r="F1099" s="188" t="n">
        <v>18904585811.034</v>
      </c>
    </row>
    <row r="1100" ht="15" customHeight="1" s="95">
      <c r="A1100" s="143" t="n">
        <v>44564</v>
      </c>
      <c r="B1100" s="94" t="n">
        <v>2022</v>
      </c>
      <c r="C1100" s="94" t="inlineStr">
        <is>
          <t>2022-Q1</t>
        </is>
      </c>
      <c r="D1100" s="186" t="n">
        <v>47387.2121676973</v>
      </c>
      <c r="E1100" s="188" t="n">
        <v>897536090320.936</v>
      </c>
      <c r="F1100" s="188" t="n">
        <v>33756128241.9857</v>
      </c>
    </row>
    <row r="1101" ht="15" customHeight="1" s="95">
      <c r="A1101" s="143" t="n">
        <v>44565</v>
      </c>
      <c r="B1101" s="94" t="n">
        <v>2022</v>
      </c>
      <c r="C1101" s="94" t="inlineStr">
        <is>
          <t>2022-Q1</t>
        </is>
      </c>
      <c r="D1101" s="186" t="n">
        <v>46531.1408605305</v>
      </c>
      <c r="E1101" s="188" t="n">
        <v>880330191985.197</v>
      </c>
      <c r="F1101" s="188" t="n">
        <v>21890019531.5777</v>
      </c>
    </row>
    <row r="1102" ht="15" customHeight="1" s="95">
      <c r="A1102" s="143" t="n">
        <v>44566</v>
      </c>
      <c r="B1102" s="94" t="n">
        <v>2022</v>
      </c>
      <c r="C1102" s="94" t="inlineStr">
        <is>
          <t>2022-Q1</t>
        </is>
      </c>
      <c r="D1102" s="186" t="n">
        <v>45938.0242717237</v>
      </c>
      <c r="E1102" s="188" t="n">
        <v>876242689666.196</v>
      </c>
      <c r="F1102" s="188" t="n">
        <v>24895990583.6632</v>
      </c>
    </row>
    <row r="1103" ht="15" customHeight="1" s="95">
      <c r="A1103" s="143" t="n">
        <v>44567</v>
      </c>
      <c r="B1103" s="94" t="n">
        <v>2022</v>
      </c>
      <c r="C1103" s="94" t="inlineStr">
        <is>
          <t>2022-Q1</t>
        </is>
      </c>
      <c r="D1103" s="186" t="n">
        <v>43647.1475080681</v>
      </c>
      <c r="E1103" s="188" t="n">
        <v>827723202715.105</v>
      </c>
      <c r="F1103" s="188" t="n">
        <v>31837641246.0179</v>
      </c>
    </row>
    <row r="1104" ht="15" customHeight="1" s="95">
      <c r="A1104" s="143" t="n">
        <v>44568</v>
      </c>
      <c r="B1104" s="94" t="n">
        <v>2022</v>
      </c>
      <c r="C1104" s="94" t="inlineStr">
        <is>
          <t>2022-Q1</t>
        </is>
      </c>
      <c r="D1104" s="186" t="n">
        <v>43216.4586769336</v>
      </c>
      <c r="E1104" s="188" t="n">
        <v>819522879407.058</v>
      </c>
      <c r="F1104" s="188" t="n">
        <v>26366602396.8118</v>
      </c>
    </row>
    <row r="1105" ht="15" customHeight="1" s="95">
      <c r="A1105" s="143" t="n">
        <v>44569</v>
      </c>
      <c r="B1105" s="94" t="n">
        <v>2022</v>
      </c>
      <c r="C1105" s="94" t="inlineStr">
        <is>
          <t>2022-Q1</t>
        </is>
      </c>
      <c r="D1105" s="186" t="n">
        <v>41527.1970426449</v>
      </c>
      <c r="E1105" s="188" t="n">
        <v>787735561341.111</v>
      </c>
      <c r="F1105" s="188" t="n">
        <v>79685254648.07629</v>
      </c>
    </row>
    <row r="1106" ht="15" customHeight="1" s="95">
      <c r="A1106" s="143" t="n">
        <v>44570</v>
      </c>
      <c r="B1106" s="94" t="n">
        <v>2022</v>
      </c>
      <c r="C1106" s="94" t="inlineStr">
        <is>
          <t>2022-Q1</t>
        </is>
      </c>
      <c r="D1106" s="186" t="n">
        <v>41756.6623239783</v>
      </c>
      <c r="E1106" s="188" t="n">
        <v>792892599975.955</v>
      </c>
      <c r="F1106" s="188" t="n">
        <v>23337017232.7707</v>
      </c>
    </row>
    <row r="1107" ht="15" customHeight="1" s="95">
      <c r="A1107" s="143" t="n">
        <v>44571</v>
      </c>
      <c r="B1107" s="94" t="n">
        <v>2022</v>
      </c>
      <c r="C1107" s="94" t="inlineStr">
        <is>
          <t>2022-Q1</t>
        </is>
      </c>
      <c r="D1107" s="186" t="n">
        <v>41862.3609856517</v>
      </c>
      <c r="E1107" s="188" t="n">
        <v>791648558214.558</v>
      </c>
      <c r="F1107" s="188" t="n">
        <v>18016718173.6086</v>
      </c>
    </row>
    <row r="1108" ht="15" customHeight="1" s="95">
      <c r="A1108" s="143" t="n">
        <v>44572</v>
      </c>
      <c r="B1108" s="94" t="n">
        <v>2022</v>
      </c>
      <c r="C1108" s="94" t="inlineStr">
        <is>
          <t>2022-Q1</t>
        </is>
      </c>
      <c r="D1108" s="186" t="n">
        <v>41869.8590555922</v>
      </c>
      <c r="E1108" s="188" t="n">
        <v>792407724467.597</v>
      </c>
      <c r="F1108" s="188" t="n">
        <v>27984634062.0499</v>
      </c>
    </row>
    <row r="1109" ht="15" customHeight="1" s="95">
      <c r="A1109" s="143" t="n">
        <v>44573</v>
      </c>
      <c r="B1109" s="94" t="n">
        <v>2022</v>
      </c>
      <c r="C1109" s="94" t="inlineStr">
        <is>
          <t>2022-Q1</t>
        </is>
      </c>
      <c r="D1109" s="186" t="n">
        <v>42777.2110204824</v>
      </c>
      <c r="E1109" s="188" t="n">
        <v>809621515508.407</v>
      </c>
      <c r="F1109" s="188" t="n">
        <v>22813557397.8215</v>
      </c>
    </row>
    <row r="1110" ht="15" customHeight="1" s="95">
      <c r="A1110" s="143" t="n">
        <v>44574</v>
      </c>
      <c r="B1110" s="94" t="n">
        <v>2022</v>
      </c>
      <c r="C1110" s="94" t="inlineStr">
        <is>
          <t>2022-Q1</t>
        </is>
      </c>
      <c r="D1110" s="186" t="n">
        <v>43981.8773271741</v>
      </c>
      <c r="E1110" s="188" t="n">
        <v>832460077955.348</v>
      </c>
      <c r="F1110" s="188" t="n">
        <v>28250302540.221</v>
      </c>
    </row>
    <row r="1111" ht="15" customHeight="1" s="95">
      <c r="A1111" s="143" t="n">
        <v>44575</v>
      </c>
      <c r="B1111" s="94" t="n">
        <v>2022</v>
      </c>
      <c r="C1111" s="94" t="inlineStr">
        <is>
          <t>2022-Q1</t>
        </is>
      </c>
      <c r="D1111" s="186" t="n">
        <v>42608.4100119502</v>
      </c>
      <c r="E1111" s="188" t="n">
        <v>806510860231.829</v>
      </c>
      <c r="F1111" s="188" t="n">
        <v>43905745871.2928</v>
      </c>
    </row>
    <row r="1112" ht="15" customHeight="1" s="95">
      <c r="A1112" s="143" t="n">
        <v>44576</v>
      </c>
      <c r="B1112" s="94" t="n">
        <v>2022</v>
      </c>
      <c r="C1112" s="94" t="inlineStr">
        <is>
          <t>2022-Q1</t>
        </is>
      </c>
      <c r="D1112" s="186" t="n">
        <v>43120.8545110806</v>
      </c>
      <c r="E1112" s="188" t="n">
        <v>816129314317.4399</v>
      </c>
      <c r="F1112" s="188" t="n">
        <v>20238314434.8615</v>
      </c>
    </row>
    <row r="1113" ht="15" customHeight="1" s="95">
      <c r="A1113" s="143" t="n">
        <v>44577</v>
      </c>
      <c r="B1113" s="94" t="n">
        <v>2022</v>
      </c>
      <c r="C1113" s="94" t="inlineStr">
        <is>
          <t>2022-Q1</t>
        </is>
      </c>
      <c r="D1113" s="186" t="n">
        <v>43226.6502698092</v>
      </c>
      <c r="E1113" s="188" t="n">
        <v>816800318526.678</v>
      </c>
      <c r="F1113" s="188" t="n">
        <v>14651008624.7346</v>
      </c>
    </row>
    <row r="1114" ht="15" customHeight="1" s="95">
      <c r="A1114" s="143" t="n">
        <v>44578</v>
      </c>
      <c r="B1114" s="94" t="n">
        <v>2022</v>
      </c>
      <c r="C1114" s="94" t="inlineStr">
        <is>
          <t>2022-Q1</t>
        </is>
      </c>
      <c r="D1114" s="186" t="n">
        <v>43119.7921430803</v>
      </c>
      <c r="E1114" s="188" t="n">
        <v>816325578941.135</v>
      </c>
      <c r="F1114" s="188" t="n">
        <v>14452346388.5504</v>
      </c>
    </row>
    <row r="1115" ht="15" customHeight="1" s="95">
      <c r="A1115" s="143" t="n">
        <v>44579</v>
      </c>
      <c r="B1115" s="94" t="n">
        <v>2022</v>
      </c>
      <c r="C1115" s="94" t="inlineStr">
        <is>
          <t>2022-Q1</t>
        </is>
      </c>
      <c r="D1115" s="186" t="n">
        <v>42298.3411168723</v>
      </c>
      <c r="E1115" s="188" t="n">
        <v>800822650383.962</v>
      </c>
      <c r="F1115" s="188" t="n">
        <v>17694929625.8459</v>
      </c>
    </row>
    <row r="1116" ht="15" customHeight="1" s="95">
      <c r="A1116" s="143" t="n">
        <v>44580</v>
      </c>
      <c r="B1116" s="94" t="n">
        <v>2022</v>
      </c>
      <c r="C1116" s="94" t="inlineStr">
        <is>
          <t>2022-Q1</t>
        </is>
      </c>
      <c r="D1116" s="186" t="n">
        <v>42395.4587915734</v>
      </c>
      <c r="E1116" s="188" t="n">
        <v>803962100417.976</v>
      </c>
      <c r="F1116" s="188" t="n">
        <v>18897950050.286</v>
      </c>
    </row>
    <row r="1117" ht="15" customHeight="1" s="95">
      <c r="A1117" s="143" t="n">
        <v>44581</v>
      </c>
      <c r="B1117" s="94" t="n">
        <v>2022</v>
      </c>
      <c r="C1117" s="94" t="inlineStr">
        <is>
          <t>2022-Q1</t>
        </is>
      </c>
      <c r="D1117" s="186" t="n">
        <v>41749.5514309856</v>
      </c>
      <c r="E1117" s="188" t="n">
        <v>790507925308.783</v>
      </c>
      <c r="F1117" s="188" t="n">
        <v>19626113309.5541</v>
      </c>
    </row>
    <row r="1118" ht="15" customHeight="1" s="95">
      <c r="A1118" s="143" t="n">
        <v>44582</v>
      </c>
      <c r="B1118" s="94" t="n">
        <v>2022</v>
      </c>
      <c r="C1118" s="94" t="inlineStr">
        <is>
          <t>2022-Q1</t>
        </is>
      </c>
      <c r="D1118" s="186" t="n">
        <v>40707.6824143097</v>
      </c>
      <c r="E1118" s="188" t="n">
        <v>774235809673.473</v>
      </c>
      <c r="F1118" s="188" t="n">
        <v>20930163211.1711</v>
      </c>
    </row>
    <row r="1119" ht="15" customHeight="1" s="95">
      <c r="A1119" s="143" t="n">
        <v>44583</v>
      </c>
      <c r="B1119" s="94" t="n">
        <v>2022</v>
      </c>
      <c r="C1119" s="94" t="inlineStr">
        <is>
          <t>2022-Q1</t>
        </is>
      </c>
      <c r="D1119" s="186" t="n">
        <v>36508.7997898308</v>
      </c>
      <c r="E1119" s="188" t="n">
        <v>692855029162.938</v>
      </c>
      <c r="F1119" s="188" t="n">
        <v>38296960033.3163</v>
      </c>
    </row>
    <row r="1120" ht="15" customHeight="1" s="95">
      <c r="A1120" s="143" t="n">
        <v>44584</v>
      </c>
      <c r="B1120" s="94" t="n">
        <v>2022</v>
      </c>
      <c r="C1120" s="94" t="inlineStr">
        <is>
          <t>2022-Q1</t>
        </is>
      </c>
      <c r="D1120" s="186" t="n">
        <v>35180.4354628304</v>
      </c>
      <c r="E1120" s="188" t="n">
        <v>666220701468.485</v>
      </c>
      <c r="F1120" s="188" t="n">
        <v>35517336417.2577</v>
      </c>
    </row>
    <row r="1121" ht="15" customHeight="1" s="95">
      <c r="A1121" s="143" t="n">
        <v>44585</v>
      </c>
      <c r="B1121" s="94" t="n">
        <v>2022</v>
      </c>
      <c r="C1121" s="94" t="inlineStr">
        <is>
          <t>2022-Q1</t>
        </is>
      </c>
      <c r="D1121" s="186" t="n">
        <v>36306.4094404647</v>
      </c>
      <c r="E1121" s="188" t="n">
        <v>687575973800.0699</v>
      </c>
      <c r="F1121" s="188" t="n">
        <v>22865032968.6082</v>
      </c>
    </row>
    <row r="1122" ht="15" customHeight="1" s="95">
      <c r="A1122" s="143" t="n">
        <v>44586</v>
      </c>
      <c r="B1122" s="94" t="n">
        <v>2022</v>
      </c>
      <c r="C1122" s="94" t="inlineStr">
        <is>
          <t>2022-Q1</t>
        </is>
      </c>
      <c r="D1122" s="186" t="n">
        <v>36774.0071422401</v>
      </c>
      <c r="E1122" s="188" t="n">
        <v>696465421899.37</v>
      </c>
      <c r="F1122" s="188" t="n">
        <v>36385158448.6069</v>
      </c>
    </row>
    <row r="1123" ht="15" customHeight="1" s="95">
      <c r="A1123" s="143" t="n">
        <v>44587</v>
      </c>
      <c r="B1123" s="94" t="n">
        <v>2022</v>
      </c>
      <c r="C1123" s="94" t="inlineStr">
        <is>
          <t>2022-Q1</t>
        </is>
      </c>
      <c r="D1123" s="186" t="n">
        <v>36988.9285106674</v>
      </c>
      <c r="E1123" s="188" t="n">
        <v>700571452648.824</v>
      </c>
      <c r="F1123" s="188" t="n">
        <v>46168918584.8535</v>
      </c>
    </row>
    <row r="1124" ht="15" customHeight="1" s="95">
      <c r="A1124" s="143" t="n">
        <v>44588</v>
      </c>
      <c r="B1124" s="94" t="n">
        <v>2022</v>
      </c>
      <c r="C1124" s="94" t="inlineStr">
        <is>
          <t>2022-Q1</t>
        </is>
      </c>
      <c r="D1124" s="186" t="n">
        <v>36870.440166931</v>
      </c>
      <c r="E1124" s="188" t="n">
        <v>700165819656.286</v>
      </c>
      <c r="F1124" s="188" t="n">
        <v>26756873749.7447</v>
      </c>
    </row>
    <row r="1125" ht="15" customHeight="1" s="95">
      <c r="A1125" s="143" t="n">
        <v>44589</v>
      </c>
      <c r="B1125" s="94" t="n">
        <v>2022</v>
      </c>
      <c r="C1125" s="94" t="inlineStr">
        <is>
          <t>2022-Q1</t>
        </is>
      </c>
      <c r="D1125" s="186" t="n">
        <v>37276.839558175</v>
      </c>
      <c r="E1125" s="188" t="n">
        <v>702311456032.854</v>
      </c>
      <c r="F1125" s="188" t="n">
        <v>22057410457.2808</v>
      </c>
    </row>
    <row r="1126" ht="15" customHeight="1" s="95">
      <c r="A1126" s="143" t="n">
        <v>44590</v>
      </c>
      <c r="B1126" s="94" t="n">
        <v>2022</v>
      </c>
      <c r="C1126" s="94" t="inlineStr">
        <is>
          <t>2022-Q1</t>
        </is>
      </c>
      <c r="D1126" s="186" t="n">
        <v>37852.5790280326</v>
      </c>
      <c r="E1126" s="188" t="n">
        <v>717026944842.833</v>
      </c>
      <c r="F1126" s="188" t="n">
        <v>19214103304.0529</v>
      </c>
    </row>
    <row r="1127" ht="15" customHeight="1" s="95">
      <c r="A1127" s="143" t="n">
        <v>44591</v>
      </c>
      <c r="B1127" s="94" t="n">
        <v>2022</v>
      </c>
      <c r="C1127" s="94" t="inlineStr">
        <is>
          <t>2022-Q1</t>
        </is>
      </c>
      <c r="D1127" s="186" t="n">
        <v>38232.1787321771</v>
      </c>
      <c r="E1127" s="188" t="n">
        <v>722829009646.181</v>
      </c>
      <c r="F1127" s="188" t="n">
        <v>14178650231.622</v>
      </c>
    </row>
    <row r="1128" ht="15" customHeight="1" s="95">
      <c r="A1128" s="143" t="n">
        <v>44592</v>
      </c>
      <c r="B1128" s="94" t="n">
        <v>2022</v>
      </c>
      <c r="C1128" s="94" t="inlineStr">
        <is>
          <t>2022-Q1</t>
        </is>
      </c>
      <c r="D1128" s="186" t="n">
        <v>37983.1514994065</v>
      </c>
      <c r="E1128" s="188" t="n">
        <v>719570142321.84</v>
      </c>
      <c r="F1128" s="188" t="n">
        <v>11807185113.6331</v>
      </c>
    </row>
    <row r="1129" ht="15" customHeight="1" s="95">
      <c r="A1129" s="143" t="n">
        <v>44593</v>
      </c>
      <c r="B1129" s="94" t="n">
        <v>2022</v>
      </c>
      <c r="C1129" s="94" t="inlineStr">
        <is>
          <t>2022-Q1</t>
        </is>
      </c>
      <c r="D1129" s="186" t="n">
        <v>38555.5344612116</v>
      </c>
      <c r="E1129" s="188" t="n">
        <v>727905398095.975</v>
      </c>
      <c r="F1129" s="188" t="n">
        <v>17731563487.284</v>
      </c>
    </row>
    <row r="1130" ht="15" customHeight="1" s="95">
      <c r="A1130" s="143" t="n">
        <v>44594</v>
      </c>
      <c r="B1130" s="94" t="n">
        <v>2022</v>
      </c>
      <c r="C1130" s="94" t="inlineStr">
        <is>
          <t>2022-Q1</t>
        </is>
      </c>
      <c r="D1130" s="186" t="n">
        <v>38835.6949432224</v>
      </c>
      <c r="E1130" s="188" t="n">
        <v>736102274236.606</v>
      </c>
      <c r="F1130" s="188" t="n">
        <v>17109120250.159</v>
      </c>
    </row>
    <row r="1131" ht="15" customHeight="1" s="95">
      <c r="A1131" s="143" t="n">
        <v>44595</v>
      </c>
      <c r="B1131" s="94" t="n">
        <v>2022</v>
      </c>
      <c r="C1131" s="94" t="inlineStr">
        <is>
          <t>2022-Q1</t>
        </is>
      </c>
      <c r="D1131" s="186" t="n">
        <v>37000.982498642</v>
      </c>
      <c r="E1131" s="188" t="n">
        <v>700645616423.833</v>
      </c>
      <c r="F1131" s="188" t="n">
        <v>16709908527.2311</v>
      </c>
    </row>
    <row r="1132" ht="15" customHeight="1" s="95">
      <c r="A1132" s="143" t="n">
        <v>44596</v>
      </c>
      <c r="B1132" s="94" t="n">
        <v>2022</v>
      </c>
      <c r="C1132" s="94" t="inlineStr">
        <is>
          <t>2022-Q1</t>
        </is>
      </c>
      <c r="D1132" s="186" t="n">
        <v>37101.3515937809</v>
      </c>
      <c r="E1132" s="188" t="n">
        <v>703003347951.709</v>
      </c>
      <c r="F1132" s="188" t="n">
        <v>16136299994.8376</v>
      </c>
    </row>
    <row r="1133" ht="15" customHeight="1" s="95">
      <c r="A1133" s="143" t="n">
        <v>44597</v>
      </c>
      <c r="B1133" s="94" t="n">
        <v>2022</v>
      </c>
      <c r="C1133" s="94" t="inlineStr">
        <is>
          <t>2022-Q1</t>
        </is>
      </c>
      <c r="D1133" s="186" t="n">
        <v>41673.8395543094</v>
      </c>
      <c r="E1133" s="188" t="n">
        <v>777355085535.611</v>
      </c>
      <c r="F1133" s="188" t="n">
        <v>25347215343.8825</v>
      </c>
    </row>
    <row r="1134" ht="15" customHeight="1" s="95">
      <c r="A1134" s="143" t="n">
        <v>44598</v>
      </c>
      <c r="B1134" s="94" t="n">
        <v>2022</v>
      </c>
      <c r="C1134" s="94" t="inlineStr">
        <is>
          <t>2022-Q1</t>
        </is>
      </c>
      <c r="D1134" s="186" t="n">
        <v>41493.6900509105</v>
      </c>
      <c r="E1134" s="188" t="n">
        <v>786295053042.2419</v>
      </c>
      <c r="F1134" s="188" t="n">
        <v>16752051696.2486</v>
      </c>
    </row>
    <row r="1135" ht="15" customHeight="1" s="95">
      <c r="A1135" s="143" t="n">
        <v>44599</v>
      </c>
      <c r="B1135" s="94" t="n">
        <v>2022</v>
      </c>
      <c r="C1135" s="94" t="inlineStr">
        <is>
          <t>2022-Q1</t>
        </is>
      </c>
      <c r="D1135" s="186" t="n">
        <v>42475.5432209512</v>
      </c>
      <c r="E1135" s="188" t="n">
        <v>804942041477.058</v>
      </c>
      <c r="F1135" s="188" t="n">
        <v>13206494654.9081</v>
      </c>
    </row>
    <row r="1136" ht="15" customHeight="1" s="95">
      <c r="A1136" s="143" t="n">
        <v>44600</v>
      </c>
      <c r="B1136" s="94" t="n">
        <v>2022</v>
      </c>
      <c r="C1136" s="94" t="inlineStr">
        <is>
          <t>2022-Q1</t>
        </is>
      </c>
      <c r="D1136" s="186" t="n">
        <v>43910.9299864431</v>
      </c>
      <c r="E1136" s="188" t="n">
        <v>833392518214.834</v>
      </c>
      <c r="F1136" s="188" t="n">
        <v>24171856714.4758</v>
      </c>
    </row>
    <row r="1137" ht="15" customHeight="1" s="95">
      <c r="A1137" s="143" t="n">
        <v>44601</v>
      </c>
      <c r="B1137" s="94" t="n">
        <v>2022</v>
      </c>
      <c r="C1137" s="94" t="inlineStr">
        <is>
          <t>2022-Q1</t>
        </is>
      </c>
      <c r="D1137" s="186" t="n">
        <v>44184.4475116762</v>
      </c>
      <c r="E1137" s="188" t="n">
        <v>837406846076.231</v>
      </c>
      <c r="F1137" s="188" t="n">
        <v>29024977264.9321</v>
      </c>
    </row>
    <row r="1138" ht="15" customHeight="1" s="95">
      <c r="A1138" s="143" t="n">
        <v>44602</v>
      </c>
      <c r="B1138" s="94" t="n">
        <v>2022</v>
      </c>
      <c r="C1138" s="94" t="inlineStr">
        <is>
          <t>2022-Q1</t>
        </is>
      </c>
      <c r="D1138" s="186" t="n">
        <v>44383.8880554171</v>
      </c>
      <c r="E1138" s="188" t="n">
        <v>841339973338.869</v>
      </c>
      <c r="F1138" s="188" t="n">
        <v>19780565063.0989</v>
      </c>
    </row>
    <row r="1139" ht="15" customHeight="1" s="95">
      <c r="A1139" s="143" t="n">
        <v>44603</v>
      </c>
      <c r="B1139" s="94" t="n">
        <v>2022</v>
      </c>
      <c r="C1139" s="94" t="inlineStr">
        <is>
          <t>2022-Q1</t>
        </is>
      </c>
      <c r="D1139" s="186" t="n">
        <v>43628.1395323523</v>
      </c>
      <c r="E1139" s="188" t="n">
        <v>826942197610.39</v>
      </c>
      <c r="F1139" s="188" t="n">
        <v>27877618433.981</v>
      </c>
    </row>
    <row r="1140" ht="15" customHeight="1" s="95">
      <c r="A1140" s="143" t="n">
        <v>44604</v>
      </c>
      <c r="B1140" s="94" t="n">
        <v>2022</v>
      </c>
      <c r="C1140" s="94" t="inlineStr">
        <is>
          <t>2022-Q1</t>
        </is>
      </c>
      <c r="D1140" s="186" t="n">
        <v>42445.388767938</v>
      </c>
      <c r="E1140" s="188" t="n">
        <v>803706779791.8979</v>
      </c>
      <c r="F1140" s="188" t="n">
        <v>23279080009.725</v>
      </c>
    </row>
    <row r="1141" ht="15" customHeight="1" s="95">
      <c r="A1141" s="143" t="n">
        <v>44605</v>
      </c>
      <c r="B1141" s="94" t="n">
        <v>2022</v>
      </c>
      <c r="C1141" s="94" t="inlineStr">
        <is>
          <t>2022-Q1</t>
        </is>
      </c>
      <c r="D1141" s="186" t="n">
        <v>42254.7381232372</v>
      </c>
      <c r="E1141" s="188" t="n">
        <v>799547462142.609</v>
      </c>
      <c r="F1141" s="188" t="n">
        <v>15479727288.7828</v>
      </c>
    </row>
    <row r="1142" ht="15" customHeight="1" s="95">
      <c r="A1142" s="143" t="n">
        <v>44606</v>
      </c>
      <c r="B1142" s="94" t="n">
        <v>2022</v>
      </c>
      <c r="C1142" s="94" t="inlineStr">
        <is>
          <t>2022-Q1</t>
        </is>
      </c>
      <c r="D1142" s="186" t="n">
        <v>42247.8359532677</v>
      </c>
      <c r="E1142" s="188" t="n">
        <v>802059713029.39</v>
      </c>
      <c r="F1142" s="188" t="n">
        <v>12146423251.3997</v>
      </c>
    </row>
    <row r="1143" ht="15" customHeight="1" s="95">
      <c r="A1143" s="143" t="n">
        <v>44607</v>
      </c>
      <c r="B1143" s="94" t="n">
        <v>2022</v>
      </c>
      <c r="C1143" s="94" t="inlineStr">
        <is>
          <t>2022-Q1</t>
        </is>
      </c>
      <c r="D1143" s="186" t="n">
        <v>42634.5737836631</v>
      </c>
      <c r="E1143" s="188" t="n">
        <v>808280617642.05</v>
      </c>
      <c r="F1143" s="188" t="n">
        <v>18090873762.8228</v>
      </c>
    </row>
    <row r="1144" ht="15" customHeight="1" s="95">
      <c r="A1144" s="143" t="n">
        <v>44608</v>
      </c>
      <c r="B1144" s="94" t="n">
        <v>2022</v>
      </c>
      <c r="C1144" s="94" t="inlineStr">
        <is>
          <t>2022-Q1</t>
        </is>
      </c>
      <c r="D1144" s="186" t="n">
        <v>44574.3205709982</v>
      </c>
      <c r="E1144" s="188" t="n">
        <v>848321283143.993</v>
      </c>
      <c r="F1144" s="188" t="n">
        <v>19801081788.5558</v>
      </c>
    </row>
    <row r="1145" ht="15" customHeight="1" s="95">
      <c r="A1145" s="143" t="n">
        <v>44609</v>
      </c>
      <c r="B1145" s="94" t="n">
        <v>2022</v>
      </c>
      <c r="C1145" s="94" t="inlineStr">
        <is>
          <t>2022-Q1</t>
        </is>
      </c>
      <c r="D1145" s="186" t="n">
        <v>44063.2819827957</v>
      </c>
      <c r="E1145" s="188" t="n">
        <v>836256083783.791</v>
      </c>
      <c r="F1145" s="188" t="n">
        <v>16847003857.4335</v>
      </c>
    </row>
    <row r="1146" ht="15" customHeight="1" s="95">
      <c r="A1146" s="143" t="n">
        <v>44610</v>
      </c>
      <c r="B1146" s="94" t="n">
        <v>2022</v>
      </c>
      <c r="C1146" s="94" t="inlineStr">
        <is>
          <t>2022-Q1</t>
        </is>
      </c>
      <c r="D1146" s="186" t="n">
        <v>40562.9869498282</v>
      </c>
      <c r="E1146" s="188" t="n">
        <v>770096677778.646</v>
      </c>
      <c r="F1146" s="188" t="n">
        <v>22270664615.4777</v>
      </c>
    </row>
    <row r="1147" ht="15" customHeight="1" s="95">
      <c r="A1147" s="143" t="n">
        <v>44611</v>
      </c>
      <c r="B1147" s="94" t="n">
        <v>2022</v>
      </c>
      <c r="C1147" s="94" t="inlineStr">
        <is>
          <t>2022-Q1</t>
        </is>
      </c>
      <c r="D1147" s="186" t="n">
        <v>40073.4953623698</v>
      </c>
      <c r="E1147" s="188" t="n">
        <v>759881874201.301</v>
      </c>
      <c r="F1147" s="188" t="n">
        <v>20130002755.1779</v>
      </c>
    </row>
    <row r="1148" ht="15" customHeight="1" s="95">
      <c r="A1148" s="143" t="n">
        <v>44612</v>
      </c>
      <c r="B1148" s="94" t="n">
        <v>2022</v>
      </c>
      <c r="C1148" s="94" t="inlineStr">
        <is>
          <t>2022-Q1</t>
        </is>
      </c>
      <c r="D1148" s="186" t="n">
        <v>40192.7591214314</v>
      </c>
      <c r="E1148" s="188" t="n">
        <v>761447243939.927</v>
      </c>
      <c r="F1148" s="188" t="n">
        <v>11735183838.1772</v>
      </c>
    </row>
    <row r="1149" ht="15" customHeight="1" s="95">
      <c r="A1149" s="143" t="n">
        <v>44613</v>
      </c>
      <c r="B1149" s="94" t="n">
        <v>2022</v>
      </c>
      <c r="C1149" s="94" t="inlineStr">
        <is>
          <t>2022-Q1</t>
        </is>
      </c>
      <c r="D1149" s="186" t="n">
        <v>38514.0085362246</v>
      </c>
      <c r="E1149" s="188" t="n">
        <v>730381814665.4399</v>
      </c>
      <c r="F1149" s="188" t="n">
        <v>15998424231.0177</v>
      </c>
    </row>
    <row r="1150" ht="15" customHeight="1" s="95">
      <c r="A1150" s="143" t="n">
        <v>44614</v>
      </c>
      <c r="B1150" s="94" t="n">
        <v>2022</v>
      </c>
      <c r="C1150" s="94" t="inlineStr">
        <is>
          <t>2022-Q1</t>
        </is>
      </c>
      <c r="D1150" s="186" t="n">
        <v>37059.9794022875</v>
      </c>
      <c r="E1150" s="188" t="n">
        <v>703004241590.183</v>
      </c>
      <c r="F1150" s="188" t="n">
        <v>25174914104.1634</v>
      </c>
    </row>
    <row r="1151" ht="15" customHeight="1" s="95">
      <c r="A1151" s="143" t="n">
        <v>44615</v>
      </c>
      <c r="B1151" s="94" t="n">
        <v>2022</v>
      </c>
      <c r="C1151" s="94" t="inlineStr">
        <is>
          <t>2022-Q1</t>
        </is>
      </c>
      <c r="D1151" s="186" t="n">
        <v>38337.2038554348</v>
      </c>
      <c r="E1151" s="188" t="n">
        <v>727094284067.6591</v>
      </c>
      <c r="F1151" s="188" t="n">
        <v>22212181617.2002</v>
      </c>
    </row>
    <row r="1152" ht="15" customHeight="1" s="95">
      <c r="A1152" s="143" t="n">
        <v>44616</v>
      </c>
      <c r="B1152" s="94" t="n">
        <v>2022</v>
      </c>
      <c r="C1152" s="94" t="inlineStr">
        <is>
          <t>2022-Q1</t>
        </is>
      </c>
      <c r="D1152" s="186" t="n">
        <v>37372.2926803477</v>
      </c>
      <c r="E1152" s="188" t="n">
        <v>708829287814.1071</v>
      </c>
      <c r="F1152" s="188" t="n">
        <v>18507851467.8507</v>
      </c>
    </row>
    <row r="1153" ht="15" customHeight="1" s="95">
      <c r="A1153" s="143" t="n">
        <v>44617</v>
      </c>
      <c r="B1153" s="94" t="n">
        <v>2022</v>
      </c>
      <c r="C1153" s="94" t="inlineStr">
        <is>
          <t>2022-Q1</t>
        </is>
      </c>
      <c r="D1153" s="186" t="n">
        <v>38363.3454885702</v>
      </c>
      <c r="E1153" s="188" t="n">
        <v>727657714638.092</v>
      </c>
      <c r="F1153" s="188" t="n">
        <v>40839699480.8913</v>
      </c>
    </row>
    <row r="1154" ht="15" customHeight="1" s="95">
      <c r="A1154" s="143" t="n">
        <v>44618</v>
      </c>
      <c r="B1154" s="94" t="n">
        <v>2022</v>
      </c>
      <c r="C1154" s="94" t="inlineStr">
        <is>
          <t>2022-Q1</t>
        </is>
      </c>
      <c r="D1154" s="186" t="n">
        <v>39316.162075786</v>
      </c>
      <c r="E1154" s="188" t="n">
        <v>745763194704.1801</v>
      </c>
      <c r="F1154" s="188" t="n">
        <v>22579249141.5154</v>
      </c>
    </row>
    <row r="1155" ht="15" customHeight="1" s="95">
      <c r="A1155" s="143" t="n">
        <v>44619</v>
      </c>
      <c r="B1155" s="94" t="n">
        <v>2022</v>
      </c>
      <c r="C1155" s="94" t="inlineStr">
        <is>
          <t>2022-Q1</t>
        </is>
      </c>
      <c r="D1155" s="186" t="n">
        <v>39090.2021536091</v>
      </c>
      <c r="E1155" s="188" t="n">
        <v>741083625917.9301</v>
      </c>
      <c r="F1155" s="188" t="n">
        <v>14568201294.7454</v>
      </c>
    </row>
    <row r="1156" ht="15" customHeight="1" s="95">
      <c r="A1156" s="143" t="n">
        <v>44620</v>
      </c>
      <c r="B1156" s="94" t="n">
        <v>2022</v>
      </c>
      <c r="C1156" s="94" t="inlineStr">
        <is>
          <t>2022-Q1</t>
        </is>
      </c>
      <c r="D1156" s="186" t="n">
        <v>37803.5901604493</v>
      </c>
      <c r="E1156" s="188" t="n">
        <v>717619764688.087</v>
      </c>
      <c r="F1156" s="188" t="n">
        <v>19424397945.6196</v>
      </c>
    </row>
    <row r="1157" ht="15" customHeight="1" s="95">
      <c r="A1157" s="143" t="n">
        <v>44621</v>
      </c>
      <c r="B1157" s="94" t="n">
        <v>2022</v>
      </c>
      <c r="C1157" s="94" t="inlineStr">
        <is>
          <t>2022-Q1</t>
        </is>
      </c>
      <c r="D1157" s="186" t="n">
        <v>43225.4046774357</v>
      </c>
      <c r="E1157" s="188" t="n">
        <v>819019441071.749</v>
      </c>
      <c r="F1157" s="188" t="n">
        <v>30634280854.5383</v>
      </c>
    </row>
    <row r="1158" ht="15" customHeight="1" s="95">
      <c r="A1158" s="143" t="n">
        <v>44622</v>
      </c>
      <c r="B1158" s="94" t="n">
        <v>2022</v>
      </c>
      <c r="C1158" s="94" t="inlineStr">
        <is>
          <t>2022-Q1</t>
        </is>
      </c>
      <c r="D1158" s="186" t="n">
        <v>44459.5916277434</v>
      </c>
      <c r="E1158" s="188" t="n">
        <v>841254375272.046</v>
      </c>
      <c r="F1158" s="188" t="n">
        <v>27880763034.0939</v>
      </c>
    </row>
    <row r="1159" ht="15" customHeight="1" s="95">
      <c r="A1159" s="143" t="n">
        <v>44623</v>
      </c>
      <c r="B1159" s="94" t="n">
        <v>2022</v>
      </c>
      <c r="C1159" s="94" t="inlineStr">
        <is>
          <t>2022-Q1</t>
        </is>
      </c>
      <c r="D1159" s="186" t="n">
        <v>43980.7073820909</v>
      </c>
      <c r="E1159" s="188" t="n">
        <v>834437956671.667</v>
      </c>
      <c r="F1159" s="188" t="n">
        <v>25615956856.4028</v>
      </c>
    </row>
    <row r="1160" ht="15" customHeight="1" s="95">
      <c r="A1160" s="143" t="n">
        <v>44624</v>
      </c>
      <c r="B1160" s="94" t="n">
        <v>2022</v>
      </c>
      <c r="C1160" s="94" t="inlineStr">
        <is>
          <t>2022-Q1</t>
        </is>
      </c>
      <c r="D1160" s="186" t="n">
        <v>42491.9783933591</v>
      </c>
      <c r="E1160" s="188" t="n">
        <v>807454920681.722</v>
      </c>
      <c r="F1160" s="188" t="n">
        <v>22366184128.9005</v>
      </c>
    </row>
    <row r="1161" ht="15" customHeight="1" s="95">
      <c r="A1161" s="143" t="n">
        <v>44625</v>
      </c>
      <c r="B1161" s="94" t="n">
        <v>2022</v>
      </c>
      <c r="C1161" s="94" t="inlineStr">
        <is>
          <t>2022-Q1</t>
        </is>
      </c>
      <c r="D1161" s="186" t="n">
        <v>39200.2997355741</v>
      </c>
      <c r="E1161" s="188" t="n">
        <v>743810477766.222</v>
      </c>
      <c r="F1161" s="188" t="n">
        <v>25121267305.9793</v>
      </c>
    </row>
    <row r="1162" ht="15" customHeight="1" s="95">
      <c r="A1162" s="143" t="n">
        <v>44626</v>
      </c>
      <c r="B1162" s="94" t="n">
        <v>2022</v>
      </c>
      <c r="C1162" s="94" t="inlineStr">
        <is>
          <t>2022-Q1</t>
        </is>
      </c>
      <c r="D1162" s="186" t="n">
        <v>39463.1468114906</v>
      </c>
      <c r="E1162" s="188" t="n">
        <v>748197160856.101</v>
      </c>
      <c r="F1162" s="188" t="n">
        <v>14818212144.75</v>
      </c>
    </row>
    <row r="1163" ht="15" customHeight="1" s="95">
      <c r="A1163" s="143" t="n">
        <v>44627</v>
      </c>
      <c r="B1163" s="94" t="n">
        <v>2022</v>
      </c>
      <c r="C1163" s="94" t="inlineStr">
        <is>
          <t>2022-Q1</t>
        </is>
      </c>
      <c r="D1163" s="186" t="n">
        <v>38442.9917458868</v>
      </c>
      <c r="E1163" s="188" t="n">
        <v>729501899968.296</v>
      </c>
      <c r="F1163" s="188" t="n">
        <v>16995562040.6068</v>
      </c>
    </row>
    <row r="1164" ht="15" customHeight="1" s="95">
      <c r="A1164" s="143" t="n">
        <v>44628</v>
      </c>
      <c r="B1164" s="94" t="n">
        <v>2022</v>
      </c>
      <c r="C1164" s="94" t="inlineStr">
        <is>
          <t>2022-Q1</t>
        </is>
      </c>
      <c r="D1164" s="186" t="n">
        <v>38076.4938225203</v>
      </c>
      <c r="E1164" s="188" t="n">
        <v>723198804467.672</v>
      </c>
      <c r="F1164" s="188" t="n">
        <v>24596395439.059</v>
      </c>
    </row>
    <row r="1165" ht="15" customHeight="1" s="95">
      <c r="A1165" s="143" t="n">
        <v>44629</v>
      </c>
      <c r="B1165" s="94" t="n">
        <v>2022</v>
      </c>
      <c r="C1165" s="94" t="inlineStr">
        <is>
          <t>2022-Q1</t>
        </is>
      </c>
      <c r="D1165" s="186" t="n">
        <v>38732.9370130259</v>
      </c>
      <c r="E1165" s="188" t="n">
        <v>735453953725.92</v>
      </c>
      <c r="F1165" s="188" t="n">
        <v>22556397749.4281</v>
      </c>
    </row>
    <row r="1166" ht="15" customHeight="1" s="95">
      <c r="A1166" s="143" t="n">
        <v>44630</v>
      </c>
      <c r="B1166" s="94" t="n">
        <v>2022</v>
      </c>
      <c r="C1166" s="94" t="inlineStr">
        <is>
          <t>2022-Q1</t>
        </is>
      </c>
      <c r="D1166" s="186" t="n">
        <v>41986.0344460762</v>
      </c>
      <c r="E1166" s="188" t="n">
        <v>796849504897.256</v>
      </c>
      <c r="F1166" s="188" t="n">
        <v>29211702119.4486</v>
      </c>
    </row>
    <row r="1167" ht="15" customHeight="1" s="95">
      <c r="A1167" s="143" t="n">
        <v>44631</v>
      </c>
      <c r="B1167" s="94" t="n">
        <v>2022</v>
      </c>
      <c r="C1167" s="94" t="inlineStr">
        <is>
          <t>2022-Q1</t>
        </is>
      </c>
      <c r="D1167" s="186" t="n">
        <v>39468.3547730019</v>
      </c>
      <c r="E1167" s="188" t="n">
        <v>749384110700.109</v>
      </c>
      <c r="F1167" s="188" t="n">
        <v>27653455219.0413</v>
      </c>
    </row>
    <row r="1168" ht="15" customHeight="1" s="95">
      <c r="A1168" s="143" t="n">
        <v>44632</v>
      </c>
      <c r="B1168" s="94" t="n">
        <v>2022</v>
      </c>
      <c r="C1168" s="94" t="inlineStr">
        <is>
          <t>2022-Q1</t>
        </is>
      </c>
      <c r="D1168" s="186" t="n">
        <v>38775.1755884068</v>
      </c>
      <c r="E1168" s="188" t="n">
        <v>738267961692.682</v>
      </c>
      <c r="F1168" s="188" t="n">
        <v>23624165274.5224</v>
      </c>
    </row>
    <row r="1169" ht="15" customHeight="1" s="95">
      <c r="A1169" s="143" t="n">
        <v>44633</v>
      </c>
      <c r="B1169" s="94" t="n">
        <v>2022</v>
      </c>
      <c r="C1169" s="94" t="inlineStr">
        <is>
          <t>2022-Q1</t>
        </is>
      </c>
      <c r="D1169" s="186" t="n">
        <v>38903.693548006</v>
      </c>
      <c r="E1169" s="188" t="n">
        <v>738456528057.6689</v>
      </c>
      <c r="F1169" s="188" t="n">
        <v>12440826653.8472</v>
      </c>
    </row>
    <row r="1170" ht="15" customHeight="1" s="95">
      <c r="A1170" s="143" t="n">
        <v>44634</v>
      </c>
      <c r="B1170" s="94" t="n">
        <v>2022</v>
      </c>
      <c r="C1170" s="94" t="inlineStr">
        <is>
          <t>2022-Q1</t>
        </is>
      </c>
      <c r="D1170" s="186" t="n">
        <v>37852.5251410629</v>
      </c>
      <c r="E1170" s="188" t="n">
        <v>718551088031.369</v>
      </c>
      <c r="F1170" s="188" t="n">
        <v>14461647575.5137</v>
      </c>
    </row>
    <row r="1171" ht="15" customHeight="1" s="95">
      <c r="A1171" s="143" t="n">
        <v>44635</v>
      </c>
      <c r="B1171" s="94" t="n">
        <v>2022</v>
      </c>
      <c r="C1171" s="94" t="inlineStr">
        <is>
          <t>2022-Q1</t>
        </is>
      </c>
      <c r="D1171" s="186" t="n">
        <v>39669.4238120045</v>
      </c>
      <c r="E1171" s="188" t="n">
        <v>751354026218.9771</v>
      </c>
      <c r="F1171" s="188" t="n">
        <v>21250969229.2216</v>
      </c>
    </row>
    <row r="1172" ht="15" customHeight="1" s="95">
      <c r="A1172" s="143" t="n">
        <v>44636</v>
      </c>
      <c r="B1172" s="94" t="n">
        <v>2022</v>
      </c>
      <c r="C1172" s="94" t="inlineStr">
        <is>
          <t>2022-Q1</t>
        </is>
      </c>
      <c r="D1172" s="186" t="n">
        <v>39331.8465405945</v>
      </c>
      <c r="E1172" s="188" t="n">
        <v>747642430663.595</v>
      </c>
      <c r="F1172" s="188" t="n">
        <v>20768829817.9386</v>
      </c>
    </row>
    <row r="1173" ht="15" customHeight="1" s="95">
      <c r="A1173" s="143" t="n">
        <v>44637</v>
      </c>
      <c r="B1173" s="94" t="n">
        <v>2022</v>
      </c>
      <c r="C1173" s="94" t="inlineStr">
        <is>
          <t>2022-Q1</t>
        </is>
      </c>
      <c r="D1173" s="186" t="n">
        <v>41165.6350614034</v>
      </c>
      <c r="E1173" s="188" t="n">
        <v>779761001844.411</v>
      </c>
      <c r="F1173" s="188" t="n">
        <v>34974203468.7663</v>
      </c>
    </row>
    <row r="1174" ht="15" customHeight="1" s="95">
      <c r="A1174" s="143" t="n">
        <v>44638</v>
      </c>
      <c r="B1174" s="94" t="n">
        <v>2022</v>
      </c>
      <c r="C1174" s="94" t="inlineStr">
        <is>
          <t>2022-Q1</t>
        </is>
      </c>
      <c r="D1174" s="186" t="n">
        <v>41001.7095780197</v>
      </c>
      <c r="E1174" s="188" t="n">
        <v>778474325709.89</v>
      </c>
      <c r="F1174" s="188" t="n">
        <v>18861644942.5934</v>
      </c>
    </row>
    <row r="1175" ht="15" customHeight="1" s="95">
      <c r="A1175" s="143" t="n">
        <v>44639</v>
      </c>
      <c r="B1175" s="94" t="n">
        <v>2022</v>
      </c>
      <c r="C1175" s="94" t="inlineStr">
        <is>
          <t>2022-Q1</t>
        </is>
      </c>
      <c r="D1175" s="186" t="n">
        <v>41837.4131379757</v>
      </c>
      <c r="E1175" s="188" t="n">
        <v>794378970588.3149</v>
      </c>
      <c r="F1175" s="188" t="n">
        <v>30316128166.4897</v>
      </c>
    </row>
    <row r="1176" ht="15" customHeight="1" s="95">
      <c r="A1176" s="143" t="n">
        <v>44640</v>
      </c>
      <c r="B1176" s="94" t="n">
        <v>2022</v>
      </c>
      <c r="C1176" s="94" t="inlineStr">
        <is>
          <t>2022-Q1</t>
        </is>
      </c>
      <c r="D1176" s="186" t="n">
        <v>42201.9399206882</v>
      </c>
      <c r="E1176" s="188" t="n">
        <v>800887993391.026</v>
      </c>
      <c r="F1176" s="188" t="n">
        <v>16580741571.9599</v>
      </c>
    </row>
    <row r="1177" ht="15" customHeight="1" s="95">
      <c r="A1177" s="143" t="n">
        <v>44641</v>
      </c>
      <c r="B1177" s="94" t="n">
        <v>2022</v>
      </c>
      <c r="C1177" s="94" t="inlineStr">
        <is>
          <t>2022-Q1</t>
        </is>
      </c>
      <c r="D1177" s="186" t="n">
        <v>41283.2590010457</v>
      </c>
      <c r="E1177" s="188" t="n">
        <v>784054464871.663</v>
      </c>
      <c r="F1177" s="188" t="n">
        <v>16856192301.9601</v>
      </c>
    </row>
    <row r="1178" ht="15" customHeight="1" s="95">
      <c r="A1178" s="143" t="n">
        <v>44642</v>
      </c>
      <c r="B1178" s="94" t="n">
        <v>2022</v>
      </c>
      <c r="C1178" s="94" t="inlineStr">
        <is>
          <t>2022-Q1</t>
        </is>
      </c>
      <c r="D1178" s="186" t="n">
        <v>41061.8158938499</v>
      </c>
      <c r="E1178" s="188" t="n">
        <v>779205413378.873</v>
      </c>
      <c r="F1178" s="188" t="n">
        <v>21335882483.3158</v>
      </c>
    </row>
    <row r="1179" ht="15" customHeight="1" s="95">
      <c r="A1179" s="143" t="n">
        <v>44643</v>
      </c>
      <c r="B1179" s="94" t="n">
        <v>2022</v>
      </c>
      <c r="C1179" s="94" t="inlineStr">
        <is>
          <t>2022-Q1</t>
        </is>
      </c>
      <c r="D1179" s="186" t="n">
        <v>42401.8955974894</v>
      </c>
      <c r="E1179" s="188" t="n">
        <v>803937099701.412</v>
      </c>
      <c r="F1179" s="188" t="n">
        <v>28688623151.3571</v>
      </c>
    </row>
    <row r="1180" ht="15" customHeight="1" s="95">
      <c r="A1180" s="143" t="n">
        <v>44644</v>
      </c>
      <c r="B1180" s="94" t="n">
        <v>2022</v>
      </c>
      <c r="C1180" s="94" t="inlineStr">
        <is>
          <t>2022-Q1</t>
        </is>
      </c>
      <c r="D1180" s="186" t="n">
        <v>42802.1547101699</v>
      </c>
      <c r="E1180" s="188" t="n">
        <v>810894331277.6639</v>
      </c>
      <c r="F1180" s="188" t="n">
        <v>21851891598.6424</v>
      </c>
    </row>
    <row r="1181" ht="15" customHeight="1" s="95">
      <c r="A1181" s="143" t="n">
        <v>44645</v>
      </c>
      <c r="B1181" s="94" t="n">
        <v>2022</v>
      </c>
      <c r="C1181" s="94" t="inlineStr">
        <is>
          <t>2022-Q1</t>
        </is>
      </c>
      <c r="D1181" s="186" t="n">
        <v>43936.0962345406</v>
      </c>
      <c r="E1181" s="188" t="n">
        <v>834251096724.507</v>
      </c>
      <c r="F1181" s="188" t="n">
        <v>26212783703.8644</v>
      </c>
    </row>
    <row r="1182" ht="15" customHeight="1" s="95">
      <c r="A1182" s="143" t="n">
        <v>44646</v>
      </c>
      <c r="B1182" s="94" t="n">
        <v>2022</v>
      </c>
      <c r="C1182" s="94" t="inlineStr">
        <is>
          <t>2022-Q1</t>
        </is>
      </c>
      <c r="D1182" s="186" t="n">
        <v>44331.7779570641</v>
      </c>
      <c r="E1182" s="188" t="n">
        <v>842031938721.786</v>
      </c>
      <c r="F1182" s="188" t="n">
        <v>26147756108.0793</v>
      </c>
    </row>
    <row r="1183" ht="15" customHeight="1" s="95">
      <c r="A1183" s="143" t="n">
        <v>44647</v>
      </c>
      <c r="B1183" s="94" t="n">
        <v>2022</v>
      </c>
      <c r="C1183" s="94" t="inlineStr">
        <is>
          <t>2022-Q1</t>
        </is>
      </c>
      <c r="D1183" s="186" t="n">
        <v>44510.8442176213</v>
      </c>
      <c r="E1183" s="188" t="n">
        <v>845235093872.765</v>
      </c>
      <c r="F1183" s="188" t="n">
        <v>13676534294.2292</v>
      </c>
    </row>
    <row r="1184" ht="15" customHeight="1" s="95">
      <c r="A1184" s="143" t="n">
        <v>44648</v>
      </c>
      <c r="B1184" s="94" t="n">
        <v>2022</v>
      </c>
      <c r="C1184" s="94" t="inlineStr">
        <is>
          <t>2022-Q1</t>
        </is>
      </c>
      <c r="D1184" s="186" t="n">
        <v>46715.1176185105</v>
      </c>
      <c r="E1184" s="188" t="n">
        <v>887283025181.134</v>
      </c>
      <c r="F1184" s="188" t="n">
        <v>22545392529.6739</v>
      </c>
    </row>
    <row r="1185" ht="15" customHeight="1" s="95">
      <c r="A1185" s="143" t="n">
        <v>44649</v>
      </c>
      <c r="B1185" s="94" t="n">
        <v>2022</v>
      </c>
      <c r="C1185" s="94" t="inlineStr">
        <is>
          <t>2022-Q1</t>
        </is>
      </c>
      <c r="D1185" s="186" t="n">
        <v>46994.8791183575</v>
      </c>
      <c r="E1185" s="188" t="n">
        <v>892747620147.701</v>
      </c>
      <c r="F1185" s="188" t="n">
        <v>30051327357.0666</v>
      </c>
    </row>
    <row r="1186" ht="15" customHeight="1" s="95">
      <c r="A1186" s="143" t="n">
        <v>44650</v>
      </c>
      <c r="B1186" s="94" t="n">
        <v>2022</v>
      </c>
      <c r="C1186" s="94" t="inlineStr">
        <is>
          <t>2022-Q1</t>
        </is>
      </c>
      <c r="D1186" s="186" t="n">
        <v>47459.2612375391</v>
      </c>
      <c r="E1186" s="188" t="n">
        <v>901430001889</v>
      </c>
      <c r="F1186" s="188" t="n">
        <v>26128040680.8257</v>
      </c>
    </row>
    <row r="1187" ht="15" customHeight="1" s="95">
      <c r="A1187" s="143" t="n">
        <v>44651</v>
      </c>
      <c r="B1187" s="94" t="n">
        <v>2022</v>
      </c>
      <c r="C1187" s="94" t="inlineStr">
        <is>
          <t>2022-Q1</t>
        </is>
      </c>
      <c r="D1187" s="186" t="n">
        <v>47063.3658499636</v>
      </c>
      <c r="E1187" s="188" t="n">
        <v>895356010540.8459</v>
      </c>
      <c r="F1187" s="188" t="n">
        <v>24497248306.3469</v>
      </c>
    </row>
    <row r="1188" ht="15" customHeight="1" s="95">
      <c r="A1188" s="143" t="n">
        <v>44652</v>
      </c>
      <c r="B1188" s="94" t="n">
        <v>2022</v>
      </c>
      <c r="C1188" s="94" t="inlineStr">
        <is>
          <t>2022-Q2</t>
        </is>
      </c>
      <c r="D1188" s="186" t="n">
        <v>45528.4071531384</v>
      </c>
      <c r="E1188" s="188" t="n">
        <v>865010142444.979</v>
      </c>
      <c r="F1188" s="188" t="n">
        <v>27736469645.5373</v>
      </c>
    </row>
    <row r="1189" ht="15" customHeight="1" s="95">
      <c r="A1189" s="143" t="n">
        <v>44653</v>
      </c>
      <c r="B1189" s="94" t="n">
        <v>2022</v>
      </c>
      <c r="C1189" s="94" t="inlineStr">
        <is>
          <t>2022-Q2</t>
        </is>
      </c>
      <c r="D1189" s="186" t="n">
        <v>46270.2007058538</v>
      </c>
      <c r="E1189" s="188" t="n">
        <v>879144224206.381</v>
      </c>
      <c r="F1189" s="188" t="n">
        <v>32948605532.1353</v>
      </c>
    </row>
    <row r="1190" ht="15" customHeight="1" s="95">
      <c r="A1190" s="143" t="n">
        <v>44654</v>
      </c>
      <c r="B1190" s="94" t="n">
        <v>2022</v>
      </c>
      <c r="C1190" s="94" t="inlineStr">
        <is>
          <t>2022-Q2</t>
        </is>
      </c>
      <c r="D1190" s="186" t="n">
        <v>45842.1447631738</v>
      </c>
      <c r="E1190" s="188" t="n">
        <v>871050305858.792</v>
      </c>
      <c r="F1190" s="188" t="n">
        <v>24803837259.7647</v>
      </c>
    </row>
    <row r="1191" ht="15" customHeight="1" s="95">
      <c r="A1191" s="143" t="n">
        <v>44655</v>
      </c>
      <c r="B1191" s="94" t="n">
        <v>2022</v>
      </c>
      <c r="C1191" s="94" t="inlineStr">
        <is>
          <t>2022-Q2</t>
        </is>
      </c>
      <c r="D1191" s="186" t="n">
        <v>46434.5629826617</v>
      </c>
      <c r="E1191" s="188" t="n">
        <v>882346640419.069</v>
      </c>
      <c r="F1191" s="188" t="n">
        <v>21510196790.3035</v>
      </c>
    </row>
    <row r="1192" ht="15" customHeight="1" s="95">
      <c r="A1192" s="143" t="n">
        <v>44656</v>
      </c>
      <c r="B1192" s="94" t="n">
        <v>2022</v>
      </c>
      <c r="C1192" s="94" t="inlineStr">
        <is>
          <t>2022-Q2</t>
        </is>
      </c>
      <c r="D1192" s="186" t="n">
        <v>46622.635713091</v>
      </c>
      <c r="E1192" s="188" t="n">
        <v>885584977681.244</v>
      </c>
      <c r="F1192" s="188" t="n">
        <v>28019309650.7257</v>
      </c>
    </row>
    <row r="1193" ht="15" customHeight="1" s="95">
      <c r="A1193" s="143" t="n">
        <v>44657</v>
      </c>
      <c r="B1193" s="94" t="n">
        <v>2022</v>
      </c>
      <c r="C1193" s="94" t="inlineStr">
        <is>
          <t>2022-Q2</t>
        </is>
      </c>
      <c r="D1193" s="186" t="n">
        <v>45635.4543812667</v>
      </c>
      <c r="E1193" s="188" t="n">
        <v>867247321783.443</v>
      </c>
      <c r="F1193" s="188" t="n">
        <v>25474063861.6057</v>
      </c>
    </row>
    <row r="1194" ht="15" customHeight="1" s="95">
      <c r="A1194" s="143" t="n">
        <v>44658</v>
      </c>
      <c r="B1194" s="94" t="n">
        <v>2022</v>
      </c>
      <c r="C1194" s="94" t="inlineStr">
        <is>
          <t>2022-Q2</t>
        </is>
      </c>
      <c r="D1194" s="186" t="n">
        <v>43198.7752693649</v>
      </c>
      <c r="E1194" s="188" t="n">
        <v>820983263462.496</v>
      </c>
      <c r="F1194" s="188" t="n">
        <v>34113818641.7758</v>
      </c>
    </row>
    <row r="1195" ht="15" customHeight="1" s="95">
      <c r="A1195" s="143" t="n">
        <v>44659</v>
      </c>
      <c r="B1195" s="94" t="n">
        <v>2022</v>
      </c>
      <c r="C1195" s="94" t="inlineStr">
        <is>
          <t>2022-Q2</t>
        </is>
      </c>
      <c r="D1195" s="186" t="n">
        <v>43515.1503227981</v>
      </c>
      <c r="E1195" s="188" t="n">
        <v>827032889944.631</v>
      </c>
      <c r="F1195" s="188" t="n">
        <v>22960138784.3041</v>
      </c>
    </row>
    <row r="1196" ht="15" customHeight="1" s="95">
      <c r="A1196" s="143" t="n">
        <v>44660</v>
      </c>
      <c r="B1196" s="94" t="n">
        <v>2022</v>
      </c>
      <c r="C1196" s="94" t="inlineStr">
        <is>
          <t>2022-Q2</t>
        </is>
      </c>
      <c r="D1196" s="186" t="n">
        <v>42315.7097242181</v>
      </c>
      <c r="E1196" s="188" t="n">
        <v>804272478980.608</v>
      </c>
      <c r="F1196" s="188" t="n">
        <v>24202906401.1669</v>
      </c>
    </row>
    <row r="1197" ht="15" customHeight="1" s="95">
      <c r="A1197" s="143" t="n">
        <v>44661</v>
      </c>
      <c r="B1197" s="94" t="n">
        <v>2022</v>
      </c>
      <c r="C1197" s="94" t="inlineStr">
        <is>
          <t>2022-Q2</t>
        </is>
      </c>
      <c r="D1197" s="186" t="n">
        <v>42796.3974781097</v>
      </c>
      <c r="E1197" s="188" t="n">
        <v>812734148492.512</v>
      </c>
      <c r="F1197" s="188" t="n">
        <v>13949535311.5313</v>
      </c>
    </row>
    <row r="1198" ht="15" customHeight="1" s="95">
      <c r="A1198" s="143" t="n">
        <v>44662</v>
      </c>
      <c r="B1198" s="94" t="n">
        <v>2022</v>
      </c>
      <c r="C1198" s="94" t="inlineStr">
        <is>
          <t>2022-Q2</t>
        </is>
      </c>
      <c r="D1198" s="186" t="n">
        <v>42274.9073702561</v>
      </c>
      <c r="E1198" s="188" t="n">
        <v>803574629064.927</v>
      </c>
      <c r="F1198" s="188" t="n">
        <v>14936318818.778</v>
      </c>
    </row>
    <row r="1199" ht="15" customHeight="1" s="95">
      <c r="A1199" s="143" t="n">
        <v>44663</v>
      </c>
      <c r="B1199" s="94" t="n">
        <v>2022</v>
      </c>
      <c r="C1199" s="94" t="inlineStr">
        <is>
          <t>2022-Q2</t>
        </is>
      </c>
      <c r="D1199" s="186" t="n">
        <v>39603.9651592842</v>
      </c>
      <c r="E1199" s="188" t="n">
        <v>752680814425.192</v>
      </c>
      <c r="F1199" s="188" t="n">
        <v>30168665078.2104</v>
      </c>
    </row>
    <row r="1200" ht="15" customHeight="1" s="95">
      <c r="A1200" s="143" t="n">
        <v>44664</v>
      </c>
      <c r="B1200" s="94" t="n">
        <v>2022</v>
      </c>
      <c r="C1200" s="94" t="inlineStr">
        <is>
          <t>2022-Q2</t>
        </is>
      </c>
      <c r="D1200" s="186" t="n">
        <v>40205.6779407321</v>
      </c>
      <c r="E1200" s="188" t="n">
        <v>764314681923.314</v>
      </c>
      <c r="F1200" s="188" t="n">
        <v>27804694935.4835</v>
      </c>
    </row>
    <row r="1201" ht="15" customHeight="1" s="95">
      <c r="A1201" s="143" t="n">
        <v>44665</v>
      </c>
      <c r="B1201" s="94" t="n">
        <v>2022</v>
      </c>
      <c r="C1201" s="94" t="inlineStr">
        <is>
          <t>2022-Q2</t>
        </is>
      </c>
      <c r="D1201" s="186" t="n">
        <v>41205.1687190407</v>
      </c>
      <c r="E1201" s="188" t="n">
        <v>783560801481.972</v>
      </c>
      <c r="F1201" s="188" t="n">
        <v>25453869985.9719</v>
      </c>
    </row>
    <row r="1202" ht="15" customHeight="1" s="95">
      <c r="A1202" s="143" t="n">
        <v>44666</v>
      </c>
      <c r="B1202" s="94" t="n">
        <v>2022</v>
      </c>
      <c r="C1202" s="94" t="inlineStr">
        <is>
          <t>2022-Q2</t>
        </is>
      </c>
      <c r="D1202" s="186" t="n">
        <v>39959.4570690337</v>
      </c>
      <c r="E1202" s="188" t="n">
        <v>759703443634.652</v>
      </c>
      <c r="F1202" s="188" t="n">
        <v>22744792147.0098</v>
      </c>
    </row>
    <row r="1203" ht="15" customHeight="1" s="95">
      <c r="A1203" s="143" t="n">
        <v>44667</v>
      </c>
      <c r="B1203" s="94" t="n">
        <v>2022</v>
      </c>
      <c r="C1203" s="94" t="inlineStr">
        <is>
          <t>2022-Q2</t>
        </is>
      </c>
      <c r="D1203" s="186" t="n">
        <v>40586.5973093867</v>
      </c>
      <c r="E1203" s="188" t="n">
        <v>771666602547.592</v>
      </c>
      <c r="F1203" s="188" t="n">
        <v>22053774554.1773</v>
      </c>
    </row>
    <row r="1204" ht="15" customHeight="1" s="95">
      <c r="A1204" s="143" t="n">
        <v>44668</v>
      </c>
      <c r="B1204" s="94" t="n">
        <v>2022</v>
      </c>
      <c r="C1204" s="94" t="inlineStr">
        <is>
          <t>2022-Q2</t>
        </is>
      </c>
      <c r="D1204" s="186" t="n">
        <v>40450.3793054398</v>
      </c>
      <c r="E1204" s="188" t="n">
        <v>770439827829.24</v>
      </c>
      <c r="F1204" s="188" t="n">
        <v>15777789210.2385</v>
      </c>
    </row>
    <row r="1205" ht="15" customHeight="1" s="95">
      <c r="A1205" s="143" t="n">
        <v>44669</v>
      </c>
      <c r="B1205" s="94" t="n">
        <v>2022</v>
      </c>
      <c r="C1205" s="94" t="inlineStr">
        <is>
          <t>2022-Q2</t>
        </is>
      </c>
      <c r="D1205" s="186" t="n">
        <v>39739.1192562221</v>
      </c>
      <c r="E1205" s="188" t="n">
        <v>755627152747.451</v>
      </c>
      <c r="F1205" s="188" t="n">
        <v>16627779441.5677</v>
      </c>
    </row>
    <row r="1206" ht="15" customHeight="1" s="95">
      <c r="A1206" s="143" t="n">
        <v>44670</v>
      </c>
      <c r="B1206" s="94" t="n">
        <v>2022</v>
      </c>
      <c r="C1206" s="94" t="inlineStr">
        <is>
          <t>2022-Q2</t>
        </is>
      </c>
      <c r="D1206" s="186" t="n">
        <v>40833.5379650337</v>
      </c>
      <c r="E1206" s="188" t="n">
        <v>776463403746.439</v>
      </c>
      <c r="F1206" s="188" t="n">
        <v>30617039399.9801</v>
      </c>
    </row>
    <row r="1207" ht="15" customHeight="1" s="95">
      <c r="A1207" s="143" t="n">
        <v>44671</v>
      </c>
      <c r="B1207" s="94" t="n">
        <v>2022</v>
      </c>
      <c r="C1207" s="94" t="inlineStr">
        <is>
          <t>2022-Q2</t>
        </is>
      </c>
      <c r="D1207" s="186" t="n">
        <v>41498.1224466983</v>
      </c>
      <c r="E1207" s="188" t="n">
        <v>789141783336.21</v>
      </c>
      <c r="F1207" s="188" t="n">
        <v>22717772925.2896</v>
      </c>
    </row>
    <row r="1208" ht="15" customHeight="1" s="95">
      <c r="A1208" s="143" t="n">
        <v>44672</v>
      </c>
      <c r="B1208" s="94" t="n">
        <v>2022</v>
      </c>
      <c r="C1208" s="94" t="inlineStr">
        <is>
          <t>2022-Q2</t>
        </is>
      </c>
      <c r="D1208" s="186" t="n">
        <v>41397.2204772796</v>
      </c>
      <c r="E1208" s="188" t="n">
        <v>787437397453.9301</v>
      </c>
      <c r="F1208" s="188" t="n">
        <v>24937668255.0735</v>
      </c>
    </row>
    <row r="1209" ht="15" customHeight="1" s="95">
      <c r="A1209" s="143" t="n">
        <v>44673</v>
      </c>
      <c r="B1209" s="94" t="n">
        <v>2022</v>
      </c>
      <c r="C1209" s="94" t="inlineStr">
        <is>
          <t>2022-Q2</t>
        </is>
      </c>
      <c r="D1209" s="186" t="n">
        <v>40528.5414867596</v>
      </c>
      <c r="E1209" s="188" t="n">
        <v>770787243369.5</v>
      </c>
      <c r="F1209" s="188" t="n">
        <v>32131220615.5502</v>
      </c>
    </row>
    <row r="1210" ht="15" customHeight="1" s="95">
      <c r="A1210" s="143" t="n">
        <v>44674</v>
      </c>
      <c r="B1210" s="94" t="n">
        <v>2022</v>
      </c>
      <c r="C1210" s="94" t="inlineStr">
        <is>
          <t>2022-Q2</t>
        </is>
      </c>
      <c r="D1210" s="186" t="n">
        <v>39756.848993471</v>
      </c>
      <c r="E1210" s="188" t="n">
        <v>756144456297.849</v>
      </c>
      <c r="F1210" s="188" t="n">
        <v>46022063018.9522</v>
      </c>
    </row>
    <row r="1211" ht="15" customHeight="1" s="95">
      <c r="A1211" s="143" t="n">
        <v>44675</v>
      </c>
      <c r="B1211" s="94" t="n">
        <v>2022</v>
      </c>
      <c r="C1211" s="94" t="inlineStr">
        <is>
          <t>2022-Q2</t>
        </is>
      </c>
      <c r="D1211" s="186" t="n">
        <v>39561.7801907561</v>
      </c>
      <c r="E1211" s="188" t="n">
        <v>752414150959.355</v>
      </c>
      <c r="F1211" s="188" t="n">
        <v>15010797471.9681</v>
      </c>
    </row>
    <row r="1212" ht="15" customHeight="1" s="95">
      <c r="A1212" s="143" t="n">
        <v>44676</v>
      </c>
      <c r="B1212" s="94" t="n">
        <v>2022</v>
      </c>
      <c r="C1212" s="94" t="inlineStr">
        <is>
          <t>2022-Q2</t>
        </is>
      </c>
      <c r="D1212" s="186" t="n">
        <v>39469.0498619815</v>
      </c>
      <c r="E1212" s="188" t="n">
        <v>752446283899.897</v>
      </c>
      <c r="F1212" s="188" t="n">
        <v>16778683767.5972</v>
      </c>
    </row>
    <row r="1213" ht="15" customHeight="1" s="95">
      <c r="A1213" s="143" t="n">
        <v>44677</v>
      </c>
      <c r="B1213" s="94" t="n">
        <v>2022</v>
      </c>
      <c r="C1213" s="94" t="inlineStr">
        <is>
          <t>2022-Q2</t>
        </is>
      </c>
      <c r="D1213" s="186" t="n">
        <v>40488.8779176224</v>
      </c>
      <c r="E1213" s="188" t="n">
        <v>770112436973.415</v>
      </c>
      <c r="F1213" s="188" t="n">
        <v>32883645913.9647</v>
      </c>
    </row>
    <row r="1214" ht="15" customHeight="1" s="95">
      <c r="A1214" s="143" t="n">
        <v>44678</v>
      </c>
      <c r="B1214" s="94" t="n">
        <v>2022</v>
      </c>
      <c r="C1214" s="94" t="inlineStr">
        <is>
          <t>2022-Q2</t>
        </is>
      </c>
      <c r="D1214" s="186" t="n">
        <v>38134.2154506894</v>
      </c>
      <c r="E1214" s="188" t="n">
        <v>725434540422.046</v>
      </c>
      <c r="F1214" s="188" t="n">
        <v>31053018153.3867</v>
      </c>
    </row>
    <row r="1215" ht="15" customHeight="1" s="95">
      <c r="A1215" s="143" t="n">
        <v>44679</v>
      </c>
      <c r="B1215" s="94" t="n">
        <v>2022</v>
      </c>
      <c r="C1215" s="94" t="inlineStr">
        <is>
          <t>2022-Q2</t>
        </is>
      </c>
      <c r="D1215" s="186" t="n">
        <v>39237.949317471</v>
      </c>
      <c r="E1215" s="188" t="n">
        <v>746473028158.29</v>
      </c>
      <c r="F1215" s="188" t="n">
        <v>28170490245.8656</v>
      </c>
    </row>
    <row r="1216" ht="15" customHeight="1" s="95">
      <c r="A1216" s="143" t="n">
        <v>44680</v>
      </c>
      <c r="B1216" s="94" t="n">
        <v>2022</v>
      </c>
      <c r="C1216" s="94" t="inlineStr">
        <is>
          <t>2022-Q2</t>
        </is>
      </c>
      <c r="D1216" s="186" t="n">
        <v>39741.7666458096</v>
      </c>
      <c r="E1216" s="188" t="n">
        <v>756090806420.826</v>
      </c>
      <c r="F1216" s="188" t="n">
        <v>31484572271.0324</v>
      </c>
    </row>
    <row r="1217" ht="15" customHeight="1" s="95">
      <c r="A1217" s="143" t="n">
        <v>44681</v>
      </c>
      <c r="B1217" s="94" t="n">
        <v>2022</v>
      </c>
      <c r="C1217" s="94" t="inlineStr">
        <is>
          <t>2022-Q2</t>
        </is>
      </c>
      <c r="D1217" s="186" t="n">
        <v>38650.5501380927</v>
      </c>
      <c r="E1217" s="188" t="n">
        <v>735829877665.691</v>
      </c>
      <c r="F1217" s="188" t="n">
        <v>27758348826.4091</v>
      </c>
    </row>
    <row r="1218" ht="15" customHeight="1" s="95">
      <c r="A1218" s="143" t="n">
        <v>44682</v>
      </c>
      <c r="B1218" s="94" t="n">
        <v>2022</v>
      </c>
      <c r="C1218" s="94" t="inlineStr">
        <is>
          <t>2022-Q2</t>
        </is>
      </c>
      <c r="D1218" s="186" t="n">
        <v>37820.6117652921</v>
      </c>
      <c r="E1218" s="188" t="n">
        <v>719611115951.295</v>
      </c>
      <c r="F1218" s="188" t="n">
        <v>20955789685.3557</v>
      </c>
    </row>
    <row r="1219" ht="15" customHeight="1" s="95">
      <c r="A1219" s="143" t="n">
        <v>44683</v>
      </c>
      <c r="B1219" s="94" t="n">
        <v>2022</v>
      </c>
      <c r="C1219" s="94" t="inlineStr">
        <is>
          <t>2022-Q2</t>
        </is>
      </c>
      <c r="D1219" s="186" t="n">
        <v>38537.6547666954</v>
      </c>
      <c r="E1219" s="188" t="n">
        <v>733294957352.536</v>
      </c>
      <c r="F1219" s="188" t="n">
        <v>24857664487.0145</v>
      </c>
    </row>
    <row r="1220" ht="15" customHeight="1" s="95">
      <c r="A1220" s="143" t="n">
        <v>44684</v>
      </c>
      <c r="B1220" s="94" t="n">
        <v>2022</v>
      </c>
      <c r="C1220" s="94" t="inlineStr">
        <is>
          <t>2022-Q2</t>
        </is>
      </c>
      <c r="D1220" s="186" t="n">
        <v>38561.5653990236</v>
      </c>
      <c r="E1220" s="188" t="n">
        <v>733787526677.67</v>
      </c>
      <c r="F1220" s="188" t="n">
        <v>29825308569.4223</v>
      </c>
    </row>
    <row r="1221" ht="15" customHeight="1" s="95">
      <c r="A1221" s="143" t="n">
        <v>44685</v>
      </c>
      <c r="B1221" s="94" t="n">
        <v>2022</v>
      </c>
      <c r="C1221" s="94" t="inlineStr">
        <is>
          <t>2022-Q2</t>
        </is>
      </c>
      <c r="D1221" s="186" t="n">
        <v>37758.496107734</v>
      </c>
      <c r="E1221" s="188" t="n">
        <v>718542028695.9</v>
      </c>
      <c r="F1221" s="188" t="n">
        <v>23070122642.328</v>
      </c>
    </row>
    <row r="1222" ht="15" customHeight="1" s="95">
      <c r="A1222" s="143" t="n">
        <v>44686</v>
      </c>
      <c r="B1222" s="94" t="n">
        <v>2022</v>
      </c>
      <c r="C1222" s="94" t="inlineStr">
        <is>
          <t>2022-Q2</t>
        </is>
      </c>
      <c r="D1222" s="186" t="n">
        <v>39699.0240412539</v>
      </c>
      <c r="E1222" s="188" t="n">
        <v>755764276888.772</v>
      </c>
      <c r="F1222" s="188" t="n">
        <v>31748901527.2059</v>
      </c>
    </row>
    <row r="1223" ht="15" customHeight="1" s="95">
      <c r="A1223" s="143" t="n">
        <v>44687</v>
      </c>
      <c r="B1223" s="94" t="n">
        <v>2022</v>
      </c>
      <c r="C1223" s="94" t="inlineStr">
        <is>
          <t>2022-Q2</t>
        </is>
      </c>
      <c r="D1223" s="186" t="n">
        <v>36612.229548803</v>
      </c>
      <c r="E1223" s="188" t="n">
        <v>696020943881.887</v>
      </c>
      <c r="F1223" s="188" t="n">
        <v>37402043365.5841</v>
      </c>
    </row>
    <row r="1224" ht="15" customHeight="1" s="95">
      <c r="A1224" s="143" t="n">
        <v>44688</v>
      </c>
      <c r="B1224" s="94" t="n">
        <v>2022</v>
      </c>
      <c r="C1224" s="94" t="inlineStr">
        <is>
          <t>2022-Q2</t>
        </is>
      </c>
      <c r="D1224" s="186" t="n">
        <v>36116.394294983</v>
      </c>
      <c r="E1224" s="188" t="n">
        <v>687093350325.4449</v>
      </c>
      <c r="F1224" s="188" t="n">
        <v>32223287014.454</v>
      </c>
    </row>
    <row r="1225" ht="15" customHeight="1" s="95">
      <c r="A1225" s="143" t="n">
        <v>44689</v>
      </c>
      <c r="B1225" s="94" t="n">
        <v>2022</v>
      </c>
      <c r="C1225" s="94" t="inlineStr">
        <is>
          <t>2022-Q2</t>
        </is>
      </c>
      <c r="D1225" s="186" t="n">
        <v>35573.3101988349</v>
      </c>
      <c r="E1225" s="188" t="n">
        <v>678702448510.661</v>
      </c>
      <c r="F1225" s="188" t="n">
        <v>19130720394.9804</v>
      </c>
    </row>
    <row r="1226" ht="15" customHeight="1" s="95">
      <c r="A1226" s="143" t="n">
        <v>44690</v>
      </c>
      <c r="B1226" s="94" t="n">
        <v>2022</v>
      </c>
      <c r="C1226" s="94" t="inlineStr">
        <is>
          <t>2022-Q2</t>
        </is>
      </c>
      <c r="D1226" s="186" t="n">
        <v>34070.3121975796</v>
      </c>
      <c r="E1226" s="188" t="n">
        <v>648514321641.99</v>
      </c>
      <c r="F1226" s="188" t="n">
        <v>30810576501.5226</v>
      </c>
    </row>
    <row r="1227" ht="15" customHeight="1" s="95">
      <c r="A1227" s="143" t="n">
        <v>44691</v>
      </c>
      <c r="B1227" s="94" t="n">
        <v>2022</v>
      </c>
      <c r="C1227" s="94" t="inlineStr">
        <is>
          <t>2022-Q2</t>
        </is>
      </c>
      <c r="D1227" s="186" t="n">
        <v>30269.5869566295</v>
      </c>
      <c r="E1227" s="188" t="n">
        <v>576197842487.6379</v>
      </c>
      <c r="F1227" s="188" t="n">
        <v>58369928594.3275</v>
      </c>
    </row>
    <row r="1228" ht="15" customHeight="1" s="95">
      <c r="A1228" s="143" t="n">
        <v>44692</v>
      </c>
      <c r="B1228" s="94" t="n">
        <v>2022</v>
      </c>
      <c r="C1228" s="94" t="inlineStr">
        <is>
          <t>2022-Q2</t>
        </is>
      </c>
      <c r="D1228" s="186" t="n">
        <v>31026.9338683624</v>
      </c>
      <c r="E1228" s="188" t="n">
        <v>590644412746.684</v>
      </c>
      <c r="F1228" s="188" t="n">
        <v>54071363210.0879</v>
      </c>
    </row>
    <row r="1229" ht="15" customHeight="1" s="95">
      <c r="A1229" s="143" t="n">
        <v>44693</v>
      </c>
      <c r="B1229" s="94" t="n">
        <v>2022</v>
      </c>
      <c r="C1229" s="94" t="inlineStr">
        <is>
          <t>2022-Q2</t>
        </is>
      </c>
      <c r="D1229" s="186" t="n">
        <v>28913.4883636543</v>
      </c>
      <c r="E1229" s="188" t="n">
        <v>549294001873.177</v>
      </c>
      <c r="F1229" s="188" t="n">
        <v>65985702701.5049</v>
      </c>
    </row>
    <row r="1230" ht="15" customHeight="1" s="95">
      <c r="A1230" s="143" t="n">
        <v>44694</v>
      </c>
      <c r="B1230" s="94" t="n">
        <v>2022</v>
      </c>
      <c r="C1230" s="94" t="inlineStr">
        <is>
          <t>2022-Q2</t>
        </is>
      </c>
      <c r="D1230" s="186" t="n">
        <v>29126.1159768601</v>
      </c>
      <c r="E1230" s="188" t="n">
        <v>555266177876.621</v>
      </c>
      <c r="F1230" s="188" t="n">
        <v>61338080283.5799</v>
      </c>
    </row>
    <row r="1231" ht="15" customHeight="1" s="95">
      <c r="A1231" s="143" t="n">
        <v>44695</v>
      </c>
      <c r="B1231" s="94" t="n">
        <v>2022</v>
      </c>
      <c r="C1231" s="94" t="inlineStr">
        <is>
          <t>2022-Q2</t>
        </is>
      </c>
      <c r="D1231" s="186" t="n">
        <v>29310.7289598583</v>
      </c>
      <c r="E1231" s="188" t="n">
        <v>558053182541.281</v>
      </c>
      <c r="F1231" s="188" t="n">
        <v>71541696924.39931</v>
      </c>
    </row>
    <row r="1232" ht="15" customHeight="1" s="95">
      <c r="A1232" s="143" t="n">
        <v>44696</v>
      </c>
      <c r="B1232" s="94" t="n">
        <v>2022</v>
      </c>
      <c r="C1232" s="94" t="inlineStr">
        <is>
          <t>2022-Q2</t>
        </is>
      </c>
      <c r="D1232" s="186" t="n">
        <v>30189.333177006</v>
      </c>
      <c r="E1232" s="188" t="n">
        <v>573777699744.01</v>
      </c>
      <c r="F1232" s="188" t="n">
        <v>25759546763.6886</v>
      </c>
    </row>
    <row r="1233" ht="15" customHeight="1" s="95">
      <c r="A1233" s="143" t="n">
        <v>44697</v>
      </c>
      <c r="B1233" s="94" t="n">
        <v>2022</v>
      </c>
      <c r="C1233" s="94" t="inlineStr">
        <is>
          <t>2022-Q2</t>
        </is>
      </c>
      <c r="D1233" s="186" t="n">
        <v>31319.30911113</v>
      </c>
      <c r="E1233" s="188" t="n">
        <v>596346266888.66</v>
      </c>
      <c r="F1233" s="188" t="n">
        <v>22948123704.1727</v>
      </c>
    </row>
    <row r="1234" ht="15" customHeight="1" s="95">
      <c r="A1234" s="143" t="n">
        <v>44698</v>
      </c>
      <c r="B1234" s="94" t="n">
        <v>2022</v>
      </c>
      <c r="C1234" s="94" t="inlineStr">
        <is>
          <t>2022-Q2</t>
        </is>
      </c>
      <c r="D1234" s="186" t="n">
        <v>29923.6069936397</v>
      </c>
      <c r="E1234" s="188" t="n">
        <v>569801943005.297</v>
      </c>
      <c r="F1234" s="188" t="n">
        <v>28418179221.1253</v>
      </c>
    </row>
    <row r="1235" ht="15" customHeight="1" s="95">
      <c r="A1235" s="143" t="n">
        <v>44699</v>
      </c>
      <c r="B1235" s="94" t="n">
        <v>2022</v>
      </c>
      <c r="C1235" s="94" t="inlineStr">
        <is>
          <t>2022-Q2</t>
        </is>
      </c>
      <c r="D1235" s="186" t="n">
        <v>30502.1932802769</v>
      </c>
      <c r="E1235" s="188" t="n">
        <v>581272773175.824</v>
      </c>
      <c r="F1235" s="188" t="n">
        <v>24964703223.575</v>
      </c>
    </row>
    <row r="1236" ht="15" customHeight="1" s="95">
      <c r="A1236" s="143" t="n">
        <v>44700</v>
      </c>
      <c r="B1236" s="94" t="n">
        <v>2022</v>
      </c>
      <c r="C1236" s="94" t="inlineStr">
        <is>
          <t>2022-Q2</t>
        </is>
      </c>
      <c r="D1236" s="186" t="n">
        <v>28772.2005011126</v>
      </c>
      <c r="E1236" s="188" t="n">
        <v>547927169401.203</v>
      </c>
      <c r="F1236" s="188" t="n">
        <v>26219431165.2418</v>
      </c>
    </row>
    <row r="1237" ht="15" customHeight="1" s="95">
      <c r="A1237" s="143" t="n">
        <v>44701</v>
      </c>
      <c r="B1237" s="94" t="n">
        <v>2022</v>
      </c>
      <c r="C1237" s="94" t="inlineStr">
        <is>
          <t>2022-Q2</t>
        </is>
      </c>
      <c r="D1237" s="186" t="n">
        <v>30382.4062421956</v>
      </c>
      <c r="E1237" s="188" t="n">
        <v>578678245847.876</v>
      </c>
      <c r="F1237" s="188" t="n">
        <v>29190056577.4307</v>
      </c>
    </row>
    <row r="1238" ht="15" customHeight="1" s="95">
      <c r="A1238" s="143" t="n">
        <v>44702</v>
      </c>
      <c r="B1238" s="94" t="n">
        <v>2022</v>
      </c>
      <c r="C1238" s="94" t="inlineStr">
        <is>
          <t>2022-Q2</t>
        </is>
      </c>
      <c r="D1238" s="186" t="n">
        <v>29256.8133744163</v>
      </c>
      <c r="E1238" s="188" t="n">
        <v>557201657280.739</v>
      </c>
      <c r="F1238" s="188" t="n">
        <v>25980877919.5681</v>
      </c>
    </row>
    <row r="1239" ht="15" customHeight="1" s="95">
      <c r="A1239" s="143" t="n">
        <v>44703</v>
      </c>
      <c r="B1239" s="94" t="n">
        <v>2022</v>
      </c>
      <c r="C1239" s="94" t="inlineStr">
        <is>
          <t>2022-Q2</t>
        </is>
      </c>
      <c r="D1239" s="186" t="n">
        <v>29491.5079477606</v>
      </c>
      <c r="E1239" s="188" t="n">
        <v>561696351558.842</v>
      </c>
      <c r="F1239" s="188" t="n">
        <v>13561006428.369</v>
      </c>
    </row>
    <row r="1240" ht="15" customHeight="1" s="95">
      <c r="A1240" s="143" t="n">
        <v>44704</v>
      </c>
      <c r="B1240" s="94" t="n">
        <v>2022</v>
      </c>
      <c r="C1240" s="94" t="inlineStr">
        <is>
          <t>2022-Q2</t>
        </is>
      </c>
      <c r="D1240" s="186" t="n">
        <v>30351.0504171381</v>
      </c>
      <c r="E1240" s="188" t="n">
        <v>578090387085.146</v>
      </c>
      <c r="F1240" s="188" t="n">
        <v>17199930154.801</v>
      </c>
    </row>
    <row r="1241" ht="15" customHeight="1" s="95">
      <c r="A1241" s="143" t="n">
        <v>44705</v>
      </c>
      <c r="B1241" s="94" t="n">
        <v>2022</v>
      </c>
      <c r="C1241" s="94" t="inlineStr">
        <is>
          <t>2022-Q2</t>
        </is>
      </c>
      <c r="D1241" s="186" t="n">
        <v>29163.1677757392</v>
      </c>
      <c r="E1241" s="188" t="n">
        <v>555459414424.212</v>
      </c>
      <c r="F1241" s="188" t="n">
        <v>26646754324.7106</v>
      </c>
    </row>
    <row r="1242" ht="15" customHeight="1" s="95">
      <c r="A1242" s="143" t="n">
        <v>44706</v>
      </c>
      <c r="B1242" s="94" t="n">
        <v>2022</v>
      </c>
      <c r="C1242" s="94" t="inlineStr">
        <is>
          <t>2022-Q2</t>
        </is>
      </c>
      <c r="D1242" s="186" t="n">
        <v>29655.0261317525</v>
      </c>
      <c r="E1242" s="188" t="n">
        <v>564885248021.994</v>
      </c>
      <c r="F1242" s="188" t="n">
        <v>23486436836.5605</v>
      </c>
    </row>
    <row r="1243" ht="15" customHeight="1" s="95">
      <c r="A1243" s="143" t="n">
        <v>44707</v>
      </c>
      <c r="B1243" s="94" t="n">
        <v>2022</v>
      </c>
      <c r="C1243" s="94" t="inlineStr">
        <is>
          <t>2022-Q2</t>
        </is>
      </c>
      <c r="D1243" s="186" t="n">
        <v>29584.9498519859</v>
      </c>
      <c r="E1243" s="188" t="n">
        <v>563577022957.913</v>
      </c>
      <c r="F1243" s="188" t="n">
        <v>23108764916.2066</v>
      </c>
    </row>
    <row r="1244" ht="15" customHeight="1" s="95">
      <c r="A1244" s="143" t="n">
        <v>44708</v>
      </c>
      <c r="B1244" s="94" t="n">
        <v>2022</v>
      </c>
      <c r="C1244" s="94" t="inlineStr">
        <is>
          <t>2022-Q2</t>
        </is>
      </c>
      <c r="D1244" s="186" t="n">
        <v>29346.7814424316</v>
      </c>
      <c r="E1244" s="188" t="n">
        <v>559066076343.6689</v>
      </c>
      <c r="F1244" s="188" t="n">
        <v>31972044691.7097</v>
      </c>
    </row>
    <row r="1245" ht="15" customHeight="1" s="95">
      <c r="A1245" s="143" t="n">
        <v>44709</v>
      </c>
      <c r="B1245" s="94" t="n">
        <v>2022</v>
      </c>
      <c r="C1245" s="94" t="inlineStr">
        <is>
          <t>2022-Q2</t>
        </is>
      </c>
      <c r="D1245" s="186" t="n">
        <v>28646.6521819325</v>
      </c>
      <c r="E1245" s="188" t="n">
        <v>545752899521.866</v>
      </c>
      <c r="F1245" s="188" t="n">
        <v>31756305901.0055</v>
      </c>
    </row>
    <row r="1246" ht="15" customHeight="1" s="95">
      <c r="A1246" s="143" t="n">
        <v>44710</v>
      </c>
      <c r="B1246" s="94" t="n">
        <v>2022</v>
      </c>
      <c r="C1246" s="94" t="inlineStr">
        <is>
          <t>2022-Q2</t>
        </is>
      </c>
      <c r="D1246" s="186" t="n">
        <v>29088.2364528172</v>
      </c>
      <c r="E1246" s="188" t="n">
        <v>554938694217.2791</v>
      </c>
      <c r="F1246" s="188" t="n">
        <v>15406515372.7117</v>
      </c>
    </row>
    <row r="1247" ht="15" customHeight="1" s="95">
      <c r="A1247" s="143" t="n">
        <v>44711</v>
      </c>
      <c r="B1247" s="94" t="n">
        <v>2022</v>
      </c>
      <c r="C1247" s="94" t="inlineStr">
        <is>
          <t>2022-Q2</t>
        </is>
      </c>
      <c r="D1247" s="186" t="n">
        <v>29492.5032149536</v>
      </c>
      <c r="E1247" s="188" t="n">
        <v>561771345708.952</v>
      </c>
      <c r="F1247" s="188" t="n">
        <v>14496111397.9344</v>
      </c>
    </row>
    <row r="1248" ht="15" customHeight="1" s="95">
      <c r="A1248" s="143" t="n">
        <v>44712</v>
      </c>
      <c r="B1248" s="94" t="n">
        <v>2022</v>
      </c>
      <c r="C1248" s="94" t="inlineStr">
        <is>
          <t>2022-Q2</t>
        </is>
      </c>
      <c r="D1248" s="186" t="n">
        <v>31740.940725167</v>
      </c>
      <c r="E1248" s="188" t="n">
        <v>604926607440.772</v>
      </c>
      <c r="F1248" s="188" t="n">
        <v>34891305294.623</v>
      </c>
    </row>
    <row r="1249" ht="15" customHeight="1" s="95">
      <c r="A1249" s="143" t="n">
        <v>44713</v>
      </c>
      <c r="B1249" s="94" t="n">
        <v>2022</v>
      </c>
      <c r="C1249" s="94" t="inlineStr">
        <is>
          <t>2022-Q2</t>
        </is>
      </c>
      <c r="D1249" s="186" t="n">
        <v>31865.7496211732</v>
      </c>
      <c r="E1249" s="188" t="n">
        <v>607393396318.7889</v>
      </c>
      <c r="F1249" s="188" t="n">
        <v>29770567353.4881</v>
      </c>
    </row>
    <row r="1250" ht="15" customHeight="1" s="95">
      <c r="A1250" s="143" t="n">
        <v>44714</v>
      </c>
      <c r="B1250" s="94" t="n">
        <v>2022</v>
      </c>
      <c r="C1250" s="94" t="inlineStr">
        <is>
          <t>2022-Q2</t>
        </is>
      </c>
      <c r="D1250" s="186" t="n">
        <v>29833.4503302053</v>
      </c>
      <c r="E1250" s="188" t="n">
        <v>569001624438.0179</v>
      </c>
      <c r="F1250" s="188" t="n">
        <v>35553330791.5357</v>
      </c>
    </row>
    <row r="1251" ht="15" customHeight="1" s="95">
      <c r="A1251" s="143" t="n">
        <v>44715</v>
      </c>
      <c r="B1251" s="94" t="n">
        <v>2022</v>
      </c>
      <c r="C1251" s="94" t="inlineStr">
        <is>
          <t>2022-Q2</t>
        </is>
      </c>
      <c r="D1251" s="186" t="n">
        <v>30481.013996026</v>
      </c>
      <c r="E1251" s="188" t="n">
        <v>580863150152.054</v>
      </c>
      <c r="F1251" s="188" t="n">
        <v>24232399986.2612</v>
      </c>
    </row>
    <row r="1252" ht="15" customHeight="1" s="95">
      <c r="A1252" s="143" t="n">
        <v>44716</v>
      </c>
      <c r="B1252" s="94" t="n">
        <v>2022</v>
      </c>
      <c r="C1252" s="94" t="inlineStr">
        <is>
          <t>2022-Q2</t>
        </is>
      </c>
      <c r="D1252" s="186" t="n">
        <v>29714.1434871497</v>
      </c>
      <c r="E1252" s="188" t="n">
        <v>566275595800.177</v>
      </c>
      <c r="F1252" s="188" t="n">
        <v>21997859590.6683</v>
      </c>
    </row>
    <row r="1253" ht="15" customHeight="1" s="95">
      <c r="A1253" s="143" t="n">
        <v>44717</v>
      </c>
      <c r="B1253" s="94" t="n">
        <v>2022</v>
      </c>
      <c r="C1253" s="94" t="inlineStr">
        <is>
          <t>2022-Q2</t>
        </is>
      </c>
      <c r="D1253" s="186" t="n">
        <v>29872.3603087139</v>
      </c>
      <c r="E1253" s="188" t="n">
        <v>568340135127.3311</v>
      </c>
      <c r="F1253" s="188" t="n">
        <v>12911383481.8438</v>
      </c>
    </row>
    <row r="1254" ht="15" customHeight="1" s="95">
      <c r="A1254" s="143" t="n">
        <v>44718</v>
      </c>
      <c r="B1254" s="94" t="n">
        <v>2022</v>
      </c>
      <c r="C1254" s="94" t="inlineStr">
        <is>
          <t>2022-Q2</t>
        </is>
      </c>
      <c r="D1254" s="186" t="n">
        <v>29917.7640524562</v>
      </c>
      <c r="E1254" s="188" t="n">
        <v>570209935092.428</v>
      </c>
      <c r="F1254" s="188" t="n">
        <v>13395229055.4124</v>
      </c>
    </row>
    <row r="1255" ht="15" customHeight="1" s="95">
      <c r="A1255" s="143" t="n">
        <v>44719</v>
      </c>
      <c r="B1255" s="94" t="n">
        <v>2022</v>
      </c>
      <c r="C1255" s="94" t="inlineStr">
        <is>
          <t>2022-Q2</t>
        </is>
      </c>
      <c r="D1255" s="186" t="n">
        <v>31372.5847629755</v>
      </c>
      <c r="E1255" s="188" t="n">
        <v>597966736176.553</v>
      </c>
      <c r="F1255" s="188" t="n">
        <v>27644798123.2982</v>
      </c>
    </row>
    <row r="1256" ht="15" customHeight="1" s="95">
      <c r="A1256" s="143" t="n">
        <v>44720</v>
      </c>
      <c r="B1256" s="94" t="n">
        <v>2022</v>
      </c>
      <c r="C1256" s="94" t="inlineStr">
        <is>
          <t>2022-Q2</t>
        </is>
      </c>
      <c r="D1256" s="186" t="n">
        <v>31265.4692776934</v>
      </c>
      <c r="E1256" s="188" t="n">
        <v>597205650752.5389</v>
      </c>
      <c r="F1256" s="188" t="n">
        <v>36111325508.0418</v>
      </c>
    </row>
    <row r="1257" ht="15" customHeight="1" s="95">
      <c r="A1257" s="143" t="n">
        <v>44721</v>
      </c>
      <c r="B1257" s="94" t="n">
        <v>2022</v>
      </c>
      <c r="C1257" s="94" t="inlineStr">
        <is>
          <t>2022-Q2</t>
        </is>
      </c>
      <c r="D1257" s="186" t="n">
        <v>30229.2368361304</v>
      </c>
      <c r="E1257" s="188" t="n">
        <v>576238781341.368</v>
      </c>
      <c r="F1257" s="188" t="n">
        <v>27080284928.5649</v>
      </c>
    </row>
    <row r="1258" ht="15" customHeight="1" s="95">
      <c r="A1258" s="143" t="n">
        <v>44722</v>
      </c>
      <c r="B1258" s="94" t="n">
        <v>2022</v>
      </c>
      <c r="C1258" s="94" t="inlineStr">
        <is>
          <t>2022-Q2</t>
        </is>
      </c>
      <c r="D1258" s="186" t="n">
        <v>30101.1875214315</v>
      </c>
      <c r="E1258" s="188" t="n">
        <v>573819802894.645</v>
      </c>
      <c r="F1258" s="188" t="n">
        <v>18871591862.3403</v>
      </c>
    </row>
    <row r="1259" ht="15" customHeight="1" s="95">
      <c r="A1259" s="143" t="n">
        <v>44723</v>
      </c>
      <c r="B1259" s="94" t="n">
        <v>2022</v>
      </c>
      <c r="C1259" s="94" t="inlineStr">
        <is>
          <t>2022-Q2</t>
        </is>
      </c>
      <c r="D1259" s="186" t="n">
        <v>29101.2982596468</v>
      </c>
      <c r="E1259" s="188" t="n">
        <v>554622874799.043</v>
      </c>
      <c r="F1259" s="188" t="n">
        <v>25663085729.4288</v>
      </c>
    </row>
    <row r="1260" ht="15" customHeight="1" s="95">
      <c r="A1260" s="143" t="n">
        <v>44724</v>
      </c>
      <c r="B1260" s="94" t="n">
        <v>2022</v>
      </c>
      <c r="C1260" s="94" t="inlineStr">
        <is>
          <t>2022-Q2</t>
        </is>
      </c>
      <c r="D1260" s="186" t="n">
        <v>28374.144997324</v>
      </c>
      <c r="E1260" s="188" t="n">
        <v>540789214973.627</v>
      </c>
      <c r="F1260" s="188" t="n">
        <v>22518366769.8391</v>
      </c>
    </row>
    <row r="1261" ht="15" customHeight="1" s="95">
      <c r="A1261" s="143" t="n">
        <v>44725</v>
      </c>
      <c r="B1261" s="94" t="n">
        <v>2022</v>
      </c>
      <c r="C1261" s="94" t="inlineStr">
        <is>
          <t>2022-Q2</t>
        </is>
      </c>
      <c r="D1261" s="186" t="n">
        <v>26767.2691732213</v>
      </c>
      <c r="E1261" s="188" t="n">
        <v>514202090511.068</v>
      </c>
      <c r="F1261" s="188" t="n">
        <v>29834061115.6246</v>
      </c>
    </row>
    <row r="1262" ht="15" customHeight="1" s="95">
      <c r="A1262" s="143" t="n">
        <v>44726</v>
      </c>
      <c r="B1262" s="94" t="n">
        <v>2022</v>
      </c>
      <c r="C1262" s="94" t="inlineStr">
        <is>
          <t>2022-Q2</t>
        </is>
      </c>
      <c r="D1262" s="186" t="n">
        <v>22525.7683503912</v>
      </c>
      <c r="E1262" s="188" t="n">
        <v>429492202561.014</v>
      </c>
      <c r="F1262" s="188" t="n">
        <v>64852526179.3828</v>
      </c>
    </row>
    <row r="1263" ht="15" customHeight="1" s="95">
      <c r="A1263" s="143" t="n">
        <v>44727</v>
      </c>
      <c r="B1263" s="94" t="n">
        <v>2022</v>
      </c>
      <c r="C1263" s="94" t="inlineStr">
        <is>
          <t>2022-Q2</t>
        </is>
      </c>
      <c r="D1263" s="186" t="n">
        <v>22244.8489680013</v>
      </c>
      <c r="E1263" s="188" t="n">
        <v>423044474596.539</v>
      </c>
      <c r="F1263" s="188" t="n">
        <v>47639470967.8914</v>
      </c>
    </row>
    <row r="1264" ht="15" customHeight="1" s="95">
      <c r="A1264" s="143" t="n">
        <v>44728</v>
      </c>
      <c r="B1264" s="94" t="n">
        <v>2022</v>
      </c>
      <c r="C1264" s="94" t="inlineStr">
        <is>
          <t>2022-Q2</t>
        </is>
      </c>
      <c r="D1264" s="186" t="n">
        <v>22529.1981146498</v>
      </c>
      <c r="E1264" s="188" t="n">
        <v>429887916884.843</v>
      </c>
      <c r="F1264" s="188" t="n">
        <v>52027211446.5112</v>
      </c>
    </row>
    <row r="1265" ht="15" customHeight="1" s="95">
      <c r="A1265" s="143" t="n">
        <v>44729</v>
      </c>
      <c r="B1265" s="94" t="n">
        <v>2022</v>
      </c>
      <c r="C1265" s="94" t="inlineStr">
        <is>
          <t>2022-Q2</t>
        </is>
      </c>
      <c r="D1265" s="186" t="n">
        <v>20408.6904905918</v>
      </c>
      <c r="E1265" s="188" t="n">
        <v>389181727345.577</v>
      </c>
      <c r="F1265" s="188" t="n">
        <v>27449277945.5926</v>
      </c>
    </row>
    <row r="1266" ht="15" customHeight="1" s="95">
      <c r="A1266" s="143" t="n">
        <v>44730</v>
      </c>
      <c r="B1266" s="94" t="n">
        <v>2022</v>
      </c>
      <c r="C1266" s="94" t="inlineStr">
        <is>
          <t>2022-Q2</t>
        </is>
      </c>
      <c r="D1266" s="186" t="n">
        <v>20473.0528807951</v>
      </c>
      <c r="E1266" s="188" t="n">
        <v>391441740414.391</v>
      </c>
      <c r="F1266" s="188" t="n">
        <v>24232922585.2402</v>
      </c>
    </row>
    <row r="1267" ht="15" customHeight="1" s="95">
      <c r="A1267" s="143" t="n">
        <v>44731</v>
      </c>
      <c r="B1267" s="94" t="n">
        <v>2022</v>
      </c>
      <c r="C1267" s="94" t="inlineStr">
        <is>
          <t>2022-Q2</t>
        </is>
      </c>
      <c r="D1267" s="186" t="n">
        <v>19047.417828282</v>
      </c>
      <c r="E1267" s="188" t="n">
        <v>362303884192.01</v>
      </c>
      <c r="F1267" s="188" t="n">
        <v>38920632524.1614</v>
      </c>
    </row>
    <row r="1268" ht="15" customHeight="1" s="95">
      <c r="A1268" s="143" t="n">
        <v>44732</v>
      </c>
      <c r="B1268" s="94" t="n">
        <v>2022</v>
      </c>
      <c r="C1268" s="94" t="inlineStr">
        <is>
          <t>2022-Q2</t>
        </is>
      </c>
      <c r="D1268" s="186" t="n">
        <v>20516.4119797752</v>
      </c>
      <c r="E1268" s="188" t="n">
        <v>390555374756.532</v>
      </c>
      <c r="F1268" s="188" t="n">
        <v>32488136325.8831</v>
      </c>
    </row>
    <row r="1269" ht="15" customHeight="1" s="95">
      <c r="A1269" s="143" t="n">
        <v>44733</v>
      </c>
      <c r="B1269" s="94" t="n">
        <v>2022</v>
      </c>
      <c r="C1269" s="94" t="inlineStr">
        <is>
          <t>2022-Q2</t>
        </is>
      </c>
      <c r="D1269" s="186" t="n">
        <v>20636.7589124064</v>
      </c>
      <c r="E1269" s="188" t="n">
        <v>392793374515.992</v>
      </c>
      <c r="F1269" s="188" t="n">
        <v>28346447996.7799</v>
      </c>
    </row>
    <row r="1270" ht="15" customHeight="1" s="95">
      <c r="A1270" s="143" t="n">
        <v>44734</v>
      </c>
      <c r="B1270" s="94" t="n">
        <v>2022</v>
      </c>
      <c r="C1270" s="94" t="inlineStr">
        <is>
          <t>2022-Q2</t>
        </is>
      </c>
      <c r="D1270" s="186" t="n">
        <v>20700.9239330391</v>
      </c>
      <c r="E1270" s="188" t="n">
        <v>395059669321.238</v>
      </c>
      <c r="F1270" s="188" t="n">
        <v>25340643362.789</v>
      </c>
    </row>
    <row r="1271" ht="15" customHeight="1" s="95">
      <c r="A1271" s="143" t="n">
        <v>44735</v>
      </c>
      <c r="B1271" s="94" t="n">
        <v>2022</v>
      </c>
      <c r="C1271" s="94" t="inlineStr">
        <is>
          <t>2022-Q2</t>
        </is>
      </c>
      <c r="D1271" s="186" t="n">
        <v>19983.5664828631</v>
      </c>
      <c r="E1271" s="188" t="n">
        <v>381616262301.266</v>
      </c>
      <c r="F1271" s="188" t="n">
        <v>24955466738.1109</v>
      </c>
    </row>
    <row r="1272" ht="15" customHeight="1" s="95">
      <c r="A1272" s="143" t="n">
        <v>44736</v>
      </c>
      <c r="B1272" s="94" t="n">
        <v>2022</v>
      </c>
      <c r="C1272" s="94" t="inlineStr">
        <is>
          <t>2022-Q2</t>
        </is>
      </c>
      <c r="D1272" s="186" t="n">
        <v>21100.2705335111</v>
      </c>
      <c r="E1272" s="188" t="n">
        <v>402495826231.421</v>
      </c>
      <c r="F1272" s="188" t="n">
        <v>23655104386.9785</v>
      </c>
    </row>
    <row r="1273" ht="15" customHeight="1" s="95">
      <c r="A1273" s="143" t="n">
        <v>44737</v>
      </c>
      <c r="B1273" s="94" t="n">
        <v>2022</v>
      </c>
      <c r="C1273" s="94" t="inlineStr">
        <is>
          <t>2022-Q2</t>
        </is>
      </c>
      <c r="D1273" s="186" t="n">
        <v>21262.7134829561</v>
      </c>
      <c r="E1273" s="188" t="n">
        <v>407086114490.373</v>
      </c>
      <c r="F1273" s="188" t="n">
        <v>21955656695.7487</v>
      </c>
    </row>
    <row r="1274" ht="15" customHeight="1" s="95">
      <c r="A1274" s="143" t="n">
        <v>44738</v>
      </c>
      <c r="B1274" s="94" t="n">
        <v>2022</v>
      </c>
      <c r="C1274" s="94" t="inlineStr">
        <is>
          <t>2022-Q2</t>
        </is>
      </c>
      <c r="D1274" s="186" t="n">
        <v>21525.8803622114</v>
      </c>
      <c r="E1274" s="188" t="n">
        <v>410110791491.055</v>
      </c>
      <c r="F1274" s="188" t="n">
        <v>16152442749.3063</v>
      </c>
    </row>
    <row r="1275" ht="15" customHeight="1" s="95">
      <c r="A1275" s="143" t="n">
        <v>44739</v>
      </c>
      <c r="B1275" s="94" t="n">
        <v>2022</v>
      </c>
      <c r="C1275" s="94" t="inlineStr">
        <is>
          <t>2022-Q2</t>
        </is>
      </c>
      <c r="D1275" s="186" t="n">
        <v>21052.8053978357</v>
      </c>
      <c r="E1275" s="188" t="n">
        <v>401645800330.407</v>
      </c>
      <c r="F1275" s="188" t="n">
        <v>15392697878.4177</v>
      </c>
    </row>
    <row r="1276" ht="15" customHeight="1" s="95">
      <c r="A1276" s="143" t="n">
        <v>44740</v>
      </c>
      <c r="B1276" s="94" t="n">
        <v>2022</v>
      </c>
      <c r="C1276" s="94" t="inlineStr">
        <is>
          <t>2022-Q2</t>
        </is>
      </c>
      <c r="D1276" s="186" t="n">
        <v>20751.4775307908</v>
      </c>
      <c r="E1276" s="188" t="n">
        <v>395914576106.058</v>
      </c>
      <c r="F1276" s="188" t="n">
        <v>17719011287.9831</v>
      </c>
    </row>
    <row r="1277" ht="15" customHeight="1" s="95">
      <c r="A1277" s="143" t="n">
        <v>44741</v>
      </c>
      <c r="B1277" s="94" t="n">
        <v>2022</v>
      </c>
      <c r="C1277" s="94" t="inlineStr">
        <is>
          <t>2022-Q2</t>
        </is>
      </c>
      <c r="D1277" s="186" t="n">
        <v>20282.5424792697</v>
      </c>
      <c r="E1277" s="188" t="n">
        <v>386606940573.396</v>
      </c>
      <c r="F1277" s="188" t="n">
        <v>18161209601.4324</v>
      </c>
    </row>
    <row r="1278" ht="15" customHeight="1" s="95">
      <c r="A1278" s="143" t="n">
        <v>44742</v>
      </c>
      <c r="B1278" s="94" t="n">
        <v>2022</v>
      </c>
      <c r="C1278" s="94" t="inlineStr">
        <is>
          <t>2022-Q2</t>
        </is>
      </c>
      <c r="D1278" s="186" t="n">
        <v>20108.5294728898</v>
      </c>
      <c r="E1278" s="188" t="n">
        <v>384067866465.561</v>
      </c>
      <c r="F1278" s="188" t="n">
        <v>20744333507.3552</v>
      </c>
    </row>
    <row r="1279" ht="15" customHeight="1" s="95">
      <c r="A1279" s="143" t="n">
        <v>44743</v>
      </c>
      <c r="B1279" s="94" t="n">
        <v>2022</v>
      </c>
      <c r="C1279" s="94" t="inlineStr">
        <is>
          <t>2022-Q3</t>
        </is>
      </c>
      <c r="D1279" s="186" t="n">
        <v>19608.3974934231</v>
      </c>
      <c r="E1279" s="188" t="n">
        <v>365984224323.453</v>
      </c>
      <c r="F1279" s="188" t="n">
        <v>22816515394.911</v>
      </c>
    </row>
    <row r="1280" ht="15" customHeight="1" s="95">
      <c r="A1280" s="143" t="n">
        <v>44744</v>
      </c>
      <c r="B1280" s="94" t="n">
        <v>2022</v>
      </c>
      <c r="C1280" s="94" t="inlineStr">
        <is>
          <t>2022-Q3</t>
        </is>
      </c>
      <c r="D1280" s="186" t="n">
        <v>19407.4474302625</v>
      </c>
      <c r="E1280" s="188" t="n">
        <v>370916529918.716</v>
      </c>
      <c r="F1280" s="188" t="n">
        <v>28756781114.6999</v>
      </c>
    </row>
    <row r="1281" ht="15" customHeight="1" s="95">
      <c r="A1281" s="143" t="n">
        <v>44745</v>
      </c>
      <c r="B1281" s="94" t="n">
        <v>2022</v>
      </c>
      <c r="C1281" s="94" t="inlineStr">
        <is>
          <t>2022-Q3</t>
        </is>
      </c>
      <c r="D1281" s="186" t="n">
        <v>19268.2270026661</v>
      </c>
      <c r="E1281" s="188" t="n">
        <v>367706689137.568</v>
      </c>
      <c r="F1281" s="188" t="n">
        <v>15601715000.6794</v>
      </c>
    </row>
    <row r="1282" ht="15" customHeight="1" s="95">
      <c r="A1282" s="143" t="n">
        <v>44746</v>
      </c>
      <c r="B1282" s="94" t="n">
        <v>2022</v>
      </c>
      <c r="C1282" s="94" t="inlineStr">
        <is>
          <t>2022-Q3</t>
        </is>
      </c>
      <c r="D1282" s="186" t="n">
        <v>19310.2332185218</v>
      </c>
      <c r="E1282" s="188" t="n">
        <v>368549364135.052</v>
      </c>
      <c r="F1282" s="188" t="n">
        <v>13976969844.3324</v>
      </c>
    </row>
    <row r="1283" ht="15" customHeight="1" s="95">
      <c r="A1283" s="143" t="n">
        <v>44747</v>
      </c>
      <c r="B1283" s="94" t="n">
        <v>2022</v>
      </c>
      <c r="C1283" s="94" t="inlineStr">
        <is>
          <t>2022-Q3</t>
        </is>
      </c>
      <c r="D1283" s="186" t="n">
        <v>20257.0123285929</v>
      </c>
      <c r="E1283" s="188" t="n">
        <v>386425176262.778</v>
      </c>
      <c r="F1283" s="188" t="n">
        <v>18634860046.3724</v>
      </c>
    </row>
    <row r="1284" ht="15" customHeight="1" s="95">
      <c r="A1284" s="143" t="n">
        <v>44748</v>
      </c>
      <c r="B1284" s="94" t="n">
        <v>2022</v>
      </c>
      <c r="C1284" s="94" t="inlineStr">
        <is>
          <t>2022-Q3</t>
        </is>
      </c>
      <c r="D1284" s="186" t="n">
        <v>20188.7796639733</v>
      </c>
      <c r="E1284" s="188" t="n">
        <v>385301783065.73</v>
      </c>
      <c r="F1284" s="188" t="n">
        <v>23623270105.5454</v>
      </c>
    </row>
    <row r="1285" ht="15" customHeight="1" s="95">
      <c r="A1285" s="143" t="n">
        <v>44749</v>
      </c>
      <c r="B1285" s="94" t="n">
        <v>2022</v>
      </c>
      <c r="C1285" s="94" t="inlineStr">
        <is>
          <t>2022-Q3</t>
        </is>
      </c>
      <c r="D1285" s="186" t="n">
        <v>20566.68722377</v>
      </c>
      <c r="E1285" s="188" t="n">
        <v>392479833070.602</v>
      </c>
      <c r="F1285" s="188" t="n">
        <v>21755499642.2828</v>
      </c>
    </row>
    <row r="1286" ht="15" customHeight="1" s="95">
      <c r="A1286" s="143" t="n">
        <v>44750</v>
      </c>
      <c r="B1286" s="94" t="n">
        <v>2022</v>
      </c>
      <c r="C1286" s="94" t="inlineStr">
        <is>
          <t>2022-Q3</t>
        </is>
      </c>
      <c r="D1286" s="186" t="n">
        <v>21660.5968370752</v>
      </c>
      <c r="E1286" s="188" t="n">
        <v>414055638573.855</v>
      </c>
      <c r="F1286" s="188" t="n">
        <v>21927087503.4338</v>
      </c>
    </row>
    <row r="1287" ht="15" customHeight="1" s="95">
      <c r="A1287" s="143" t="n">
        <v>44751</v>
      </c>
      <c r="B1287" s="94" t="n">
        <v>2022</v>
      </c>
      <c r="C1287" s="94" t="inlineStr">
        <is>
          <t>2022-Q3</t>
        </is>
      </c>
      <c r="D1287" s="186" t="n">
        <v>21858.8187492176</v>
      </c>
      <c r="E1287" s="188" t="n">
        <v>417690286504.507</v>
      </c>
      <c r="F1287" s="188" t="n">
        <v>46645398900.963</v>
      </c>
    </row>
    <row r="1288" ht="15" customHeight="1" s="95">
      <c r="A1288" s="143" t="n">
        <v>44752</v>
      </c>
      <c r="B1288" s="94" t="n">
        <v>2022</v>
      </c>
      <c r="C1288" s="94" t="inlineStr">
        <is>
          <t>2022-Q3</t>
        </is>
      </c>
      <c r="D1288" s="186" t="n">
        <v>21589.6281014597</v>
      </c>
      <c r="E1288" s="188" t="n">
        <v>412459838738.211</v>
      </c>
      <c r="F1288" s="188" t="n">
        <v>26211587451.7833</v>
      </c>
    </row>
    <row r="1289" ht="15" customHeight="1" s="95">
      <c r="A1289" s="143" t="n">
        <v>44753</v>
      </c>
      <c r="B1289" s="94" t="n">
        <v>2022</v>
      </c>
      <c r="C1289" s="94" t="inlineStr">
        <is>
          <t>2022-Q3</t>
        </is>
      </c>
      <c r="D1289" s="186" t="n">
        <v>20859.8140796506</v>
      </c>
      <c r="E1289" s="188" t="n">
        <v>398249545888.674</v>
      </c>
      <c r="F1289" s="188" t="n">
        <v>25037950754.0034</v>
      </c>
    </row>
    <row r="1290" ht="15" customHeight="1" s="95">
      <c r="A1290" s="143" t="n">
        <v>44754</v>
      </c>
      <c r="B1290" s="94" t="n">
        <v>2022</v>
      </c>
      <c r="C1290" s="94" t="inlineStr">
        <is>
          <t>2022-Q3</t>
        </is>
      </c>
      <c r="D1290" s="186" t="n">
        <v>19998.4678395758</v>
      </c>
      <c r="E1290" s="188" t="n">
        <v>382000290322.399</v>
      </c>
      <c r="F1290" s="188" t="n">
        <v>21319467248.801</v>
      </c>
    </row>
    <row r="1291" ht="15" customHeight="1" s="95">
      <c r="A1291" s="143" t="n">
        <v>44755</v>
      </c>
      <c r="B1291" s="94" t="n">
        <v>2022</v>
      </c>
      <c r="C1291" s="94" t="inlineStr">
        <is>
          <t>2022-Q3</t>
        </is>
      </c>
      <c r="D1291" s="186" t="n">
        <v>19350.7373500773</v>
      </c>
      <c r="E1291" s="188" t="n">
        <v>370191767290.511</v>
      </c>
      <c r="F1291" s="188" t="n">
        <v>22074971578.2899</v>
      </c>
    </row>
    <row r="1292" ht="15" customHeight="1" s="95">
      <c r="A1292" s="143" t="n">
        <v>44756</v>
      </c>
      <c r="B1292" s="94" t="n">
        <v>2022</v>
      </c>
      <c r="C1292" s="94" t="inlineStr">
        <is>
          <t>2022-Q3</t>
        </is>
      </c>
      <c r="D1292" s="186" t="n">
        <v>20225.2386643319</v>
      </c>
      <c r="E1292" s="188" t="n">
        <v>385462566548.971</v>
      </c>
      <c r="F1292" s="188" t="n">
        <v>28560004360.9029</v>
      </c>
    </row>
    <row r="1293" ht="15" customHeight="1" s="95">
      <c r="A1293" s="143" t="n">
        <v>44757</v>
      </c>
      <c r="B1293" s="94" t="n">
        <v>2022</v>
      </c>
      <c r="C1293" s="94" t="inlineStr">
        <is>
          <t>2022-Q3</t>
        </is>
      </c>
      <c r="D1293" s="186" t="n">
        <v>20574.8405915004</v>
      </c>
      <c r="E1293" s="188" t="n">
        <v>393104346702.711</v>
      </c>
      <c r="F1293" s="188" t="n">
        <v>28732413536.6699</v>
      </c>
    </row>
    <row r="1294" ht="15" customHeight="1" s="95">
      <c r="A1294" s="143" t="n">
        <v>44758</v>
      </c>
      <c r="B1294" s="94" t="n">
        <v>2022</v>
      </c>
      <c r="C1294" s="94" t="inlineStr">
        <is>
          <t>2022-Q3</t>
        </is>
      </c>
      <c r="D1294" s="186" t="n">
        <v>20794.8119814367</v>
      </c>
      <c r="E1294" s="188" t="n">
        <v>397285233065.655</v>
      </c>
      <c r="F1294" s="188" t="n">
        <v>46542248374.3324</v>
      </c>
    </row>
    <row r="1295" ht="15" customHeight="1" s="95">
      <c r="A1295" s="143" t="n">
        <v>44759</v>
      </c>
      <c r="B1295" s="94" t="n">
        <v>2022</v>
      </c>
      <c r="C1295" s="94" t="inlineStr">
        <is>
          <t>2022-Q3</t>
        </is>
      </c>
      <c r="D1295" s="186" t="n">
        <v>21193.0833433684</v>
      </c>
      <c r="E1295" s="188" t="n">
        <v>404705642580.891</v>
      </c>
      <c r="F1295" s="188" t="n">
        <v>42051101694.7976</v>
      </c>
    </row>
    <row r="1296" ht="15" customHeight="1" s="95">
      <c r="A1296" s="143" t="n">
        <v>44760</v>
      </c>
      <c r="B1296" s="94" t="n">
        <v>2022</v>
      </c>
      <c r="C1296" s="94" t="inlineStr">
        <is>
          <t>2022-Q3</t>
        </is>
      </c>
      <c r="D1296" s="186" t="n">
        <v>20824.3627516516</v>
      </c>
      <c r="E1296" s="188" t="n">
        <v>397660610560.55</v>
      </c>
      <c r="F1296" s="188" t="n">
        <v>29615794461.4992</v>
      </c>
    </row>
    <row r="1297" ht="15" customHeight="1" s="95">
      <c r="A1297" s="143" t="n">
        <v>44761</v>
      </c>
      <c r="B1297" s="94" t="n">
        <v>2022</v>
      </c>
      <c r="C1297" s="94" t="inlineStr">
        <is>
          <t>2022-Q3</t>
        </is>
      </c>
      <c r="D1297" s="186" t="n">
        <v>22395.365383104</v>
      </c>
      <c r="E1297" s="188" t="n">
        <v>425756736660.617</v>
      </c>
      <c r="F1297" s="188" t="n">
        <v>58636734705.4831</v>
      </c>
    </row>
    <row r="1298" ht="15" customHeight="1" s="95">
      <c r="A1298" s="143" t="n">
        <v>44762</v>
      </c>
      <c r="B1298" s="94" t="n">
        <v>2022</v>
      </c>
      <c r="C1298" s="94" t="inlineStr">
        <is>
          <t>2022-Q3</t>
        </is>
      </c>
      <c r="D1298" s="186" t="n">
        <v>23366.9076979279</v>
      </c>
      <c r="E1298" s="188" t="n">
        <v>445889013251.106</v>
      </c>
      <c r="F1298" s="188" t="n">
        <v>57338223361.5141</v>
      </c>
    </row>
    <row r="1299" ht="15" customHeight="1" s="95">
      <c r="A1299" s="143" t="n">
        <v>44763</v>
      </c>
      <c r="B1299" s="94" t="n">
        <v>2022</v>
      </c>
      <c r="C1299" s="94" t="inlineStr">
        <is>
          <t>2022-Q3</t>
        </is>
      </c>
      <c r="D1299" s="186" t="n">
        <v>23313.2967319596</v>
      </c>
      <c r="E1299" s="188" t="n">
        <v>446130012149.911</v>
      </c>
      <c r="F1299" s="188" t="n">
        <v>40775718993.7978</v>
      </c>
    </row>
    <row r="1300" ht="15" customHeight="1" s="95">
      <c r="A1300" s="143" t="n">
        <v>44764</v>
      </c>
      <c r="B1300" s="94" t="n">
        <v>2022</v>
      </c>
      <c r="C1300" s="94" t="inlineStr">
        <is>
          <t>2022-Q3</t>
        </is>
      </c>
      <c r="D1300" s="186" t="n">
        <v>23155.2075552483</v>
      </c>
      <c r="E1300" s="188" t="n">
        <v>442379611364.027</v>
      </c>
      <c r="F1300" s="188" t="n">
        <v>63224249257.5113</v>
      </c>
    </row>
    <row r="1301" ht="15" customHeight="1" s="95">
      <c r="A1301" s="143" t="n">
        <v>44765</v>
      </c>
      <c r="B1301" s="94" t="n">
        <v>2022</v>
      </c>
      <c r="C1301" s="94" t="inlineStr">
        <is>
          <t>2022-Q3</t>
        </is>
      </c>
      <c r="D1301" s="186" t="n">
        <v>22696.9027542901</v>
      </c>
      <c r="E1301" s="188" t="n">
        <v>433485926857.393</v>
      </c>
      <c r="F1301" s="188" t="n">
        <v>40304373301.415</v>
      </c>
    </row>
    <row r="1302" ht="15" customHeight="1" s="95">
      <c r="A1302" s="143" t="n">
        <v>44766</v>
      </c>
      <c r="B1302" s="94" t="n">
        <v>2022</v>
      </c>
      <c r="C1302" s="94" t="inlineStr">
        <is>
          <t>2022-Q3</t>
        </is>
      </c>
      <c r="D1302" s="186" t="n">
        <v>22506.199573629</v>
      </c>
      <c r="E1302" s="188" t="n">
        <v>429803379587.551</v>
      </c>
      <c r="F1302" s="188" t="n">
        <v>42519262113.1533</v>
      </c>
    </row>
    <row r="1303" ht="15" customHeight="1" s="95">
      <c r="A1303" s="143" t="n">
        <v>44767</v>
      </c>
      <c r="B1303" s="94" t="n">
        <v>2022</v>
      </c>
      <c r="C1303" s="94" t="inlineStr">
        <is>
          <t>2022-Q3</t>
        </is>
      </c>
      <c r="D1303" s="186" t="n">
        <v>22613.7192082485</v>
      </c>
      <c r="E1303" s="188" t="n">
        <v>433819662321.527</v>
      </c>
      <c r="F1303" s="188" t="n">
        <v>33108916659.0537</v>
      </c>
    </row>
    <row r="1304" ht="15" customHeight="1" s="95">
      <c r="A1304" s="143" t="n">
        <v>44768</v>
      </c>
      <c r="B1304" s="94" t="n">
        <v>2022</v>
      </c>
      <c r="C1304" s="94" t="inlineStr">
        <is>
          <t>2022-Q3</t>
        </is>
      </c>
      <c r="D1304" s="186" t="n">
        <v>21330.2954507882</v>
      </c>
      <c r="E1304" s="188" t="n">
        <v>407480099599.814</v>
      </c>
      <c r="F1304" s="188" t="n">
        <v>42667548128.9322</v>
      </c>
    </row>
    <row r="1305" ht="15" customHeight="1" s="95">
      <c r="A1305" s="143" t="n">
        <v>44769</v>
      </c>
      <c r="B1305" s="94" t="n">
        <v>2022</v>
      </c>
      <c r="C1305" s="94" t="inlineStr">
        <is>
          <t>2022-Q3</t>
        </is>
      </c>
      <c r="D1305" s="186" t="n">
        <v>21235.6123160858</v>
      </c>
      <c r="E1305" s="188" t="n">
        <v>405692421501.527</v>
      </c>
      <c r="F1305" s="188" t="n">
        <v>53995620035.1815</v>
      </c>
    </row>
    <row r="1306" ht="15" customHeight="1" s="95">
      <c r="A1306" s="143" t="n">
        <v>44770</v>
      </c>
      <c r="B1306" s="94" t="n">
        <v>2022</v>
      </c>
      <c r="C1306" s="94" t="inlineStr">
        <is>
          <t>2022-Q3</t>
        </is>
      </c>
      <c r="D1306" s="186" t="n">
        <v>22908.8842604687</v>
      </c>
      <c r="E1306" s="188" t="n">
        <v>437193517021.845</v>
      </c>
      <c r="F1306" s="188" t="n">
        <v>54498281944.4516</v>
      </c>
    </row>
    <row r="1307" ht="15" customHeight="1" s="95">
      <c r="A1307" s="143" t="n">
        <v>44771</v>
      </c>
      <c r="B1307" s="94" t="n">
        <v>2022</v>
      </c>
      <c r="C1307" s="94" t="inlineStr">
        <is>
          <t>2022-Q3</t>
        </is>
      </c>
      <c r="D1307" s="186" t="n">
        <v>23822.0675978231</v>
      </c>
      <c r="E1307" s="188" t="n">
        <v>454806622614.759</v>
      </c>
      <c r="F1307" s="188" t="n">
        <v>55609627980.6571</v>
      </c>
    </row>
    <row r="1308" ht="15" customHeight="1" s="95">
      <c r="A1308" s="143" t="n">
        <v>44772</v>
      </c>
      <c r="B1308" s="94" t="n">
        <v>2022</v>
      </c>
      <c r="C1308" s="94" t="inlineStr">
        <is>
          <t>2022-Q3</t>
        </is>
      </c>
      <c r="D1308" s="186" t="n">
        <v>23847.5833187386</v>
      </c>
      <c r="E1308" s="188" t="n">
        <v>459609388579.555</v>
      </c>
      <c r="F1308" s="188" t="n">
        <v>41089335195.6398</v>
      </c>
    </row>
    <row r="1309" ht="15" customHeight="1" s="95">
      <c r="A1309" s="143" t="n">
        <v>44773</v>
      </c>
      <c r="B1309" s="94" t="n">
        <v>2022</v>
      </c>
      <c r="C1309" s="94" t="inlineStr">
        <is>
          <t>2022-Q3</t>
        </is>
      </c>
      <c r="D1309" s="186" t="n">
        <v>23653.4595494308</v>
      </c>
      <c r="E1309" s="188" t="n">
        <v>451726702392.362</v>
      </c>
      <c r="F1309" s="188" t="n">
        <v>62102072346.8078</v>
      </c>
    </row>
    <row r="1310" ht="15" customHeight="1" s="95">
      <c r="A1310" s="143" t="n">
        <v>44774</v>
      </c>
      <c r="B1310" s="94" t="n">
        <v>2022</v>
      </c>
      <c r="C1310" s="94" t="inlineStr">
        <is>
          <t>2022-Q3</t>
        </is>
      </c>
      <c r="D1310" s="186" t="n">
        <v>23379.7005250908</v>
      </c>
      <c r="E1310" s="188" t="n">
        <v>447051019373.185</v>
      </c>
      <c r="F1310" s="188" t="n">
        <v>31786729326.4432</v>
      </c>
    </row>
    <row r="1311" ht="15" customHeight="1" s="95">
      <c r="A1311" s="143" t="n">
        <v>44775</v>
      </c>
      <c r="B1311" s="94" t="n">
        <v>2022</v>
      </c>
      <c r="C1311" s="94" t="inlineStr">
        <is>
          <t>2022-Q3</t>
        </is>
      </c>
      <c r="D1311" s="186" t="n">
        <v>23333.7492433122</v>
      </c>
      <c r="E1311" s="188" t="n">
        <v>445958949620.3</v>
      </c>
      <c r="F1311" s="188" t="n">
        <v>44489771146.5107</v>
      </c>
    </row>
    <row r="1312" ht="15" customHeight="1" s="95">
      <c r="A1312" s="143" t="n">
        <v>44776</v>
      </c>
      <c r="B1312" s="94" t="n">
        <v>2022</v>
      </c>
      <c r="C1312" s="94" t="inlineStr">
        <is>
          <t>2022-Q3</t>
        </is>
      </c>
      <c r="D1312" s="186" t="n">
        <v>23053.8468474827</v>
      </c>
      <c r="E1312" s="188" t="n">
        <v>440954684720.748</v>
      </c>
      <c r="F1312" s="188" t="n">
        <v>35151096516.7564</v>
      </c>
    </row>
    <row r="1313" ht="15" customHeight="1" s="95">
      <c r="A1313" s="143" t="n">
        <v>44777</v>
      </c>
      <c r="B1313" s="94" t="n">
        <v>2022</v>
      </c>
      <c r="C1313" s="94" t="inlineStr">
        <is>
          <t>2022-Q3</t>
        </is>
      </c>
      <c r="D1313" s="186" t="n">
        <v>22860.4209843832</v>
      </c>
      <c r="E1313" s="188" t="n">
        <v>437035641450.282</v>
      </c>
      <c r="F1313" s="188" t="n">
        <v>41334593234.0751</v>
      </c>
    </row>
    <row r="1314" ht="15" customHeight="1" s="95">
      <c r="A1314" s="143" t="n">
        <v>44778</v>
      </c>
      <c r="B1314" s="94" t="n">
        <v>2022</v>
      </c>
      <c r="C1314" s="94" t="inlineStr">
        <is>
          <t>2022-Q3</t>
        </is>
      </c>
      <c r="D1314" s="186" t="n">
        <v>22678.3636338742</v>
      </c>
      <c r="E1314" s="188" t="n">
        <v>432420621055.801</v>
      </c>
      <c r="F1314" s="188" t="n">
        <v>23624874220.4297</v>
      </c>
    </row>
    <row r="1315" ht="15" customHeight="1" s="95">
      <c r="A1315" s="143" t="n">
        <v>44779</v>
      </c>
      <c r="B1315" s="94" t="n">
        <v>2022</v>
      </c>
      <c r="C1315" s="94" t="inlineStr">
        <is>
          <t>2022-Q3</t>
        </is>
      </c>
      <c r="D1315" s="186" t="n">
        <v>23225.0362019429</v>
      </c>
      <c r="E1315" s="188" t="n">
        <v>443821669890.48</v>
      </c>
      <c r="F1315" s="188" t="n">
        <v>27040190909.8281</v>
      </c>
    </row>
    <row r="1316" ht="15" customHeight="1" s="95">
      <c r="A1316" s="143" t="n">
        <v>44780</v>
      </c>
      <c r="B1316" s="94" t="n">
        <v>2022</v>
      </c>
      <c r="C1316" s="94" t="inlineStr">
        <is>
          <t>2022-Q3</t>
        </is>
      </c>
      <c r="D1316" s="186" t="n">
        <v>22984.5795314486</v>
      </c>
      <c r="E1316" s="188" t="n">
        <v>439414782173.188</v>
      </c>
      <c r="F1316" s="188" t="n">
        <v>14439694271.1407</v>
      </c>
    </row>
    <row r="1317" ht="15" customHeight="1" s="95">
      <c r="A1317" s="143" t="n">
        <v>44781</v>
      </c>
      <c r="B1317" s="94" t="n">
        <v>2022</v>
      </c>
      <c r="C1317" s="94" t="inlineStr">
        <is>
          <t>2022-Q3</t>
        </is>
      </c>
      <c r="D1317" s="186" t="n">
        <v>23197.6034695254</v>
      </c>
      <c r="E1317" s="188" t="n">
        <v>442979379284.12</v>
      </c>
      <c r="F1317" s="188" t="n">
        <v>14324042469.271</v>
      </c>
    </row>
    <row r="1318" ht="15" customHeight="1" s="95">
      <c r="A1318" s="143" t="n">
        <v>44782</v>
      </c>
      <c r="B1318" s="94" t="n">
        <v>2022</v>
      </c>
      <c r="C1318" s="94" t="inlineStr">
        <is>
          <t>2022-Q3</t>
        </is>
      </c>
      <c r="D1318" s="186" t="n">
        <v>23823.6794424536</v>
      </c>
      <c r="E1318" s="188" t="n">
        <v>455450642522.255</v>
      </c>
      <c r="F1318" s="188" t="n">
        <v>27756736787.0286</v>
      </c>
    </row>
    <row r="1319" ht="15" customHeight="1" s="95">
      <c r="A1319" s="143" t="n">
        <v>44783</v>
      </c>
      <c r="B1319" s="94" t="n">
        <v>2022</v>
      </c>
      <c r="C1319" s="94" t="inlineStr">
        <is>
          <t>2022-Q3</t>
        </is>
      </c>
      <c r="D1319" s="186" t="n">
        <v>23203.6806967816</v>
      </c>
      <c r="E1319" s="188" t="n">
        <v>443382534834.695</v>
      </c>
      <c r="F1319" s="188" t="n">
        <v>29738069337.7764</v>
      </c>
    </row>
    <row r="1320" ht="15" customHeight="1" s="95">
      <c r="A1320" s="143" t="n">
        <v>44784</v>
      </c>
      <c r="B1320" s="94" t="n">
        <v>2022</v>
      </c>
      <c r="C1320" s="94" t="inlineStr">
        <is>
          <t>2022-Q3</t>
        </is>
      </c>
      <c r="D1320" s="186" t="n">
        <v>23948.8295532716</v>
      </c>
      <c r="E1320" s="188" t="n">
        <v>457270455537.329</v>
      </c>
      <c r="F1320" s="188" t="n">
        <v>32215976525.6502</v>
      </c>
    </row>
    <row r="1321" ht="15" customHeight="1" s="95">
      <c r="A1321" s="143" t="n">
        <v>44785</v>
      </c>
      <c r="B1321" s="94" t="n">
        <v>2022</v>
      </c>
      <c r="C1321" s="94" t="inlineStr">
        <is>
          <t>2022-Q3</t>
        </is>
      </c>
      <c r="D1321" s="186" t="n">
        <v>23948.7517036814</v>
      </c>
      <c r="E1321" s="188" t="n">
        <v>458070674127.79</v>
      </c>
      <c r="F1321" s="188" t="n">
        <v>33892871243.7166</v>
      </c>
    </row>
    <row r="1322" ht="15" customHeight="1" s="95">
      <c r="A1322" s="143" t="n">
        <v>44786</v>
      </c>
      <c r="B1322" s="94" t="n">
        <v>2022</v>
      </c>
      <c r="C1322" s="94" t="inlineStr">
        <is>
          <t>2022-Q3</t>
        </is>
      </c>
      <c r="D1322" s="186" t="n">
        <v>24411.3798715226</v>
      </c>
      <c r="E1322" s="188" t="n">
        <v>466765701334.681</v>
      </c>
      <c r="F1322" s="188" t="n">
        <v>25195193357.1033</v>
      </c>
    </row>
    <row r="1323" ht="15" customHeight="1" s="95">
      <c r="A1323" s="143" t="n">
        <v>44787</v>
      </c>
      <c r="B1323" s="94" t="n">
        <v>2022</v>
      </c>
      <c r="C1323" s="94" t="inlineStr">
        <is>
          <t>2022-Q3</t>
        </is>
      </c>
      <c r="D1323" s="186" t="n">
        <v>24433.6537472437</v>
      </c>
      <c r="E1323" s="188" t="n">
        <v>467078368768.675</v>
      </c>
      <c r="F1323" s="188" t="n">
        <v>22240559959.5221</v>
      </c>
    </row>
    <row r="1324" ht="15" customHeight="1" s="95">
      <c r="A1324" s="143" t="n">
        <v>44788</v>
      </c>
      <c r="B1324" s="94" t="n">
        <v>2022</v>
      </c>
      <c r="C1324" s="94" t="inlineStr">
        <is>
          <t>2022-Q3</t>
        </is>
      </c>
      <c r="D1324" s="186" t="n">
        <v>24312.5414248916</v>
      </c>
      <c r="E1324" s="188" t="n">
        <v>464896345363.023</v>
      </c>
      <c r="F1324" s="188" t="n">
        <v>21287616855.7045</v>
      </c>
    </row>
    <row r="1325" ht="15" customHeight="1" s="95">
      <c r="A1325" s="143" t="n">
        <v>44789</v>
      </c>
      <c r="B1325" s="94" t="n">
        <v>2022</v>
      </c>
      <c r="C1325" s="94" t="inlineStr">
        <is>
          <t>2022-Q3</t>
        </is>
      </c>
      <c r="D1325" s="186" t="n">
        <v>24179.0146523092</v>
      </c>
      <c r="E1325" s="188" t="n">
        <v>462437221425.154</v>
      </c>
      <c r="F1325" s="188" t="n">
        <v>33404812507.8054</v>
      </c>
    </row>
    <row r="1326" ht="15" customHeight="1" s="95">
      <c r="A1326" s="143" t="n">
        <v>44790</v>
      </c>
      <c r="B1326" s="94" t="n">
        <v>2022</v>
      </c>
      <c r="C1326" s="94" t="inlineStr">
        <is>
          <t>2022-Q3</t>
        </is>
      </c>
      <c r="D1326" s="186" t="n">
        <v>23913.3337256285</v>
      </c>
      <c r="E1326" s="188" t="n">
        <v>456791042838.038</v>
      </c>
      <c r="F1326" s="188" t="n">
        <v>24971300201.3682</v>
      </c>
    </row>
    <row r="1327" ht="15" customHeight="1" s="95">
      <c r="A1327" s="143" t="n">
        <v>44791</v>
      </c>
      <c r="B1327" s="94" t="n">
        <v>2022</v>
      </c>
      <c r="C1327" s="94" t="inlineStr">
        <is>
          <t>2022-Q3</t>
        </is>
      </c>
      <c r="D1327" s="186" t="n">
        <v>23359.41883707</v>
      </c>
      <c r="E1327" s="188" t="n">
        <v>447015816173.343</v>
      </c>
      <c r="F1327" s="188" t="n">
        <v>29567403252.0012</v>
      </c>
    </row>
    <row r="1328" ht="15" customHeight="1" s="95">
      <c r="A1328" s="143" t="n">
        <v>44792</v>
      </c>
      <c r="B1328" s="94" t="n">
        <v>2022</v>
      </c>
      <c r="C1328" s="94" t="inlineStr">
        <is>
          <t>2022-Q3</t>
        </is>
      </c>
      <c r="D1328" s="186" t="n">
        <v>23248.3842281926</v>
      </c>
      <c r="E1328" s="188" t="n">
        <v>444845955425.387</v>
      </c>
      <c r="F1328" s="188" t="n">
        <v>20228208349.1566</v>
      </c>
    </row>
    <row r="1329" ht="15" customHeight="1" s="95">
      <c r="A1329" s="143" t="n">
        <v>44793</v>
      </c>
      <c r="B1329" s="94" t="n">
        <v>2022</v>
      </c>
      <c r="C1329" s="94" t="inlineStr">
        <is>
          <t>2022-Q3</t>
        </is>
      </c>
      <c r="D1329" s="186" t="n">
        <v>20945.8339660496</v>
      </c>
      <c r="E1329" s="188" t="n">
        <v>400810425580.648</v>
      </c>
      <c r="F1329" s="188" t="n">
        <v>35142410593.1222</v>
      </c>
    </row>
    <row r="1330" ht="15" customHeight="1" s="95">
      <c r="A1330" s="143" t="n">
        <v>44794</v>
      </c>
      <c r="B1330" s="94" t="n">
        <v>2022</v>
      </c>
      <c r="C1330" s="94" t="inlineStr">
        <is>
          <t>2022-Q3</t>
        </is>
      </c>
      <c r="D1330" s="186" t="n">
        <v>21175.2327329895</v>
      </c>
      <c r="E1330" s="188" t="n">
        <v>404924875533.892</v>
      </c>
      <c r="F1330" s="188" t="n">
        <v>23809679190.9222</v>
      </c>
    </row>
    <row r="1331" ht="15" customHeight="1" s="95">
      <c r="A1331" s="143" t="n">
        <v>44795</v>
      </c>
      <c r="B1331" s="94" t="n">
        <v>2022</v>
      </c>
      <c r="C1331" s="94" t="inlineStr">
        <is>
          <t>2022-Q3</t>
        </is>
      </c>
      <c r="D1331" s="186" t="n">
        <v>21615.761693417</v>
      </c>
      <c r="E1331" s="188" t="n">
        <v>413578924865.851</v>
      </c>
      <c r="F1331" s="188" t="n">
        <v>20476237108.3515</v>
      </c>
    </row>
    <row r="1332" ht="15" customHeight="1" s="95">
      <c r="A1332" s="143" t="n">
        <v>44796</v>
      </c>
      <c r="B1332" s="94" t="n">
        <v>2022</v>
      </c>
      <c r="C1332" s="94" t="inlineStr">
        <is>
          <t>2022-Q3</t>
        </is>
      </c>
      <c r="D1332" s="186" t="n">
        <v>21387.747114774</v>
      </c>
      <c r="E1332" s="188" t="n">
        <v>408409110509.796</v>
      </c>
      <c r="F1332" s="188" t="n">
        <v>28856912427.1757</v>
      </c>
    </row>
    <row r="1333" ht="15" customHeight="1" s="95">
      <c r="A1333" s="143" t="n">
        <v>44797</v>
      </c>
      <c r="B1333" s="94" t="n">
        <v>2022</v>
      </c>
      <c r="C1333" s="94" t="inlineStr">
        <is>
          <t>2022-Q3</t>
        </is>
      </c>
      <c r="D1333" s="186" t="n">
        <v>21562.4515399136</v>
      </c>
      <c r="E1333" s="188" t="n">
        <v>412338357271.396</v>
      </c>
      <c r="F1333" s="188" t="n">
        <v>29331102121.7933</v>
      </c>
    </row>
    <row r="1334" ht="15" customHeight="1" s="95">
      <c r="A1334" s="143" t="n">
        <v>44798</v>
      </c>
      <c r="B1334" s="94" t="n">
        <v>2022</v>
      </c>
      <c r="C1334" s="94" t="inlineStr">
        <is>
          <t>2022-Q3</t>
        </is>
      </c>
      <c r="D1334" s="186" t="n">
        <v>21395.4584697599</v>
      </c>
      <c r="E1334" s="188" t="n">
        <v>409503007623.017</v>
      </c>
      <c r="F1334" s="188" t="n">
        <v>26855905243.3612</v>
      </c>
    </row>
    <row r="1335" ht="15" customHeight="1" s="95">
      <c r="A1335" s="143" t="n">
        <v>44799</v>
      </c>
      <c r="B1335" s="94" t="n">
        <v>2022</v>
      </c>
      <c r="C1335" s="94" t="inlineStr">
        <is>
          <t>2022-Q3</t>
        </is>
      </c>
      <c r="D1335" s="186" t="n">
        <v>21618.0090191767</v>
      </c>
      <c r="E1335" s="188" t="n">
        <v>413843488595.518</v>
      </c>
      <c r="F1335" s="188" t="n">
        <v>26767966536.315</v>
      </c>
    </row>
    <row r="1336" ht="15" customHeight="1" s="95">
      <c r="A1336" s="143" t="n">
        <v>44800</v>
      </c>
      <c r="B1336" s="94" t="n">
        <v>2022</v>
      </c>
      <c r="C1336" s="94" t="inlineStr">
        <is>
          <t>2022-Q3</t>
        </is>
      </c>
      <c r="D1336" s="186" t="n">
        <v>20271.322951706</v>
      </c>
      <c r="E1336" s="188" t="n">
        <v>387215087166.784</v>
      </c>
      <c r="F1336" s="188" t="n">
        <v>34910727805.0411</v>
      </c>
    </row>
    <row r="1337" ht="15" customHeight="1" s="95">
      <c r="A1337" s="143" t="n">
        <v>44801</v>
      </c>
      <c r="B1337" s="94" t="n">
        <v>2022</v>
      </c>
      <c r="C1337" s="94" t="inlineStr">
        <is>
          <t>2022-Q3</t>
        </is>
      </c>
      <c r="D1337" s="186" t="n">
        <v>20069.9533315962</v>
      </c>
      <c r="E1337" s="188" t="n">
        <v>383790676113.792</v>
      </c>
      <c r="F1337" s="188" t="n">
        <v>24463219414.7435</v>
      </c>
    </row>
    <row r="1338" ht="15" customHeight="1" s="95">
      <c r="A1338" s="143" t="n">
        <v>44802</v>
      </c>
      <c r="B1338" s="94" t="n">
        <v>2022</v>
      </c>
      <c r="C1338" s="94" t="inlineStr">
        <is>
          <t>2022-Q3</t>
        </is>
      </c>
      <c r="D1338" s="186" t="n">
        <v>19659.2467061936</v>
      </c>
      <c r="E1338" s="188" t="n">
        <v>376180531070.623</v>
      </c>
      <c r="F1338" s="188" t="n">
        <v>19781826309.4512</v>
      </c>
    </row>
    <row r="1339" ht="15" customHeight="1" s="95">
      <c r="A1339" s="143" t="n">
        <v>44803</v>
      </c>
      <c r="B1339" s="94" t="n">
        <v>2022</v>
      </c>
      <c r="C1339" s="94" t="inlineStr">
        <is>
          <t>2022-Q3</t>
        </is>
      </c>
      <c r="D1339" s="186" t="n">
        <v>20308.8614478915</v>
      </c>
      <c r="E1339" s="188" t="n">
        <v>389119405471.233</v>
      </c>
      <c r="F1339" s="188" t="n">
        <v>28706315246.1401</v>
      </c>
    </row>
    <row r="1340" ht="15" customHeight="1" s="95">
      <c r="A1340" s="143" t="n">
        <v>44804</v>
      </c>
      <c r="B1340" s="94" t="n">
        <v>2022</v>
      </c>
      <c r="C1340" s="94" t="inlineStr">
        <is>
          <t>2022-Q3</t>
        </is>
      </c>
      <c r="D1340" s="186" t="n">
        <v>19805.350698858</v>
      </c>
      <c r="E1340" s="188" t="n">
        <v>379555151404.602</v>
      </c>
      <c r="F1340" s="188" t="n">
        <v>30308993725.4562</v>
      </c>
    </row>
    <row r="1341" ht="15" customHeight="1" s="95">
      <c r="A1341" s="143" t="n">
        <v>44805</v>
      </c>
      <c r="B1341" s="94" t="n">
        <v>2022</v>
      </c>
      <c r="C1341" s="94" t="inlineStr">
        <is>
          <t>2022-Q3</t>
        </is>
      </c>
      <c r="D1341" s="186" t="n">
        <v>20023.5544449125</v>
      </c>
      <c r="E1341" s="188" t="n">
        <v>383348414528.783</v>
      </c>
      <c r="F1341" s="188" t="n">
        <v>27825786159.8556</v>
      </c>
    </row>
    <row r="1342" ht="15" customHeight="1" s="95">
      <c r="A1342" s="143" t="n">
        <v>44806</v>
      </c>
      <c r="B1342" s="94" t="n">
        <v>2022</v>
      </c>
      <c r="C1342" s="94" t="inlineStr">
        <is>
          <t>2022-Q3</t>
        </is>
      </c>
      <c r="D1342" s="186" t="n">
        <v>20153.9759779825</v>
      </c>
      <c r="E1342" s="188" t="n">
        <v>385027707310.665</v>
      </c>
      <c r="F1342" s="188" t="n">
        <v>25616737335.8806</v>
      </c>
    </row>
    <row r="1343" ht="15" customHeight="1" s="95">
      <c r="A1343" s="143" t="n">
        <v>44807</v>
      </c>
      <c r="B1343" s="94" t="n">
        <v>2022</v>
      </c>
      <c r="C1343" s="94" t="inlineStr">
        <is>
          <t>2022-Q3</t>
        </is>
      </c>
      <c r="D1343" s="186" t="n">
        <v>19941.4513700472</v>
      </c>
      <c r="E1343" s="188" t="n">
        <v>381788074511.769</v>
      </c>
      <c r="F1343" s="188" t="n">
        <v>24078042298.3401</v>
      </c>
    </row>
    <row r="1344" ht="15" customHeight="1" s="95">
      <c r="A1344" s="143" t="n">
        <v>44808</v>
      </c>
      <c r="B1344" s="94" t="n">
        <v>2022</v>
      </c>
      <c r="C1344" s="94" t="inlineStr">
        <is>
          <t>2022-Q3</t>
        </is>
      </c>
      <c r="D1344" s="186" t="n">
        <v>19814.5642451146</v>
      </c>
      <c r="E1344" s="188" t="n">
        <v>379422449024.257</v>
      </c>
      <c r="F1344" s="188" t="n">
        <v>20048153187.3997</v>
      </c>
    </row>
    <row r="1345" ht="15" customHeight="1" s="95">
      <c r="A1345" s="143" t="n">
        <v>44809</v>
      </c>
      <c r="B1345" s="94" t="n">
        <v>2022</v>
      </c>
      <c r="C1345" s="94" t="inlineStr">
        <is>
          <t>2022-Q3</t>
        </is>
      </c>
      <c r="D1345" s="186" t="n">
        <v>19980.0132222423</v>
      </c>
      <c r="E1345" s="188" t="n">
        <v>382421043401.005</v>
      </c>
      <c r="F1345" s="188" t="n">
        <v>21537524477.369</v>
      </c>
    </row>
    <row r="1346" ht="15" customHeight="1" s="95">
      <c r="A1346" s="143" t="n">
        <v>44810</v>
      </c>
      <c r="B1346" s="94" t="n">
        <v>2022</v>
      </c>
      <c r="C1346" s="94" t="inlineStr">
        <is>
          <t>2022-Q3</t>
        </is>
      </c>
      <c r="D1346" s="186" t="n">
        <v>19785.7335018551</v>
      </c>
      <c r="E1346" s="188" t="n">
        <v>378685143698.176</v>
      </c>
      <c r="F1346" s="188" t="n">
        <v>23522961655.0004</v>
      </c>
    </row>
    <row r="1347" ht="15" customHeight="1" s="95">
      <c r="A1347" s="143" t="n">
        <v>44811</v>
      </c>
      <c r="B1347" s="94" t="n">
        <v>2022</v>
      </c>
      <c r="C1347" s="94" t="inlineStr">
        <is>
          <t>2022-Q3</t>
        </is>
      </c>
      <c r="D1347" s="186" t="n">
        <v>18859.5000876803</v>
      </c>
      <c r="E1347" s="188" t="n">
        <v>361210437263.863</v>
      </c>
      <c r="F1347" s="188" t="n">
        <v>39940310406.4759</v>
      </c>
    </row>
    <row r="1348" ht="15" customHeight="1" s="95">
      <c r="A1348" s="143" t="n">
        <v>44812</v>
      </c>
      <c r="B1348" s="94" t="n">
        <v>2022</v>
      </c>
      <c r="C1348" s="94" t="inlineStr">
        <is>
          <t>2022-Q3</t>
        </is>
      </c>
      <c r="D1348" s="186" t="n">
        <v>19280.6254764568</v>
      </c>
      <c r="E1348" s="188" t="n">
        <v>369340091982.871</v>
      </c>
      <c r="F1348" s="188" t="n">
        <v>30517907004.0825</v>
      </c>
    </row>
    <row r="1349" ht="15" customHeight="1" s="95">
      <c r="A1349" s="143" t="n">
        <v>44813</v>
      </c>
      <c r="B1349" s="94" t="n">
        <v>2022</v>
      </c>
      <c r="C1349" s="94" t="inlineStr">
        <is>
          <t>2022-Q3</t>
        </is>
      </c>
      <c r="D1349" s="186" t="n">
        <v>19322.7777493716</v>
      </c>
      <c r="E1349" s="188" t="n">
        <v>369723445425.449</v>
      </c>
      <c r="F1349" s="188" t="n">
        <v>28936941008.3589</v>
      </c>
    </row>
    <row r="1350" ht="15" customHeight="1" s="95">
      <c r="A1350" s="143" t="n">
        <v>44814</v>
      </c>
      <c r="B1350" s="94" t="n">
        <v>2022</v>
      </c>
      <c r="C1350" s="94" t="inlineStr">
        <is>
          <t>2022-Q3</t>
        </is>
      </c>
      <c r="D1350" s="186" t="n">
        <v>21359.5825255791</v>
      </c>
      <c r="E1350" s="188" t="n">
        <v>408976281844.765</v>
      </c>
      <c r="F1350" s="188" t="n">
        <v>42487059054.9759</v>
      </c>
    </row>
    <row r="1351" ht="15" customHeight="1" s="95">
      <c r="A1351" s="143" t="n">
        <v>44815</v>
      </c>
      <c r="B1351" s="94" t="n">
        <v>2022</v>
      </c>
      <c r="C1351" s="94" t="inlineStr">
        <is>
          <t>2022-Q3</t>
        </is>
      </c>
      <c r="D1351" s="186" t="n">
        <v>21707.3873193181</v>
      </c>
      <c r="E1351" s="188" t="n">
        <v>415974687298.095</v>
      </c>
      <c r="F1351" s="188" t="n">
        <v>35941349745.2444</v>
      </c>
    </row>
    <row r="1352" ht="15" customHeight="1" s="95">
      <c r="A1352" s="143" t="n">
        <v>44816</v>
      </c>
      <c r="B1352" s="94" t="n">
        <v>2022</v>
      </c>
      <c r="C1352" s="94" t="inlineStr">
        <is>
          <t>2022-Q3</t>
        </is>
      </c>
      <c r="D1352" s="186" t="n">
        <v>21739.8043797955</v>
      </c>
      <c r="E1352" s="188" t="n">
        <v>416073628622.095</v>
      </c>
      <c r="F1352" s="188" t="n">
        <v>31266252145.3562</v>
      </c>
    </row>
    <row r="1353" ht="15" customHeight="1" s="95">
      <c r="A1353" s="143" t="n">
        <v>44817</v>
      </c>
      <c r="B1353" s="94" t="n">
        <v>2022</v>
      </c>
      <c r="C1353" s="94" t="inlineStr">
        <is>
          <t>2022-Q3</t>
        </is>
      </c>
      <c r="D1353" s="186" t="n">
        <v>22339.6705026234</v>
      </c>
      <c r="E1353" s="188" t="n">
        <v>427473787888.376</v>
      </c>
      <c r="F1353" s="188" t="n">
        <v>44006486689.4451</v>
      </c>
    </row>
    <row r="1354" ht="15" customHeight="1" s="95">
      <c r="A1354" s="143" t="n">
        <v>44818</v>
      </c>
      <c r="B1354" s="94" t="n">
        <v>2022</v>
      </c>
      <c r="C1354" s="94" t="inlineStr">
        <is>
          <t>2022-Q3</t>
        </is>
      </c>
      <c r="D1354" s="186" t="n">
        <v>20184.9674918966</v>
      </c>
      <c r="E1354" s="188" t="n">
        <v>386529657258.857</v>
      </c>
      <c r="F1354" s="188" t="n">
        <v>46489890914.8247</v>
      </c>
    </row>
    <row r="1355" ht="15" customHeight="1" s="95">
      <c r="A1355" s="143" t="n">
        <v>44819</v>
      </c>
      <c r="B1355" s="94" t="n">
        <v>2022</v>
      </c>
      <c r="C1355" s="94" t="inlineStr">
        <is>
          <t>2022-Q3</t>
        </is>
      </c>
      <c r="D1355" s="186" t="n">
        <v>20255.9229783271</v>
      </c>
      <c r="E1355" s="188" t="n">
        <v>387486232249.8</v>
      </c>
      <c r="F1355" s="188" t="n">
        <v>35789015870.3922</v>
      </c>
    </row>
    <row r="1356" ht="15" customHeight="1" s="95">
      <c r="A1356" s="143" t="n">
        <v>44820</v>
      </c>
      <c r="B1356" s="94" t="n">
        <v>2022</v>
      </c>
      <c r="C1356" s="94" t="inlineStr">
        <is>
          <t>2022-Q3</t>
        </is>
      </c>
      <c r="D1356" s="186" t="n">
        <v>19702.1698898117</v>
      </c>
      <c r="E1356" s="188" t="n">
        <v>377719382182.447</v>
      </c>
      <c r="F1356" s="188" t="n">
        <v>33715957206.6833</v>
      </c>
    </row>
    <row r="1357" ht="15" customHeight="1" s="95">
      <c r="A1357" s="143" t="n">
        <v>44821</v>
      </c>
      <c r="B1357" s="94" t="n">
        <v>2022</v>
      </c>
      <c r="C1357" s="94" t="inlineStr">
        <is>
          <t>2022-Q3</t>
        </is>
      </c>
      <c r="D1357" s="186" t="n">
        <v>19764.4117120438</v>
      </c>
      <c r="E1357" s="188" t="n">
        <v>377988702161.682</v>
      </c>
      <c r="F1357" s="188" t="n">
        <v>30187737709.5801</v>
      </c>
    </row>
    <row r="1358" ht="15" customHeight="1" s="95">
      <c r="A1358" s="143" t="n">
        <v>44822</v>
      </c>
      <c r="B1358" s="94" t="n">
        <v>2022</v>
      </c>
      <c r="C1358" s="94" t="inlineStr">
        <is>
          <t>2022-Q3</t>
        </is>
      </c>
      <c r="D1358" s="186" t="n">
        <v>20131.675305714</v>
      </c>
      <c r="E1358" s="188" t="n">
        <v>385486747327.049</v>
      </c>
      <c r="F1358" s="188" t="n">
        <v>23394494073.7848</v>
      </c>
    </row>
    <row r="1359" ht="15" customHeight="1" s="95">
      <c r="A1359" s="143" t="n">
        <v>44823</v>
      </c>
      <c r="B1359" s="94" t="n">
        <v>2022</v>
      </c>
      <c r="C1359" s="94" t="inlineStr">
        <is>
          <t>2022-Q3</t>
        </is>
      </c>
      <c r="D1359" s="186" t="n">
        <v>19437.1578679826</v>
      </c>
      <c r="E1359" s="188" t="n">
        <v>372598380208.271</v>
      </c>
      <c r="F1359" s="188" t="n">
        <v>28689764413.6991</v>
      </c>
    </row>
    <row r="1360" ht="15" customHeight="1" s="95">
      <c r="A1360" s="143" t="n">
        <v>44824</v>
      </c>
      <c r="B1360" s="94" t="n">
        <v>2022</v>
      </c>
      <c r="C1360" s="94" t="inlineStr">
        <is>
          <t>2022-Q3</t>
        </is>
      </c>
      <c r="D1360" s="186" t="n">
        <v>19570.3867095235</v>
      </c>
      <c r="E1360" s="188" t="n">
        <v>374524246937.429</v>
      </c>
      <c r="F1360" s="188" t="n">
        <v>39507938864.8785</v>
      </c>
    </row>
    <row r="1361" ht="15" customHeight="1" s="95">
      <c r="A1361" s="143" t="n">
        <v>44825</v>
      </c>
      <c r="B1361" s="94" t="n">
        <v>2022</v>
      </c>
      <c r="C1361" s="94" t="inlineStr">
        <is>
          <t>2022-Q3</t>
        </is>
      </c>
      <c r="D1361" s="186" t="n">
        <v>18869.9288093905</v>
      </c>
      <c r="E1361" s="188" t="n">
        <v>361980678159.134</v>
      </c>
      <c r="F1361" s="188" t="n">
        <v>33890591849.6765</v>
      </c>
    </row>
    <row r="1362" ht="15" customHeight="1" s="95">
      <c r="A1362" s="143" t="n">
        <v>44826</v>
      </c>
      <c r="B1362" s="94" t="n">
        <v>2022</v>
      </c>
      <c r="C1362" s="94" t="inlineStr">
        <is>
          <t>2022-Q3</t>
        </is>
      </c>
      <c r="D1362" s="186" t="n">
        <v>18539.6352383126</v>
      </c>
      <c r="E1362" s="188" t="n">
        <v>355194467885.951</v>
      </c>
      <c r="F1362" s="188" t="n">
        <v>41059997264.9685</v>
      </c>
    </row>
    <row r="1363" ht="15" customHeight="1" s="95">
      <c r="A1363" s="143" t="n">
        <v>44827</v>
      </c>
      <c r="B1363" s="94" t="n">
        <v>2022</v>
      </c>
      <c r="C1363" s="94" t="inlineStr">
        <is>
          <t>2022-Q3</t>
        </is>
      </c>
      <c r="D1363" s="186" t="n">
        <v>19464.3226633485</v>
      </c>
      <c r="E1363" s="188" t="n">
        <v>372075639498.17</v>
      </c>
      <c r="F1363" s="188" t="n">
        <v>37660914389.8923</v>
      </c>
    </row>
    <row r="1364" ht="15" customHeight="1" s="95">
      <c r="A1364" s="143" t="n">
        <v>44828</v>
      </c>
      <c r="B1364" s="94" t="n">
        <v>2022</v>
      </c>
      <c r="C1364" s="94" t="inlineStr">
        <is>
          <t>2022-Q3</t>
        </is>
      </c>
      <c r="D1364" s="186" t="n">
        <v>19291.9048024521</v>
      </c>
      <c r="E1364" s="188" t="n">
        <v>370913140447.516</v>
      </c>
      <c r="F1364" s="188" t="n">
        <v>35506139423.9013</v>
      </c>
    </row>
    <row r="1365" ht="15" customHeight="1" s="95">
      <c r="A1365" s="143" t="n">
        <v>44829</v>
      </c>
      <c r="B1365" s="94" t="n">
        <v>2022</v>
      </c>
      <c r="C1365" s="94" t="inlineStr">
        <is>
          <t>2022-Q3</t>
        </is>
      </c>
      <c r="D1365" s="186" t="n">
        <v>18939.9705804994</v>
      </c>
      <c r="E1365" s="188" t="n">
        <v>363168779956.334</v>
      </c>
      <c r="F1365" s="188" t="n">
        <v>24644354421.6179</v>
      </c>
    </row>
    <row r="1366" ht="15" customHeight="1" s="95">
      <c r="A1366" s="143" t="n">
        <v>44830</v>
      </c>
      <c r="B1366" s="94" t="n">
        <v>2022</v>
      </c>
      <c r="C1366" s="94" t="inlineStr">
        <is>
          <t>2022-Q3</t>
        </is>
      </c>
      <c r="D1366" s="186" t="n">
        <v>18809.4114393324</v>
      </c>
      <c r="E1366" s="188" t="n">
        <v>360256894978.409</v>
      </c>
      <c r="F1366" s="188" t="n">
        <v>21516374222.6753</v>
      </c>
    </row>
    <row r="1367" ht="15" customHeight="1" s="95">
      <c r="A1367" s="143" t="n">
        <v>44831</v>
      </c>
      <c r="B1367" s="94" t="n">
        <v>2022</v>
      </c>
      <c r="C1367" s="94" t="inlineStr">
        <is>
          <t>2022-Q3</t>
        </is>
      </c>
      <c r="D1367" s="186" t="n">
        <v>19219.7277806565</v>
      </c>
      <c r="E1367" s="188" t="n">
        <v>367613056759.222</v>
      </c>
      <c r="F1367" s="188" t="n">
        <v>42560193944.4184</v>
      </c>
    </row>
    <row r="1368" ht="15" customHeight="1" s="95">
      <c r="A1368" s="143" t="n">
        <v>44832</v>
      </c>
      <c r="B1368" s="94" t="n">
        <v>2022</v>
      </c>
      <c r="C1368" s="94" t="inlineStr">
        <is>
          <t>2022-Q3</t>
        </is>
      </c>
      <c r="D1368" s="186" t="n">
        <v>19116.3311607104</v>
      </c>
      <c r="E1368" s="188" t="n">
        <v>366383164263.716</v>
      </c>
      <c r="F1368" s="188" t="n">
        <v>52482615483.8621</v>
      </c>
    </row>
    <row r="1369" ht="15" customHeight="1" s="95">
      <c r="A1369" s="143" t="n">
        <v>44833</v>
      </c>
      <c r="B1369" s="94" t="n">
        <v>2022</v>
      </c>
      <c r="C1369" s="94" t="inlineStr">
        <is>
          <t>2022-Q3</t>
        </is>
      </c>
      <c r="D1369" s="186" t="n">
        <v>19444.787771363</v>
      </c>
      <c r="E1369" s="188" t="n">
        <v>372892084645.008</v>
      </c>
      <c r="F1369" s="188" t="n">
        <v>47494258189.7042</v>
      </c>
    </row>
    <row r="1370" ht="15" customHeight="1" s="95">
      <c r="A1370" s="143" t="n">
        <v>44834</v>
      </c>
      <c r="B1370" s="94" t="n">
        <v>2022</v>
      </c>
      <c r="C1370" s="94" t="inlineStr">
        <is>
          <t>2022-Q3</t>
        </is>
      </c>
      <c r="D1370" s="186" t="n">
        <v>19563.7651617769</v>
      </c>
      <c r="E1370" s="188" t="n">
        <v>374830625219.6</v>
      </c>
      <c r="F1370" s="188" t="n">
        <v>37537716230.4836</v>
      </c>
    </row>
    <row r="1371" ht="15" customHeight="1" s="95">
      <c r="A1371" s="143" t="n">
        <v>44835</v>
      </c>
      <c r="B1371" s="94" t="n">
        <v>2022</v>
      </c>
      <c r="C1371" s="94" t="inlineStr">
        <is>
          <t>2022-Q4</t>
        </is>
      </c>
      <c r="D1371" s="186" t="n">
        <v>19476.9265960041</v>
      </c>
      <c r="E1371" s="188" t="n">
        <v>373222100680.748</v>
      </c>
      <c r="F1371" s="188" t="n">
        <v>37848666330.6722</v>
      </c>
    </row>
    <row r="1372" ht="15" customHeight="1" s="95">
      <c r="A1372" s="143" t="n">
        <v>44836</v>
      </c>
      <c r="B1372" s="94" t="n">
        <v>2022</v>
      </c>
      <c r="C1372" s="94" t="inlineStr">
        <is>
          <t>2022-Q4</t>
        </is>
      </c>
      <c r="D1372" s="186" t="n">
        <v>19314.4638352175</v>
      </c>
      <c r="E1372" s="188" t="n">
        <v>370204708063.338</v>
      </c>
      <c r="F1372" s="188" t="n">
        <v>15943514602.7222</v>
      </c>
    </row>
    <row r="1373" ht="15" customHeight="1" s="95">
      <c r="A1373" s="143" t="n">
        <v>44837</v>
      </c>
      <c r="B1373" s="94" t="n">
        <v>2022</v>
      </c>
      <c r="C1373" s="94" t="inlineStr">
        <is>
          <t>2022-Q4</t>
        </is>
      </c>
      <c r="D1373" s="186" t="n">
        <v>19065.153837149</v>
      </c>
      <c r="E1373" s="188" t="n">
        <v>366195863790.676</v>
      </c>
      <c r="F1373" s="188" t="n">
        <v>17859684587.6464</v>
      </c>
    </row>
    <row r="1374" ht="15" customHeight="1" s="95">
      <c r="A1374" s="143" t="n">
        <v>44838</v>
      </c>
      <c r="B1374" s="94" t="n">
        <v>2022</v>
      </c>
      <c r="C1374" s="94" t="inlineStr">
        <is>
          <t>2022-Q4</t>
        </is>
      </c>
      <c r="D1374" s="186" t="n">
        <v>19620.5675435914</v>
      </c>
      <c r="E1374" s="188" t="n">
        <v>375767908259.083</v>
      </c>
      <c r="F1374" s="188" t="n">
        <v>26634227151.9253</v>
      </c>
    </row>
    <row r="1375" ht="15" customHeight="1" s="95">
      <c r="A1375" s="143" t="n">
        <v>44839</v>
      </c>
      <c r="B1375" s="94" t="n">
        <v>2022</v>
      </c>
      <c r="C1375" s="94" t="inlineStr">
        <is>
          <t>2022-Q4</t>
        </is>
      </c>
      <c r="D1375" s="186" t="n">
        <v>20345.3985201066</v>
      </c>
      <c r="E1375" s="188" t="n">
        <v>390177741507.477</v>
      </c>
      <c r="F1375" s="188" t="n">
        <v>30974520027.9443</v>
      </c>
    </row>
    <row r="1376" ht="15" customHeight="1" s="95">
      <c r="A1376" s="143" t="n">
        <v>44840</v>
      </c>
      <c r="B1376" s="94" t="n">
        <v>2022</v>
      </c>
      <c r="C1376" s="94" t="inlineStr">
        <is>
          <t>2022-Q4</t>
        </is>
      </c>
      <c r="D1376" s="186" t="n">
        <v>20161.8306149851</v>
      </c>
      <c r="E1376" s="188" t="n">
        <v>386368899196.382</v>
      </c>
      <c r="F1376" s="188" t="n">
        <v>29366342083.1018</v>
      </c>
    </row>
    <row r="1377" ht="15" customHeight="1" s="95">
      <c r="A1377" s="143" t="n">
        <v>44841</v>
      </c>
      <c r="B1377" s="94" t="n">
        <v>2022</v>
      </c>
      <c r="C1377" s="94" t="inlineStr">
        <is>
          <t>2022-Q4</t>
        </is>
      </c>
      <c r="D1377" s="186" t="n">
        <v>19949.0510414185</v>
      </c>
      <c r="E1377" s="188" t="n">
        <v>382505641462.156</v>
      </c>
      <c r="F1377" s="188" t="n">
        <v>31354758329.1423</v>
      </c>
    </row>
    <row r="1378" ht="15" customHeight="1" s="95">
      <c r="A1378" s="143" t="n">
        <v>44842</v>
      </c>
      <c r="B1378" s="94" t="n">
        <v>2022</v>
      </c>
      <c r="C1378" s="94" t="inlineStr">
        <is>
          <t>2022-Q4</t>
        </is>
      </c>
      <c r="D1378" s="186" t="n">
        <v>19457.3089512512</v>
      </c>
      <c r="E1378" s="188" t="n">
        <v>373170861484.14</v>
      </c>
      <c r="F1378" s="188" t="n">
        <v>25445042398.338</v>
      </c>
    </row>
    <row r="1379" ht="15" customHeight="1" s="95">
      <c r="A1379" s="143" t="n">
        <v>44843</v>
      </c>
      <c r="B1379" s="94" t="n">
        <v>2022</v>
      </c>
      <c r="C1379" s="94" t="inlineStr">
        <is>
          <t>2022-Q4</t>
        </is>
      </c>
      <c r="D1379" s="186" t="n">
        <v>19418.037989244</v>
      </c>
      <c r="E1379" s="188" t="n">
        <v>372391945609.075</v>
      </c>
      <c r="F1379" s="188" t="n">
        <v>12996183216.3048</v>
      </c>
    </row>
    <row r="1380" ht="15" customHeight="1" s="95">
      <c r="A1380" s="143" t="n">
        <v>44844</v>
      </c>
      <c r="B1380" s="94" t="n">
        <v>2022</v>
      </c>
      <c r="C1380" s="94" t="inlineStr">
        <is>
          <t>2022-Q4</t>
        </is>
      </c>
      <c r="D1380" s="186" t="n">
        <v>19448.1490017576</v>
      </c>
      <c r="E1380" s="188" t="n">
        <v>372264710552.335</v>
      </c>
      <c r="F1380" s="188" t="n">
        <v>14404623229.0469</v>
      </c>
    </row>
    <row r="1381" ht="15" customHeight="1" s="95">
      <c r="A1381" s="143" t="n">
        <v>44845</v>
      </c>
      <c r="B1381" s="94" t="n">
        <v>2022</v>
      </c>
      <c r="C1381" s="94" t="inlineStr">
        <is>
          <t>2022-Q4</t>
        </is>
      </c>
      <c r="D1381" s="186" t="n">
        <v>19142.6947673929</v>
      </c>
      <c r="E1381" s="188" t="n">
        <v>367207056773.226</v>
      </c>
      <c r="F1381" s="188" t="n">
        <v>23743487600.5375</v>
      </c>
    </row>
    <row r="1382" ht="15" customHeight="1" s="95">
      <c r="A1382" s="143" t="n">
        <v>44846</v>
      </c>
      <c r="B1382" s="94" t="n">
        <v>2022</v>
      </c>
      <c r="C1382" s="94" t="inlineStr">
        <is>
          <t>2022-Q4</t>
        </is>
      </c>
      <c r="D1382" s="186" t="n">
        <v>19058.6280397383</v>
      </c>
      <c r="E1382" s="188" t="n">
        <v>365118514776.268</v>
      </c>
      <c r="F1382" s="188" t="n">
        <v>25102717820.9909</v>
      </c>
    </row>
    <row r="1383" ht="15" customHeight="1" s="95">
      <c r="A1383" s="143" t="n">
        <v>44847</v>
      </c>
      <c r="B1383" s="94" t="n">
        <v>2022</v>
      </c>
      <c r="C1383" s="94" t="inlineStr">
        <is>
          <t>2022-Q4</t>
        </is>
      </c>
      <c r="D1383" s="186" t="n">
        <v>19153.039779987</v>
      </c>
      <c r="E1383" s="188" t="n">
        <v>367301644901.367</v>
      </c>
      <c r="F1383" s="188" t="n">
        <v>22339104401.3842</v>
      </c>
    </row>
    <row r="1384" ht="15" customHeight="1" s="95">
      <c r="A1384" s="143" t="n">
        <v>44848</v>
      </c>
      <c r="B1384" s="94" t="n">
        <v>2022</v>
      </c>
      <c r="C1384" s="94" t="inlineStr">
        <is>
          <t>2022-Q4</t>
        </is>
      </c>
      <c r="D1384" s="186" t="n">
        <v>19383.9432200889</v>
      </c>
      <c r="E1384" s="188" t="n">
        <v>371647189087.476</v>
      </c>
      <c r="F1384" s="188" t="n">
        <v>37194496437.924</v>
      </c>
    </row>
    <row r="1385" ht="15" customHeight="1" s="95">
      <c r="A1385" s="143" t="n">
        <v>44849</v>
      </c>
      <c r="B1385" s="94" t="n">
        <v>2022</v>
      </c>
      <c r="C1385" s="94" t="inlineStr">
        <is>
          <t>2022-Q4</t>
        </is>
      </c>
      <c r="D1385" s="186" t="n">
        <v>19198.1071449518</v>
      </c>
      <c r="E1385" s="188" t="n">
        <v>367584653730.755</v>
      </c>
      <c r="F1385" s="188" t="n">
        <v>34806651159.1355</v>
      </c>
    </row>
    <row r="1386" ht="15" customHeight="1" s="95">
      <c r="A1386" s="143" t="n">
        <v>44850</v>
      </c>
      <c r="B1386" s="94" t="n">
        <v>2022</v>
      </c>
      <c r="C1386" s="94" t="inlineStr">
        <is>
          <t>2022-Q4</t>
        </is>
      </c>
      <c r="D1386" s="186" t="n">
        <v>19072.7805133589</v>
      </c>
      <c r="E1386" s="188" t="n">
        <v>365870425566.53</v>
      </c>
      <c r="F1386" s="188" t="n">
        <v>13103099352.4055</v>
      </c>
    </row>
    <row r="1387" ht="15" customHeight="1" s="95">
      <c r="A1387" s="143" t="n">
        <v>44851</v>
      </c>
      <c r="B1387" s="94" t="n">
        <v>2022</v>
      </c>
      <c r="C1387" s="94" t="inlineStr">
        <is>
          <t>2022-Q4</t>
        </is>
      </c>
      <c r="D1387" s="186" t="n">
        <v>19272.921847772</v>
      </c>
      <c r="E1387" s="188" t="n">
        <v>369552982160.538</v>
      </c>
      <c r="F1387" s="188" t="n">
        <v>15683330320.1596</v>
      </c>
    </row>
    <row r="1388" ht="15" customHeight="1" s="95">
      <c r="A1388" s="143" t="n">
        <v>44852</v>
      </c>
      <c r="B1388" s="94" t="n">
        <v>2022</v>
      </c>
      <c r="C1388" s="94" t="inlineStr">
        <is>
          <t>2022-Q4</t>
        </is>
      </c>
      <c r="D1388" s="186" t="n">
        <v>19557.8955488684</v>
      </c>
      <c r="E1388" s="188" t="n">
        <v>375052275829.796</v>
      </c>
      <c r="F1388" s="188" t="n">
        <v>23713928577.5198</v>
      </c>
    </row>
    <row r="1389" ht="15" customHeight="1" s="95">
      <c r="A1389" s="143" t="n">
        <v>44853</v>
      </c>
      <c r="B1389" s="94" t="n">
        <v>2022</v>
      </c>
      <c r="C1389" s="94" t="inlineStr">
        <is>
          <t>2022-Q4</t>
        </is>
      </c>
      <c r="D1389" s="186" t="n">
        <v>19348.0293688104</v>
      </c>
      <c r="E1389" s="188" t="n">
        <v>371196833238.993</v>
      </c>
      <c r="F1389" s="188" t="n">
        <v>25848175158.6872</v>
      </c>
    </row>
    <row r="1390" ht="15" customHeight="1" s="95">
      <c r="A1390" s="143" t="n">
        <v>44854</v>
      </c>
      <c r="B1390" s="94" t="n">
        <v>2022</v>
      </c>
      <c r="C1390" s="94" t="inlineStr">
        <is>
          <t>2022-Q4</t>
        </is>
      </c>
      <c r="D1390" s="186" t="n">
        <v>19134.2426644652</v>
      </c>
      <c r="E1390" s="188" t="n">
        <v>367085331987.692</v>
      </c>
      <c r="F1390" s="188" t="n">
        <v>23047051893.2948</v>
      </c>
    </row>
    <row r="1391" ht="15" customHeight="1" s="95">
      <c r="A1391" s="143" t="n">
        <v>44855</v>
      </c>
      <c r="B1391" s="94" t="n">
        <v>2022</v>
      </c>
      <c r="C1391" s="94" t="inlineStr">
        <is>
          <t>2022-Q4</t>
        </is>
      </c>
      <c r="D1391" s="186" t="n">
        <v>19031.1598719595</v>
      </c>
      <c r="E1391" s="188" t="n">
        <v>365098952754.639</v>
      </c>
      <c r="F1391" s="188" t="n">
        <v>25712511231.9357</v>
      </c>
    </row>
    <row r="1392" ht="15" customHeight="1" s="95">
      <c r="A1392" s="143" t="n">
        <v>44856</v>
      </c>
      <c r="B1392" s="94" t="n">
        <v>2022</v>
      </c>
      <c r="C1392" s="94" t="inlineStr">
        <is>
          <t>2022-Q4</t>
        </is>
      </c>
      <c r="D1392" s="186" t="n">
        <v>19173.2804688586</v>
      </c>
      <c r="E1392" s="188" t="n">
        <v>367999082249.153</v>
      </c>
      <c r="F1392" s="188" t="n">
        <v>30297335038.197</v>
      </c>
    </row>
    <row r="1393" ht="15" customHeight="1" s="95">
      <c r="A1393" s="143" t="n">
        <v>44857</v>
      </c>
      <c r="B1393" s="94" t="n">
        <v>2022</v>
      </c>
      <c r="C1393" s="94" t="inlineStr">
        <is>
          <t>2022-Q4</t>
        </is>
      </c>
      <c r="D1393" s="186" t="n">
        <v>19203.8654711771</v>
      </c>
      <c r="E1393" s="188" t="n">
        <v>368484939423.555</v>
      </c>
      <c r="F1393" s="188" t="n">
        <v>13362526957.6578</v>
      </c>
    </row>
    <row r="1394" ht="15" customHeight="1" s="95">
      <c r="A1394" s="143" t="n">
        <v>44858</v>
      </c>
      <c r="B1394" s="94" t="n">
        <v>2022</v>
      </c>
      <c r="C1394" s="94" t="inlineStr">
        <is>
          <t>2022-Q4</t>
        </is>
      </c>
      <c r="D1394" s="186" t="n">
        <v>19574.8242318408</v>
      </c>
      <c r="E1394" s="188" t="n">
        <v>375197423662.394</v>
      </c>
      <c r="F1394" s="188" t="n">
        <v>19928822961.4162</v>
      </c>
    </row>
    <row r="1395" ht="15" customHeight="1" s="95">
      <c r="A1395" s="143" t="n">
        <v>44859</v>
      </c>
      <c r="B1395" s="94" t="n">
        <v>2022</v>
      </c>
      <c r="C1395" s="94" t="inlineStr">
        <is>
          <t>2022-Q4</t>
        </is>
      </c>
      <c r="D1395" s="186" t="n">
        <v>19316.9406229421</v>
      </c>
      <c r="E1395" s="188" t="n">
        <v>370622833880.763</v>
      </c>
      <c r="F1395" s="188" t="n">
        <v>28657172008.9177</v>
      </c>
    </row>
    <row r="1396" ht="15" customHeight="1" s="95">
      <c r="A1396" s="143" t="n">
        <v>44860</v>
      </c>
      <c r="B1396" s="94" t="n">
        <v>2022</v>
      </c>
      <c r="C1396" s="94" t="inlineStr">
        <is>
          <t>2022-Q4</t>
        </is>
      </c>
      <c r="D1396" s="186" t="n">
        <v>20095.1522306749</v>
      </c>
      <c r="E1396" s="188" t="n">
        <v>385476931983.846</v>
      </c>
      <c r="F1396" s="188" t="n">
        <v>39846253138.5969</v>
      </c>
    </row>
    <row r="1397" ht="15" customHeight="1" s="95">
      <c r="A1397" s="143" t="n">
        <v>44861</v>
      </c>
      <c r="B1397" s="94" t="n">
        <v>2022</v>
      </c>
      <c r="C1397" s="94" t="inlineStr">
        <is>
          <t>2022-Q4</t>
        </is>
      </c>
      <c r="D1397" s="186" t="n">
        <v>20774.247496426</v>
      </c>
      <c r="E1397" s="188" t="n">
        <v>398674628646.931</v>
      </c>
      <c r="F1397" s="188" t="n">
        <v>50667020407.5142</v>
      </c>
    </row>
    <row r="1398" ht="15" customHeight="1" s="95">
      <c r="A1398" s="143" t="n">
        <v>44862</v>
      </c>
      <c r="B1398" s="94" t="n">
        <v>2022</v>
      </c>
      <c r="C1398" s="94" t="inlineStr">
        <is>
          <t>2022-Q4</t>
        </is>
      </c>
      <c r="D1398" s="186" t="n">
        <v>20278.3662320522</v>
      </c>
      <c r="E1398" s="188" t="n">
        <v>389238872375.623</v>
      </c>
      <c r="F1398" s="188" t="n">
        <v>41829789298.1794</v>
      </c>
    </row>
    <row r="1399" ht="15" customHeight="1" s="95">
      <c r="A1399" s="143" t="n">
        <v>44863</v>
      </c>
      <c r="B1399" s="94" t="n">
        <v>2022</v>
      </c>
      <c r="C1399" s="94" t="inlineStr">
        <is>
          <t>2022-Q4</t>
        </is>
      </c>
      <c r="D1399" s="186" t="n">
        <v>20591.2412080986</v>
      </c>
      <c r="E1399" s="188" t="n">
        <v>395201306734.583</v>
      </c>
      <c r="F1399" s="188" t="n">
        <v>36165609164.5681</v>
      </c>
    </row>
    <row r="1400" ht="15" customHeight="1" s="95">
      <c r="A1400" s="143" t="n">
        <v>44864</v>
      </c>
      <c r="B1400" s="94" t="n">
        <v>2022</v>
      </c>
      <c r="C1400" s="94" t="inlineStr">
        <is>
          <t>2022-Q4</t>
        </is>
      </c>
      <c r="D1400" s="186" t="n">
        <v>20800.7070877247</v>
      </c>
      <c r="E1400" s="188" t="n">
        <v>399135164712.396</v>
      </c>
      <c r="F1400" s="188" t="n">
        <v>32806216910.5705</v>
      </c>
    </row>
    <row r="1401" ht="15" customHeight="1" s="95">
      <c r="A1401" s="143" t="n">
        <v>44865</v>
      </c>
      <c r="B1401" s="94" t="n">
        <v>2022</v>
      </c>
      <c r="C1401" s="94" t="inlineStr">
        <is>
          <t>2022-Q4</t>
        </is>
      </c>
      <c r="D1401" s="186" t="n">
        <v>20623.871497041</v>
      </c>
      <c r="E1401" s="188" t="n">
        <v>395548335410.141</v>
      </c>
      <c r="F1401" s="188" t="n">
        <v>24707906148.7493</v>
      </c>
    </row>
    <row r="1402" ht="15" customHeight="1" s="95">
      <c r="A1402" s="143" t="n">
        <v>44866</v>
      </c>
      <c r="B1402" s="94" t="n">
        <v>2022</v>
      </c>
      <c r="C1402" s="94" t="inlineStr">
        <is>
          <t>2022-Q4</t>
        </is>
      </c>
      <c r="D1402" s="186" t="n">
        <v>20494.6012098371</v>
      </c>
      <c r="E1402" s="188" t="n">
        <v>393311097043.573</v>
      </c>
      <c r="F1402" s="188" t="n">
        <v>37290619694.7238</v>
      </c>
    </row>
    <row r="1403" ht="15" customHeight="1" s="95">
      <c r="A1403" s="143" t="n">
        <v>44867</v>
      </c>
      <c r="B1403" s="94" t="n">
        <v>2022</v>
      </c>
      <c r="C1403" s="94" t="inlineStr">
        <is>
          <t>2022-Q4</t>
        </is>
      </c>
      <c r="D1403" s="186" t="n">
        <v>20489.6462031608</v>
      </c>
      <c r="E1403" s="188" t="n">
        <v>393218202887.587</v>
      </c>
      <c r="F1403" s="188" t="n">
        <v>32262771910.7271</v>
      </c>
    </row>
    <row r="1404" ht="15" customHeight="1" s="95">
      <c r="A1404" s="143" t="n">
        <v>44868</v>
      </c>
      <c r="B1404" s="94" t="n">
        <v>2022</v>
      </c>
      <c r="C1404" s="94" t="inlineStr">
        <is>
          <t>2022-Q4</t>
        </is>
      </c>
      <c r="D1404" s="186" t="n">
        <v>20162.9809048225</v>
      </c>
      <c r="E1404" s="188" t="n">
        <v>387015867490.091</v>
      </c>
      <c r="F1404" s="188" t="n">
        <v>44539856162.4483</v>
      </c>
    </row>
    <row r="1405" ht="15" customHeight="1" s="95">
      <c r="A1405" s="143" t="n">
        <v>44869</v>
      </c>
      <c r="B1405" s="94" t="n">
        <v>2022</v>
      </c>
      <c r="C1405" s="94" t="inlineStr">
        <is>
          <t>2022-Q4</t>
        </is>
      </c>
      <c r="D1405" s="186" t="n">
        <v>20210.9124171113</v>
      </c>
      <c r="E1405" s="188" t="n">
        <v>387756249891.628</v>
      </c>
      <c r="F1405" s="188" t="n">
        <v>36562782563.9792</v>
      </c>
    </row>
    <row r="1406" ht="15" customHeight="1" s="95">
      <c r="A1406" s="143" t="n">
        <v>44870</v>
      </c>
      <c r="B1406" s="94" t="n">
        <v>2022</v>
      </c>
      <c r="C1406" s="94" t="inlineStr">
        <is>
          <t>2022-Q4</t>
        </is>
      </c>
      <c r="D1406" s="186" t="n">
        <v>21150.3155839124</v>
      </c>
      <c r="E1406" s="188" t="n">
        <v>405987599945.273</v>
      </c>
      <c r="F1406" s="188" t="n">
        <v>33773463079.3327</v>
      </c>
    </row>
    <row r="1407" ht="15" customHeight="1" s="95">
      <c r="A1407" s="143" t="n">
        <v>44871</v>
      </c>
      <c r="B1407" s="94" t="n">
        <v>2022</v>
      </c>
      <c r="C1407" s="94" t="inlineStr">
        <is>
          <t>2022-Q4</t>
        </is>
      </c>
      <c r="D1407" s="186" t="n">
        <v>21282.9851094227</v>
      </c>
      <c r="E1407" s="188" t="n">
        <v>408892506459.074</v>
      </c>
      <c r="F1407" s="188" t="n">
        <v>31061573100.605</v>
      </c>
    </row>
    <row r="1408" ht="15" customHeight="1" s="95">
      <c r="A1408" s="143" t="n">
        <v>44872</v>
      </c>
      <c r="B1408" s="94" t="n">
        <v>2022</v>
      </c>
      <c r="C1408" s="94" t="inlineStr">
        <is>
          <t>2022-Q4</t>
        </is>
      </c>
      <c r="D1408" s="186" t="n">
        <v>20906.9979269551</v>
      </c>
      <c r="E1408" s="188" t="n">
        <v>401869336200.074</v>
      </c>
      <c r="F1408" s="188" t="n">
        <v>50602704770.8125</v>
      </c>
    </row>
    <row r="1409" ht="15" customHeight="1" s="95">
      <c r="A1409" s="143" t="n">
        <v>44873</v>
      </c>
      <c r="B1409" s="94" t="n">
        <v>2022</v>
      </c>
      <c r="C1409" s="94" t="inlineStr">
        <is>
          <t>2022-Q4</t>
        </is>
      </c>
      <c r="D1409" s="186" t="n">
        <v>20597.7550170608</v>
      </c>
      <c r="E1409" s="188" t="n">
        <v>395168506455.306</v>
      </c>
      <c r="F1409" s="188" t="n">
        <v>91750982446.3873</v>
      </c>
    </row>
    <row r="1410" ht="15" customHeight="1" s="95">
      <c r="A1410" s="143" t="n">
        <v>44874</v>
      </c>
      <c r="B1410" s="94" t="n">
        <v>2022</v>
      </c>
      <c r="C1410" s="94" t="inlineStr">
        <is>
          <t>2022-Q4</t>
        </is>
      </c>
      <c r="D1410" s="186" t="n">
        <v>18562.3532150896</v>
      </c>
      <c r="E1410" s="188" t="n">
        <v>356871594631.614</v>
      </c>
      <c r="F1410" s="188" t="n">
        <v>92144963385.0274</v>
      </c>
    </row>
    <row r="1411" ht="15" customHeight="1" s="95">
      <c r="A1411" s="143" t="n">
        <v>44875</v>
      </c>
      <c r="B1411" s="94" t="n">
        <v>2022</v>
      </c>
      <c r="C1411" s="94" t="inlineStr">
        <is>
          <t>2022-Q4</t>
        </is>
      </c>
      <c r="D1411" s="186" t="n">
        <v>15742.4443359614</v>
      </c>
      <c r="E1411" s="188" t="n">
        <v>301963847693.526</v>
      </c>
      <c r="F1411" s="188" t="n">
        <v>74978675390.5928</v>
      </c>
    </row>
    <row r="1412" ht="15" customHeight="1" s="95">
      <c r="A1412" s="143" t="n">
        <v>44876</v>
      </c>
      <c r="B1412" s="94" t="n">
        <v>2022</v>
      </c>
      <c r="C1412" s="94" t="inlineStr">
        <is>
          <t>2022-Q4</t>
        </is>
      </c>
      <c r="D1412" s="186" t="n">
        <v>17594.9235002782</v>
      </c>
      <c r="E1412" s="188" t="n">
        <v>336597208099.667</v>
      </c>
      <c r="F1412" s="188" t="n">
        <v>65200666543.3646</v>
      </c>
    </row>
    <row r="1413" ht="15" customHeight="1" s="95">
      <c r="A1413" s="143" t="n">
        <v>44877</v>
      </c>
      <c r="B1413" s="94" t="n">
        <v>2022</v>
      </c>
      <c r="C1413" s="94" t="inlineStr">
        <is>
          <t>2022-Q4</t>
        </is>
      </c>
      <c r="D1413" s="186" t="n">
        <v>17080.215260565</v>
      </c>
      <c r="E1413" s="188" t="n">
        <v>325921112619.091</v>
      </c>
      <c r="F1413" s="188" t="n">
        <v>45030331310.7498</v>
      </c>
    </row>
    <row r="1414" ht="15" customHeight="1" s="95">
      <c r="A1414" s="143" t="n">
        <v>44878</v>
      </c>
      <c r="B1414" s="94" t="n">
        <v>2022</v>
      </c>
      <c r="C1414" s="94" t="inlineStr">
        <is>
          <t>2022-Q4</t>
        </is>
      </c>
      <c r="D1414" s="186" t="n">
        <v>16797.9874825701</v>
      </c>
      <c r="E1414" s="188" t="n">
        <v>322330608513.163</v>
      </c>
      <c r="F1414" s="188" t="n">
        <v>21893997140.8605</v>
      </c>
    </row>
    <row r="1415" ht="15" customHeight="1" s="95">
      <c r="A1415" s="143" t="n">
        <v>44879</v>
      </c>
      <c r="B1415" s="94" t="n">
        <v>2022</v>
      </c>
      <c r="C1415" s="94" t="inlineStr">
        <is>
          <t>2022-Q4</t>
        </is>
      </c>
      <c r="D1415" s="186" t="n">
        <v>16344.342316001</v>
      </c>
      <c r="E1415" s="188" t="n">
        <v>313605586517.285</v>
      </c>
      <c r="F1415" s="188" t="n">
        <v>20411619109.0078</v>
      </c>
    </row>
    <row r="1416" ht="15" customHeight="1" s="95">
      <c r="A1416" s="143" t="n">
        <v>44880</v>
      </c>
      <c r="B1416" s="94" t="n">
        <v>2022</v>
      </c>
      <c r="C1416" s="94" t="inlineStr">
        <is>
          <t>2022-Q4</t>
        </is>
      </c>
      <c r="D1416" s="186" t="n">
        <v>16645.8285002835</v>
      </c>
      <c r="E1416" s="188" t="n">
        <v>320598982524.903</v>
      </c>
      <c r="F1416" s="188" t="n">
        <v>37539226046.1063</v>
      </c>
    </row>
    <row r="1417" ht="15" customHeight="1" s="95">
      <c r="A1417" s="143" t="n">
        <v>44881</v>
      </c>
      <c r="B1417" s="94" t="n">
        <v>2022</v>
      </c>
      <c r="C1417" s="94" t="inlineStr">
        <is>
          <t>2022-Q4</t>
        </is>
      </c>
      <c r="D1417" s="186" t="n">
        <v>16890.5293838646</v>
      </c>
      <c r="E1417" s="188" t="n">
        <v>324608360619.004</v>
      </c>
      <c r="F1417" s="188" t="n">
        <v>28676275678.9418</v>
      </c>
    </row>
    <row r="1418" ht="15" customHeight="1" s="95">
      <c r="A1418" s="143" t="n">
        <v>44882</v>
      </c>
      <c r="B1418" s="94" t="n">
        <v>2022</v>
      </c>
      <c r="C1418" s="94" t="inlineStr">
        <is>
          <t>2022-Q4</t>
        </is>
      </c>
      <c r="D1418" s="186" t="n">
        <v>16689.3967327377</v>
      </c>
      <c r="E1418" s="188" t="n">
        <v>320099234744.272</v>
      </c>
      <c r="F1418" s="188" t="n">
        <v>26922027947.4089</v>
      </c>
    </row>
    <row r="1419" ht="15" customHeight="1" s="95">
      <c r="A1419" s="143" t="n">
        <v>44883</v>
      </c>
      <c r="B1419" s="94" t="n">
        <v>2022</v>
      </c>
      <c r="C1419" s="94" t="inlineStr">
        <is>
          <t>2022-Q4</t>
        </is>
      </c>
      <c r="D1419" s="186" t="n">
        <v>16718.3612280551</v>
      </c>
      <c r="E1419" s="188" t="n">
        <v>321287480849.767</v>
      </c>
      <c r="F1419" s="188" t="n">
        <v>22011291267.3562</v>
      </c>
    </row>
    <row r="1420" ht="15" customHeight="1" s="95">
      <c r="A1420" s="143" t="n">
        <v>44884</v>
      </c>
      <c r="B1420" s="94" t="n">
        <v>2022</v>
      </c>
      <c r="C1420" s="94" t="inlineStr">
        <is>
          <t>2022-Q4</t>
        </is>
      </c>
      <c r="D1420" s="186" t="n">
        <v>16707.0227789865</v>
      </c>
      <c r="E1420" s="188" t="n">
        <v>320876918352.441</v>
      </c>
      <c r="F1420" s="188" t="n">
        <v>20942172141.4146</v>
      </c>
    </row>
    <row r="1421" ht="15" customHeight="1" s="95">
      <c r="A1421" s="143" t="n">
        <v>44885</v>
      </c>
      <c r="B1421" s="94" t="n">
        <v>2022</v>
      </c>
      <c r="C1421" s="94" t="inlineStr">
        <is>
          <t>2022-Q4</t>
        </is>
      </c>
      <c r="D1421" s="186" t="n">
        <v>16712.7295257948</v>
      </c>
      <c r="E1421" s="188" t="n">
        <v>321151208473.758</v>
      </c>
      <c r="F1421" s="188" t="n">
        <v>10844466289.9011</v>
      </c>
    </row>
    <row r="1422" ht="15" customHeight="1" s="95">
      <c r="A1422" s="143" t="n">
        <v>44886</v>
      </c>
      <c r="B1422" s="94" t="n">
        <v>2022</v>
      </c>
      <c r="C1422" s="94" t="inlineStr">
        <is>
          <t>2022-Q4</t>
        </is>
      </c>
      <c r="D1422" s="186" t="n">
        <v>16304.0768556236</v>
      </c>
      <c r="E1422" s="188" t="n">
        <v>313370674122.384</v>
      </c>
      <c r="F1422" s="188" t="n">
        <v>15680401749.9584</v>
      </c>
    </row>
    <row r="1423" ht="15" customHeight="1" s="95">
      <c r="A1423" s="143" t="n">
        <v>44887</v>
      </c>
      <c r="B1423" s="94" t="n">
        <v>2022</v>
      </c>
      <c r="C1423" s="94" t="inlineStr">
        <is>
          <t>2022-Q4</t>
        </is>
      </c>
      <c r="D1423" s="186" t="n">
        <v>15814.3352808553</v>
      </c>
      <c r="E1423" s="188" t="n">
        <v>303834128504.16</v>
      </c>
      <c r="F1423" s="188" t="n">
        <v>31057277097.3479</v>
      </c>
    </row>
    <row r="1424" ht="15" customHeight="1" s="95">
      <c r="A1424" s="143" t="n">
        <v>44888</v>
      </c>
      <c r="B1424" s="94" t="n">
        <v>2022</v>
      </c>
      <c r="C1424" s="94" t="inlineStr">
        <is>
          <t>2022-Q4</t>
        </is>
      </c>
      <c r="D1424" s="186" t="n">
        <v>16171.6289783151</v>
      </c>
      <c r="E1424" s="188" t="n">
        <v>311463297390.488</v>
      </c>
      <c r="F1424" s="188" t="n">
        <v>25091849198.5711</v>
      </c>
    </row>
    <row r="1425" ht="15" customHeight="1" s="95">
      <c r="A1425" s="143" t="n">
        <v>44889</v>
      </c>
      <c r="B1425" s="94" t="n">
        <v>2022</v>
      </c>
      <c r="C1425" s="94" t="inlineStr">
        <is>
          <t>2022-Q4</t>
        </is>
      </c>
      <c r="D1425" s="186" t="n">
        <v>16608.0099854436</v>
      </c>
      <c r="E1425" s="188" t="n">
        <v>319494112507.074</v>
      </c>
      <c r="F1425" s="188" t="n">
        <v>26858079944.17</v>
      </c>
    </row>
    <row r="1426" ht="15" customHeight="1" s="95">
      <c r="A1426" s="143" t="n">
        <v>44890</v>
      </c>
      <c r="B1426" s="94" t="n">
        <v>2022</v>
      </c>
      <c r="C1426" s="94" t="inlineStr">
        <is>
          <t>2022-Q4</t>
        </is>
      </c>
      <c r="D1426" s="186" t="n">
        <v>16596.0357584727</v>
      </c>
      <c r="E1426" s="188" t="n">
        <v>318949911014.538</v>
      </c>
      <c r="F1426" s="188" t="n">
        <v>20949512927.3869</v>
      </c>
    </row>
    <row r="1427" ht="15" customHeight="1" s="95">
      <c r="A1427" s="143" t="n">
        <v>44891</v>
      </c>
      <c r="B1427" s="94" t="n">
        <v>2022</v>
      </c>
      <c r="C1427" s="94" t="inlineStr">
        <is>
          <t>2022-Q4</t>
        </is>
      </c>
      <c r="D1427" s="186" t="n">
        <v>16524.4490077209</v>
      </c>
      <c r="E1427" s="188" t="n">
        <v>317919884011.383</v>
      </c>
      <c r="F1427" s="188" t="n">
        <v>18933018587.7663</v>
      </c>
    </row>
    <row r="1428" ht="15" customHeight="1" s="95">
      <c r="A1428" s="143" t="n">
        <v>44892</v>
      </c>
      <c r="B1428" s="94" t="n">
        <v>2022</v>
      </c>
      <c r="C1428" s="94" t="inlineStr">
        <is>
          <t>2022-Q4</t>
        </is>
      </c>
      <c r="D1428" s="186" t="n">
        <v>16456.1560624967</v>
      </c>
      <c r="E1428" s="188" t="n">
        <v>316206865319.883</v>
      </c>
      <c r="F1428" s="188" t="n">
        <v>18243019109.7532</v>
      </c>
    </row>
    <row r="1429" ht="15" customHeight="1" s="95">
      <c r="A1429" s="143" t="n">
        <v>44893</v>
      </c>
      <c r="B1429" s="94" t="n">
        <v>2022</v>
      </c>
      <c r="C1429" s="94" t="inlineStr">
        <is>
          <t>2022-Q4</t>
        </is>
      </c>
      <c r="D1429" s="186" t="n">
        <v>16459.1495437559</v>
      </c>
      <c r="E1429" s="188" t="n">
        <v>316487666895.441</v>
      </c>
      <c r="F1429" s="188" t="n">
        <v>16551822516.1854</v>
      </c>
    </row>
    <row r="1430" ht="15" customHeight="1" s="95">
      <c r="A1430" s="143" t="n">
        <v>44894</v>
      </c>
      <c r="B1430" s="94" t="n">
        <v>2022</v>
      </c>
      <c r="C1430" s="94" t="inlineStr">
        <is>
          <t>2022-Q4</t>
        </is>
      </c>
      <c r="D1430" s="186" t="n">
        <v>16222.2107287312</v>
      </c>
      <c r="E1430" s="188" t="n">
        <v>311810991501.448</v>
      </c>
      <c r="F1430" s="188" t="n">
        <v>24566056814.2123</v>
      </c>
    </row>
    <row r="1431" ht="15" customHeight="1" s="95">
      <c r="A1431" s="143" t="n">
        <v>44895</v>
      </c>
      <c r="B1431" s="94" t="n">
        <v>2022</v>
      </c>
      <c r="C1431" s="94" t="inlineStr">
        <is>
          <t>2022-Q4</t>
        </is>
      </c>
      <c r="D1431" s="186" t="n">
        <v>16441.9799784191</v>
      </c>
      <c r="E1431" s="188" t="n">
        <v>316170903326.022</v>
      </c>
      <c r="F1431" s="188" t="n">
        <v>24663035431.3521</v>
      </c>
    </row>
    <row r="1432" ht="15" customHeight="1" s="95">
      <c r="A1432" s="143" t="n">
        <v>44896</v>
      </c>
      <c r="B1432" s="94" t="n">
        <v>2022</v>
      </c>
      <c r="C1432" s="94" t="inlineStr">
        <is>
          <t>2022-Q4</t>
        </is>
      </c>
      <c r="D1432" s="186" t="n">
        <v>17186.5025720661</v>
      </c>
      <c r="E1432" s="188" t="n">
        <v>330763402606.704</v>
      </c>
      <c r="F1432" s="188" t="n">
        <v>30676053555.3234</v>
      </c>
    </row>
    <row r="1433" ht="15" customHeight="1" s="95">
      <c r="A1433" s="143" t="n">
        <v>44897</v>
      </c>
      <c r="B1433" s="94" t="n">
        <v>2022</v>
      </c>
      <c r="C1433" s="94" t="inlineStr">
        <is>
          <t>2022-Q4</t>
        </is>
      </c>
      <c r="D1433" s="186" t="n">
        <v>16972.7340607746</v>
      </c>
      <c r="E1433" s="188" t="n">
        <v>326141917292.638</v>
      </c>
      <c r="F1433" s="188" t="n">
        <v>23319572025.364</v>
      </c>
    </row>
    <row r="1434" ht="15" customHeight="1" s="95">
      <c r="A1434" s="143" t="n">
        <v>44898</v>
      </c>
      <c r="B1434" s="94" t="n">
        <v>2022</v>
      </c>
      <c r="C1434" s="94" t="inlineStr">
        <is>
          <t>2022-Q4</t>
        </is>
      </c>
      <c r="D1434" s="186" t="n">
        <v>17084.8733404707</v>
      </c>
      <c r="E1434" s="188" t="n">
        <v>328178365692.131</v>
      </c>
      <c r="F1434" s="188" t="n">
        <v>20945433171.6152</v>
      </c>
    </row>
    <row r="1435" ht="15" customHeight="1" s="95">
      <c r="A1435" s="143" t="n">
        <v>44899</v>
      </c>
      <c r="B1435" s="94" t="n">
        <v>2022</v>
      </c>
      <c r="C1435" s="94" t="inlineStr">
        <is>
          <t>2022-Q4</t>
        </is>
      </c>
      <c r="D1435" s="186" t="n">
        <v>16923.3828700803</v>
      </c>
      <c r="E1435" s="188" t="n">
        <v>326498242602.631</v>
      </c>
      <c r="F1435" s="188" t="n">
        <v>16931408153.9501</v>
      </c>
    </row>
    <row r="1436" ht="15" customHeight="1" s="95">
      <c r="A1436" s="143" t="n">
        <v>44900</v>
      </c>
      <c r="B1436" s="94" t="n">
        <v>2022</v>
      </c>
      <c r="C1436" s="94" t="inlineStr">
        <is>
          <t>2022-Q4</t>
        </is>
      </c>
      <c r="D1436" s="186" t="n">
        <v>17149.9317509629</v>
      </c>
      <c r="E1436" s="188" t="n">
        <v>329544949093.666</v>
      </c>
      <c r="F1436" s="188" t="n">
        <v>18214353301.1376</v>
      </c>
    </row>
    <row r="1437" ht="15" customHeight="1" s="95">
      <c r="A1437" s="143" t="n">
        <v>44901</v>
      </c>
      <c r="B1437" s="94" t="n">
        <v>2022</v>
      </c>
      <c r="C1437" s="94" t="inlineStr">
        <is>
          <t>2022-Q4</t>
        </is>
      </c>
      <c r="D1437" s="186" t="n">
        <v>16973.3725775535</v>
      </c>
      <c r="E1437" s="188" t="n">
        <v>326635737516.318</v>
      </c>
      <c r="F1437" s="188" t="n">
        <v>23204017213.9296</v>
      </c>
    </row>
    <row r="1438" ht="15" customHeight="1" s="95">
      <c r="A1438" s="143" t="n">
        <v>44902</v>
      </c>
      <c r="B1438" s="94" t="n">
        <v>2022</v>
      </c>
      <c r="C1438" s="94" t="inlineStr">
        <is>
          <t>2022-Q4</t>
        </is>
      </c>
      <c r="D1438" s="186" t="n">
        <v>17085.6431412514</v>
      </c>
      <c r="E1438" s="188" t="n">
        <v>328108161816.873</v>
      </c>
      <c r="F1438" s="188" t="n">
        <v>21026126511.1989</v>
      </c>
    </row>
    <row r="1439" ht="15" customHeight="1" s="95">
      <c r="A1439" s="143" t="n">
        <v>44903</v>
      </c>
      <c r="B1439" s="94" t="n">
        <v>2022</v>
      </c>
      <c r="C1439" s="94" t="inlineStr">
        <is>
          <t>2022-Q4</t>
        </is>
      </c>
      <c r="D1439" s="186" t="n">
        <v>16851.3034686318</v>
      </c>
      <c r="E1439" s="188" t="n">
        <v>324178677956.783</v>
      </c>
      <c r="F1439" s="188" t="n">
        <v>21192130005.6037</v>
      </c>
    </row>
    <row r="1440" ht="15" customHeight="1" s="95">
      <c r="A1440" s="143" t="n">
        <v>44904</v>
      </c>
      <c r="B1440" s="94" t="n">
        <v>2022</v>
      </c>
      <c r="C1440" s="94" t="inlineStr">
        <is>
          <t>2022-Q4</t>
        </is>
      </c>
      <c r="D1440" s="186" t="n">
        <v>17235.0141579921</v>
      </c>
      <c r="E1440" s="188" t="n">
        <v>331389860355.591</v>
      </c>
      <c r="F1440" s="188" t="n">
        <v>22674029585.2539</v>
      </c>
    </row>
    <row r="1441" ht="15" customHeight="1" s="95">
      <c r="A1441" s="143" t="n">
        <v>44905</v>
      </c>
      <c r="B1441" s="94" t="n">
        <v>2022</v>
      </c>
      <c r="C1441" s="94" t="inlineStr">
        <is>
          <t>2022-Q4</t>
        </is>
      </c>
      <c r="D1441" s="186" t="n">
        <v>17149.8242039253</v>
      </c>
      <c r="E1441" s="188" t="n">
        <v>329756788298.659</v>
      </c>
      <c r="F1441" s="188" t="n">
        <v>23179829829.1701</v>
      </c>
    </row>
    <row r="1442" ht="15" customHeight="1" s="95">
      <c r="A1442" s="143" t="n">
        <v>44906</v>
      </c>
      <c r="B1442" s="94" t="n">
        <v>2022</v>
      </c>
      <c r="C1442" s="94" t="inlineStr">
        <is>
          <t>2022-Q4</t>
        </is>
      </c>
      <c r="D1442" s="186" t="n">
        <v>17125.364927689</v>
      </c>
      <c r="E1442" s="188" t="n">
        <v>329283186564.515</v>
      </c>
      <c r="F1442" s="188" t="n">
        <v>14234368489.8443</v>
      </c>
    </row>
    <row r="1443" ht="15" customHeight="1" s="95">
      <c r="A1443" s="143" t="n">
        <v>44907</v>
      </c>
      <c r="B1443" s="94" t="n">
        <v>2022</v>
      </c>
      <c r="C1443" s="94" t="inlineStr">
        <is>
          <t>2022-Q4</t>
        </is>
      </c>
      <c r="D1443" s="186" t="n">
        <v>17101.0380197329</v>
      </c>
      <c r="E1443" s="188" t="n">
        <v>328868814164.991</v>
      </c>
      <c r="F1443" s="188" t="n">
        <v>15681124918.7382</v>
      </c>
    </row>
    <row r="1444" ht="15" customHeight="1" s="95">
      <c r="A1444" s="143" t="n">
        <v>44908</v>
      </c>
      <c r="B1444" s="94" t="n">
        <v>2022</v>
      </c>
      <c r="C1444" s="94" t="inlineStr">
        <is>
          <t>2022-Q4</t>
        </is>
      </c>
      <c r="D1444" s="186" t="n">
        <v>17179.5960382035</v>
      </c>
      <c r="E1444" s="188" t="n">
        <v>330715694645.243</v>
      </c>
      <c r="F1444" s="188" t="n">
        <v>21633829199.4891</v>
      </c>
    </row>
    <row r="1445" ht="15" customHeight="1" s="95">
      <c r="A1445" s="143" t="n">
        <v>44909</v>
      </c>
      <c r="B1445" s="94" t="n">
        <v>2022</v>
      </c>
      <c r="C1445" s="94" t="inlineStr">
        <is>
          <t>2022-Q4</t>
        </is>
      </c>
      <c r="D1445" s="186" t="n">
        <v>17784.1628940533</v>
      </c>
      <c r="E1445" s="188" t="n">
        <v>342102502914.69</v>
      </c>
      <c r="F1445" s="188" t="n">
        <v>28941242217.5918</v>
      </c>
    </row>
    <row r="1446" ht="15" customHeight="1" s="95">
      <c r="A1446" s="143" t="n">
        <v>44910</v>
      </c>
      <c r="B1446" s="94" t="n">
        <v>2022</v>
      </c>
      <c r="C1446" s="94" t="inlineStr">
        <is>
          <t>2022-Q4</t>
        </is>
      </c>
      <c r="D1446" s="186" t="n">
        <v>17808.7161726588</v>
      </c>
      <c r="E1446" s="188" t="n">
        <v>342692750075.406</v>
      </c>
      <c r="F1446" s="188" t="n">
        <v>27267536668.8115</v>
      </c>
    </row>
    <row r="1447" ht="15" customHeight="1" s="95">
      <c r="A1447" s="143" t="n">
        <v>44911</v>
      </c>
      <c r="B1447" s="94" t="n">
        <v>2022</v>
      </c>
      <c r="C1447" s="94" t="inlineStr">
        <is>
          <t>2022-Q4</t>
        </is>
      </c>
      <c r="D1447" s="186" t="n">
        <v>17338.3581266326</v>
      </c>
      <c r="E1447" s="188" t="n">
        <v>333854506370.737</v>
      </c>
      <c r="F1447" s="188" t="n">
        <v>22754686787.8171</v>
      </c>
    </row>
    <row r="1448" ht="15" customHeight="1" s="95">
      <c r="A1448" s="143" t="n">
        <v>44912</v>
      </c>
      <c r="B1448" s="94" t="n">
        <v>2022</v>
      </c>
      <c r="C1448" s="94" t="inlineStr">
        <is>
          <t>2022-Q4</t>
        </is>
      </c>
      <c r="D1448" s="186" t="n">
        <v>16623.7578261443</v>
      </c>
      <c r="E1448" s="188" t="n">
        <v>318992400741.965</v>
      </c>
      <c r="F1448" s="188" t="n">
        <v>22250411214.7732</v>
      </c>
    </row>
    <row r="1449" ht="15" customHeight="1" s="95">
      <c r="A1449" s="143" t="n">
        <v>44913</v>
      </c>
      <c r="B1449" s="94" t="n">
        <v>2022</v>
      </c>
      <c r="C1449" s="94" t="inlineStr">
        <is>
          <t>2022-Q4</t>
        </is>
      </c>
      <c r="D1449" s="186" t="n">
        <v>16806.4855920615</v>
      </c>
      <c r="E1449" s="188" t="n">
        <v>323096167353.6</v>
      </c>
      <c r="F1449" s="188" t="n">
        <v>15086383815.7761</v>
      </c>
    </row>
    <row r="1450" ht="15" customHeight="1" s="95">
      <c r="A1450" s="143" t="n">
        <v>44914</v>
      </c>
      <c r="B1450" s="94" t="n">
        <v>2022</v>
      </c>
      <c r="C1450" s="94" t="inlineStr">
        <is>
          <t>2022-Q4</t>
        </is>
      </c>
      <c r="D1450" s="186" t="n">
        <v>16742.8166638341</v>
      </c>
      <c r="E1450" s="188" t="n">
        <v>322740705484.673</v>
      </c>
      <c r="F1450" s="188" t="n">
        <v>11134054723.1475</v>
      </c>
    </row>
    <row r="1451" ht="15" customHeight="1" s="95">
      <c r="A1451" s="143" t="n">
        <v>44915</v>
      </c>
      <c r="B1451" s="94" t="n">
        <v>2022</v>
      </c>
      <c r="C1451" s="94" t="inlineStr">
        <is>
          <t>2022-Q4</t>
        </is>
      </c>
      <c r="D1451" s="186" t="n">
        <v>16422.5622732793</v>
      </c>
      <c r="E1451" s="188" t="n">
        <v>316270478163.655</v>
      </c>
      <c r="F1451" s="188" t="n">
        <v>17719672544.8918</v>
      </c>
    </row>
    <row r="1452" ht="15" customHeight="1" s="95">
      <c r="A1452" s="143" t="n">
        <v>44916</v>
      </c>
      <c r="B1452" s="94" t="n">
        <v>2022</v>
      </c>
      <c r="C1452" s="94" t="inlineStr">
        <is>
          <t>2022-Q4</t>
        </is>
      </c>
      <c r="D1452" s="186" t="n">
        <v>16899.3319690468</v>
      </c>
      <c r="E1452" s="188" t="n">
        <v>325120443529.519</v>
      </c>
      <c r="F1452" s="188" t="n">
        <v>24938219697.886</v>
      </c>
    </row>
    <row r="1453" ht="15" customHeight="1" s="95">
      <c r="A1453" s="143" t="n">
        <v>44917</v>
      </c>
      <c r="B1453" s="94" t="n">
        <v>2022</v>
      </c>
      <c r="C1453" s="94" t="inlineStr">
        <is>
          <t>2022-Q4</t>
        </is>
      </c>
      <c r="D1453" s="186" t="n">
        <v>16816.85370119</v>
      </c>
      <c r="E1453" s="188" t="n">
        <v>323127932459.19</v>
      </c>
      <c r="F1453" s="188" t="n">
        <v>16062767787.3581</v>
      </c>
    </row>
    <row r="1454" ht="15" customHeight="1" s="95">
      <c r="A1454" s="143" t="n">
        <v>44918</v>
      </c>
      <c r="B1454" s="94" t="n">
        <v>2022</v>
      </c>
      <c r="C1454" s="94" t="inlineStr">
        <is>
          <t>2022-Q4</t>
        </is>
      </c>
      <c r="D1454" s="186" t="n">
        <v>16824.7901624415</v>
      </c>
      <c r="E1454" s="188" t="n">
        <v>323519254392.675</v>
      </c>
      <c r="F1454" s="188" t="n">
        <v>17847826941.6811</v>
      </c>
    </row>
    <row r="1455" ht="15" customHeight="1" s="95">
      <c r="A1455" s="143" t="n">
        <v>44919</v>
      </c>
      <c r="B1455" s="94" t="n">
        <v>2022</v>
      </c>
      <c r="C1455" s="94" t="inlineStr">
        <is>
          <t>2022-Q4</t>
        </is>
      </c>
      <c r="D1455" s="186" t="n">
        <v>16791.4554391649</v>
      </c>
      <c r="E1455" s="188" t="n">
        <v>323013370317.243</v>
      </c>
      <c r="F1455" s="188" t="n">
        <v>16765392449.9509</v>
      </c>
    </row>
    <row r="1456" ht="15" customHeight="1" s="95">
      <c r="A1456" s="143" t="n">
        <v>44920</v>
      </c>
      <c r="B1456" s="94" t="n">
        <v>2022</v>
      </c>
      <c r="C1456" s="94" t="inlineStr">
        <is>
          <t>2022-Q4</t>
        </is>
      </c>
      <c r="D1456" s="186" t="n">
        <v>16848.5687083234</v>
      </c>
      <c r="E1456" s="188" t="n">
        <v>324072643385.913</v>
      </c>
      <c r="F1456" s="188" t="n">
        <v>10169853734.1175</v>
      </c>
    </row>
    <row r="1457" ht="15" customHeight="1" s="95">
      <c r="A1457" s="143" t="n">
        <v>44921</v>
      </c>
      <c r="B1457" s="94" t="n">
        <v>2022</v>
      </c>
      <c r="C1457" s="94" t="inlineStr">
        <is>
          <t>2022-Q4</t>
        </is>
      </c>
      <c r="D1457" s="186" t="n">
        <v>16842.1770399055</v>
      </c>
      <c r="E1457" s="188" t="n">
        <v>323868581953.116</v>
      </c>
      <c r="F1457" s="188" t="n">
        <v>12574453968.758</v>
      </c>
    </row>
    <row r="1458" ht="15" customHeight="1" s="95">
      <c r="A1458" s="143" t="n">
        <v>44922</v>
      </c>
      <c r="B1458" s="94" t="n">
        <v>2022</v>
      </c>
      <c r="C1458" s="94" t="inlineStr">
        <is>
          <t>2022-Q4</t>
        </is>
      </c>
      <c r="D1458" s="186" t="n">
        <v>16900.0818719381</v>
      </c>
      <c r="E1458" s="188" t="n">
        <v>325036912914.67</v>
      </c>
      <c r="F1458" s="188" t="n">
        <v>12574997282.0393</v>
      </c>
    </row>
    <row r="1459" ht="15" customHeight="1" s="95">
      <c r="A1459" s="143" t="n">
        <v>44923</v>
      </c>
      <c r="B1459" s="94" t="n">
        <v>2022</v>
      </c>
      <c r="C1459" s="94" t="inlineStr">
        <is>
          <t>2022-Q4</t>
        </is>
      </c>
      <c r="D1459" s="186" t="n">
        <v>16701.8402106679</v>
      </c>
      <c r="E1459" s="188" t="n">
        <v>321351469136.862</v>
      </c>
      <c r="F1459" s="188" t="n">
        <v>17436062121.5136</v>
      </c>
    </row>
    <row r="1460" ht="15" customHeight="1" s="95">
      <c r="A1460" s="143" t="n">
        <v>44924</v>
      </c>
      <c r="B1460" s="94" t="n">
        <v>2022</v>
      </c>
      <c r="C1460" s="94" t="inlineStr">
        <is>
          <t>2022-Q4</t>
        </is>
      </c>
      <c r="D1460" s="186" t="n">
        <v>16538.906094002</v>
      </c>
      <c r="E1460" s="188" t="n">
        <v>318288869204.815</v>
      </c>
      <c r="F1460" s="188" t="n">
        <v>19113614755.8747</v>
      </c>
    </row>
    <row r="1461" ht="15" customHeight="1" s="95">
      <c r="A1461" s="143" t="n">
        <v>44925</v>
      </c>
      <c r="B1461" s="94" t="n">
        <v>2022</v>
      </c>
      <c r="C1461" s="94" t="inlineStr">
        <is>
          <t>2022-Q4</t>
        </is>
      </c>
      <c r="D1461" s="186" t="n">
        <v>16644.3790870379</v>
      </c>
      <c r="E1461" s="188" t="n">
        <v>320297298175.877</v>
      </c>
      <c r="F1461" s="188" t="n">
        <v>15683731676.9982</v>
      </c>
    </row>
    <row r="1462" ht="15" customHeight="1" s="95">
      <c r="A1462" s="143" t="n">
        <v>44926</v>
      </c>
      <c r="B1462" s="94" t="n">
        <v>2022</v>
      </c>
      <c r="C1462" s="94" t="inlineStr">
        <is>
          <t>2022-Q4</t>
        </is>
      </c>
      <c r="D1462" s="186" t="n">
        <v>16604.0205203734</v>
      </c>
      <c r="E1462" s="188" t="n">
        <v>319722045805.095</v>
      </c>
      <c r="F1462" s="188" t="n">
        <v>17497327983.3493</v>
      </c>
    </row>
    <row r="1463" ht="15" customHeight="1" s="95">
      <c r="A1463" s="143" t="n">
        <v>44927</v>
      </c>
      <c r="B1463" s="94" t="n">
        <v>2023</v>
      </c>
      <c r="C1463" s="94" t="inlineStr">
        <is>
          <t>2023-Q1</t>
        </is>
      </c>
      <c r="D1463" s="186" t="n">
        <v>16540.6936247768</v>
      </c>
      <c r="E1463" s="188" t="n">
        <v>318278329991.702</v>
      </c>
      <c r="F1463" s="188" t="n">
        <v>12013247678.0296</v>
      </c>
    </row>
    <row r="1464" ht="15" customHeight="1" s="95">
      <c r="A1464" s="143" t="n">
        <v>44928</v>
      </c>
      <c r="B1464" s="94" t="n">
        <v>2023</v>
      </c>
      <c r="C1464" s="94" t="inlineStr">
        <is>
          <t>2023-Q1</t>
        </is>
      </c>
      <c r="D1464" s="186" t="n">
        <v>16615.9693180128</v>
      </c>
      <c r="E1464" s="188" t="n">
        <v>319832024054.631</v>
      </c>
      <c r="F1464" s="188" t="n">
        <v>9799252684.089951</v>
      </c>
    </row>
    <row r="1465" ht="15" customHeight="1" s="95">
      <c r="A1465" s="143" t="n">
        <v>44929</v>
      </c>
      <c r="B1465" s="94" t="n">
        <v>2023</v>
      </c>
      <c r="C1465" s="94" t="inlineStr">
        <is>
          <t>2023-Q1</t>
        </is>
      </c>
      <c r="D1465" s="186" t="n">
        <v>16674.3425363011</v>
      </c>
      <c r="E1465" s="188" t="n">
        <v>321486454934.268</v>
      </c>
      <c r="F1465" s="188" t="n">
        <v>13023861027.7695</v>
      </c>
    </row>
    <row r="1466" ht="15" customHeight="1" s="95">
      <c r="A1466" s="143" t="n">
        <v>44930</v>
      </c>
      <c r="B1466" s="94" t="n">
        <v>2023</v>
      </c>
      <c r="C1466" s="94" t="inlineStr">
        <is>
          <t>2023-Q1</t>
        </is>
      </c>
      <c r="D1466" s="186" t="n">
        <v>16677.6461858504</v>
      </c>
      <c r="E1466" s="188" t="n">
        <v>321080820418.184</v>
      </c>
      <c r="F1466" s="188" t="n">
        <v>15367167883.495</v>
      </c>
    </row>
    <row r="1467" ht="15" customHeight="1" s="95">
      <c r="A1467" s="143" t="n">
        <v>44931</v>
      </c>
      <c r="B1467" s="94" t="n">
        <v>2023</v>
      </c>
      <c r="C1467" s="94" t="inlineStr">
        <is>
          <t>2023-Q1</t>
        </is>
      </c>
      <c r="D1467" s="186" t="n">
        <v>16855.1747387671</v>
      </c>
      <c r="E1467" s="188" t="n">
        <v>324397588037.395</v>
      </c>
      <c r="F1467" s="188" t="n">
        <v>20836560771.7236</v>
      </c>
    </row>
    <row r="1468" ht="15" customHeight="1" s="95">
      <c r="A1468" s="143" t="n">
        <v>44932</v>
      </c>
      <c r="B1468" s="94" t="n">
        <v>2023</v>
      </c>
      <c r="C1468" s="94" t="inlineStr">
        <is>
          <t>2023-Q1</t>
        </is>
      </c>
      <c r="D1468" s="186" t="n">
        <v>16832.0989884979</v>
      </c>
      <c r="E1468" s="188" t="n">
        <v>324138957221.056</v>
      </c>
      <c r="F1468" s="188" t="n">
        <v>14919039445.1069</v>
      </c>
    </row>
    <row r="1469" ht="15" customHeight="1" s="95">
      <c r="A1469" s="143" t="n">
        <v>44933</v>
      </c>
      <c r="B1469" s="94" t="n">
        <v>2023</v>
      </c>
      <c r="C1469" s="94" t="inlineStr">
        <is>
          <t>2023-Q1</t>
        </is>
      </c>
      <c r="D1469" s="186" t="n">
        <v>16960.2320624752</v>
      </c>
      <c r="E1469" s="188" t="n">
        <v>326571439011.657</v>
      </c>
      <c r="F1469" s="188" t="n">
        <v>19046576249.7286</v>
      </c>
    </row>
    <row r="1470" ht="15" customHeight="1" s="95">
      <c r="A1470" s="143" t="n">
        <v>44934</v>
      </c>
      <c r="B1470" s="94" t="n">
        <v>2023</v>
      </c>
      <c r="C1470" s="94" t="inlineStr">
        <is>
          <t>2023-Q1</t>
        </is>
      </c>
      <c r="D1470" s="186" t="n">
        <v>16950.8615218539</v>
      </c>
      <c r="E1470" s="188" t="n">
        <v>326371741274.411</v>
      </c>
      <c r="F1470" s="188" t="n">
        <v>9594456673.44898</v>
      </c>
    </row>
    <row r="1471" ht="15" customHeight="1" s="95">
      <c r="A1471" s="143" t="n">
        <v>44935</v>
      </c>
      <c r="B1471" s="94" t="n">
        <v>2023</v>
      </c>
      <c r="C1471" s="94" t="inlineStr">
        <is>
          <t>2023-Q1</t>
        </is>
      </c>
      <c r="D1471" s="186" t="n">
        <v>17074.6153957267</v>
      </c>
      <c r="E1471" s="188" t="n">
        <v>328470896861.379</v>
      </c>
      <c r="F1471" s="188" t="n">
        <v>11841041542.9937</v>
      </c>
    </row>
    <row r="1472" ht="15" customHeight="1" s="95">
      <c r="A1472" s="143" t="n">
        <v>44936</v>
      </c>
      <c r="B1472" s="94" t="n">
        <v>2023</v>
      </c>
      <c r="C1472" s="94" t="inlineStr">
        <is>
          <t>2023-Q1</t>
        </is>
      </c>
      <c r="D1472" s="186" t="n">
        <v>17194.9093294532</v>
      </c>
      <c r="E1472" s="188" t="n">
        <v>331158152699.256</v>
      </c>
      <c r="F1472" s="188" t="n">
        <v>25532751567.1982</v>
      </c>
    </row>
    <row r="1473" ht="15" customHeight="1" s="95">
      <c r="A1473" s="143" t="n">
        <v>44937</v>
      </c>
      <c r="B1473" s="94" t="n">
        <v>2023</v>
      </c>
      <c r="C1473" s="94" t="inlineStr">
        <is>
          <t>2023-Q1</t>
        </is>
      </c>
      <c r="D1473" s="186" t="n">
        <v>17436.9023297812</v>
      </c>
      <c r="E1473" s="188" t="n">
        <v>335743942932.349</v>
      </c>
      <c r="F1473" s="188" t="n">
        <v>21858206845.2923</v>
      </c>
    </row>
    <row r="1474" ht="15" customHeight="1" s="95">
      <c r="A1474" s="143" t="n">
        <v>44938</v>
      </c>
      <c r="B1474" s="94" t="n">
        <v>2023</v>
      </c>
      <c r="C1474" s="94" t="inlineStr">
        <is>
          <t>2023-Q1</t>
        </is>
      </c>
      <c r="D1474" s="186" t="n">
        <v>17996.8325537416</v>
      </c>
      <c r="E1474" s="188" t="n">
        <v>345688973386.69</v>
      </c>
      <c r="F1474" s="188" t="n">
        <v>25439279072.9819</v>
      </c>
    </row>
    <row r="1475" ht="15" customHeight="1" s="95">
      <c r="A1475" s="143" t="n">
        <v>44939</v>
      </c>
      <c r="B1475" s="94" t="n">
        <v>2023</v>
      </c>
      <c r="C1475" s="94" t="inlineStr">
        <is>
          <t>2023-Q1</t>
        </is>
      </c>
      <c r="D1475" s="186" t="n">
        <v>18866.8103306171</v>
      </c>
      <c r="E1475" s="188" t="n">
        <v>363381125082.766</v>
      </c>
      <c r="F1475" s="188" t="n">
        <v>48025109150.1774</v>
      </c>
    </row>
    <row r="1476" ht="15" customHeight="1" s="95">
      <c r="A1476" s="143" t="n">
        <v>44940</v>
      </c>
      <c r="B1476" s="94" t="n">
        <v>2023</v>
      </c>
      <c r="C1476" s="94" t="inlineStr">
        <is>
          <t>2023-Q1</t>
        </is>
      </c>
      <c r="D1476" s="186" t="n">
        <v>19941.7805432963</v>
      </c>
      <c r="E1476" s="188" t="n">
        <v>382675302196.49</v>
      </c>
      <c r="F1476" s="188" t="n">
        <v>39514419053.1769</v>
      </c>
    </row>
    <row r="1477" ht="15" customHeight="1" s="95">
      <c r="A1477" s="143" t="n">
        <v>44941</v>
      </c>
      <c r="B1477" s="94" t="n">
        <v>2023</v>
      </c>
      <c r="C1477" s="94" t="inlineStr">
        <is>
          <t>2023-Q1</t>
        </is>
      </c>
      <c r="D1477" s="186" t="n">
        <v>21019.2066140227</v>
      </c>
      <c r="E1477" s="188" t="n">
        <v>405209898132.006</v>
      </c>
      <c r="F1477" s="188" t="n">
        <v>49498711311.533</v>
      </c>
    </row>
    <row r="1478" ht="15" customHeight="1" s="95">
      <c r="A1478" s="143" t="n">
        <v>44942</v>
      </c>
      <c r="B1478" s="94" t="n">
        <v>2023</v>
      </c>
      <c r="C1478" s="94" t="inlineStr">
        <is>
          <t>2023-Q1</t>
        </is>
      </c>
      <c r="D1478" s="186" t="n">
        <v>20853.2305694903</v>
      </c>
      <c r="E1478" s="188" t="n">
        <v>401697403586.518</v>
      </c>
      <c r="F1478" s="188" t="n">
        <v>23072133987.5537</v>
      </c>
    </row>
    <row r="1479" ht="15" customHeight="1" s="95">
      <c r="A1479" s="143" t="n">
        <v>44943</v>
      </c>
      <c r="B1479" s="94" t="n">
        <v>2023</v>
      </c>
      <c r="C1479" s="94" t="inlineStr">
        <is>
          <t>2023-Q1</t>
        </is>
      </c>
      <c r="D1479" s="186" t="n">
        <v>21175.3377366252</v>
      </c>
      <c r="E1479" s="188" t="n">
        <v>407760358639.003</v>
      </c>
      <c r="F1479" s="188" t="n">
        <v>34809391745.545</v>
      </c>
    </row>
    <row r="1480" ht="15" customHeight="1" s="95">
      <c r="A1480" s="143" t="n">
        <v>44944</v>
      </c>
      <c r="B1480" s="94" t="n">
        <v>2023</v>
      </c>
      <c r="C1480" s="94" t="inlineStr">
        <is>
          <t>2023-Q1</t>
        </is>
      </c>
      <c r="D1480" s="186" t="n">
        <v>21156.7839311671</v>
      </c>
      <c r="E1480" s="188" t="n">
        <v>407405144842.94</v>
      </c>
      <c r="F1480" s="188" t="n">
        <v>33278841336.5086</v>
      </c>
    </row>
    <row r="1481" ht="15" customHeight="1" s="95">
      <c r="A1481" s="143" t="n">
        <v>44945</v>
      </c>
      <c r="B1481" s="94" t="n">
        <v>2023</v>
      </c>
      <c r="C1481" s="94" t="inlineStr">
        <is>
          <t>2023-Q1</t>
        </is>
      </c>
      <c r="D1481" s="186" t="n">
        <v>20726.8449694265</v>
      </c>
      <c r="E1481" s="188" t="n">
        <v>399349603616.145</v>
      </c>
      <c r="F1481" s="188" t="n">
        <v>40612056908.8089</v>
      </c>
    </row>
    <row r="1482" ht="15" customHeight="1" s="95">
      <c r="A1482" s="143" t="n">
        <v>44946</v>
      </c>
      <c r="B1482" s="94" t="n">
        <v>2023</v>
      </c>
      <c r="C1482" s="94" t="inlineStr">
        <is>
          <t>2023-Q1</t>
        </is>
      </c>
      <c r="D1482" s="186" t="n">
        <v>21081.6710222043</v>
      </c>
      <c r="E1482" s="188" t="n">
        <v>406258441952.373</v>
      </c>
      <c r="F1482" s="188" t="n">
        <v>29144534677.5751</v>
      </c>
    </row>
    <row r="1483" ht="15" customHeight="1" s="95">
      <c r="A1483" s="143" t="n">
        <v>44947</v>
      </c>
      <c r="B1483" s="94" t="n">
        <v>2023</v>
      </c>
      <c r="C1483" s="94" t="inlineStr">
        <is>
          <t>2023-Q1</t>
        </is>
      </c>
      <c r="D1483" s="186" t="n">
        <v>22705.8336788991</v>
      </c>
      <c r="E1483" s="188" t="n">
        <v>436724993652.428</v>
      </c>
      <c r="F1483" s="188" t="n">
        <v>41321936668.628</v>
      </c>
    </row>
    <row r="1484" ht="15" customHeight="1" s="95">
      <c r="A1484" s="143" t="n">
        <v>44948</v>
      </c>
      <c r="B1484" s="94" t="n">
        <v>2023</v>
      </c>
      <c r="C1484" s="94" t="inlineStr">
        <is>
          <t>2023-Q1</t>
        </is>
      </c>
      <c r="D1484" s="186" t="n">
        <v>22771.0232870218</v>
      </c>
      <c r="E1484" s="188" t="n">
        <v>438578588179.06</v>
      </c>
      <c r="F1484" s="188" t="n">
        <v>44077026803.6608</v>
      </c>
    </row>
    <row r="1485" ht="15" customHeight="1" s="95">
      <c r="A1485" s="143" t="n">
        <v>44949</v>
      </c>
      <c r="B1485" s="94" t="n">
        <v>2023</v>
      </c>
      <c r="C1485" s="94" t="inlineStr">
        <is>
          <t>2023-Q1</t>
        </is>
      </c>
      <c r="D1485" s="186" t="n">
        <v>22736.6614289297</v>
      </c>
      <c r="E1485" s="188" t="n">
        <v>438060367560.355</v>
      </c>
      <c r="F1485" s="188" t="n">
        <v>34124364415.4392</v>
      </c>
    </row>
    <row r="1486" ht="15" customHeight="1" s="95">
      <c r="A1486" s="143" t="n">
        <v>44950</v>
      </c>
      <c r="B1486" s="94" t="n">
        <v>2023</v>
      </c>
      <c r="C1486" s="94" t="inlineStr">
        <is>
          <t>2023-Q1</t>
        </is>
      </c>
      <c r="D1486" s="186" t="n">
        <v>22984.8749764372</v>
      </c>
      <c r="E1486" s="188" t="n">
        <v>442926343072.592</v>
      </c>
      <c r="F1486" s="188" t="n">
        <v>36750647385.6529</v>
      </c>
    </row>
    <row r="1487" ht="15" customHeight="1" s="95">
      <c r="A1487" s="143" t="n">
        <v>44951</v>
      </c>
      <c r="B1487" s="94" t="n">
        <v>2023</v>
      </c>
      <c r="C1487" s="94" t="inlineStr">
        <is>
          <t>2023-Q1</t>
        </is>
      </c>
      <c r="D1487" s="186" t="n">
        <v>22610.0105982729</v>
      </c>
      <c r="E1487" s="188" t="n">
        <v>435679436196.358</v>
      </c>
      <c r="F1487" s="188" t="n">
        <v>35621897292.9515</v>
      </c>
    </row>
    <row r="1488" ht="15" customHeight="1" s="95">
      <c r="A1488" s="143" t="n">
        <v>44952</v>
      </c>
      <c r="B1488" s="94" t="n">
        <v>2023</v>
      </c>
      <c r="C1488" s="94" t="inlineStr">
        <is>
          <t>2023-Q1</t>
        </is>
      </c>
      <c r="D1488" s="186" t="n">
        <v>23180.4226978743</v>
      </c>
      <c r="E1488" s="188" t="n">
        <v>446715261348.752</v>
      </c>
      <c r="F1488" s="188" t="n">
        <v>42772537174.7237</v>
      </c>
    </row>
    <row r="1489" ht="15" customHeight="1" s="95">
      <c r="A1489" s="143" t="n">
        <v>44953</v>
      </c>
      <c r="B1489" s="94" t="n">
        <v>2023</v>
      </c>
      <c r="C1489" s="94" t="inlineStr">
        <is>
          <t>2023-Q1</t>
        </is>
      </c>
      <c r="D1489" s="186" t="n">
        <v>23024.7461808171</v>
      </c>
      <c r="E1489" s="188" t="n">
        <v>444005849172.139</v>
      </c>
      <c r="F1489" s="188" t="n">
        <v>37099702812.2278</v>
      </c>
    </row>
    <row r="1490" ht="15" customHeight="1" s="95">
      <c r="A1490" s="143" t="n">
        <v>44954</v>
      </c>
      <c r="B1490" s="94" t="n">
        <v>2023</v>
      </c>
      <c r="C1490" s="94" t="inlineStr">
        <is>
          <t>2023-Q1</t>
        </is>
      </c>
      <c r="D1490" s="186" t="n">
        <v>23082.858382123</v>
      </c>
      <c r="E1490" s="188" t="n">
        <v>444898315874.055</v>
      </c>
      <c r="F1490" s="188" t="n">
        <v>36109035905.259</v>
      </c>
    </row>
    <row r="1491" ht="15" customHeight="1" s="95">
      <c r="A1491" s="143" t="n">
        <v>44955</v>
      </c>
      <c r="B1491" s="94" t="n">
        <v>2023</v>
      </c>
      <c r="C1491" s="94" t="inlineStr">
        <is>
          <t>2023-Q1</t>
        </is>
      </c>
      <c r="D1491" s="186" t="n">
        <v>23022.2329913534</v>
      </c>
      <c r="E1491" s="188" t="n">
        <v>443702765526.117</v>
      </c>
      <c r="F1491" s="188" t="n">
        <v>19567219823.8781</v>
      </c>
    </row>
    <row r="1492" ht="15" customHeight="1" s="95">
      <c r="A1492" s="143" t="n">
        <v>44956</v>
      </c>
      <c r="B1492" s="94" t="n">
        <v>2023</v>
      </c>
      <c r="C1492" s="94" t="inlineStr">
        <is>
          <t>2023-Q1</t>
        </is>
      </c>
      <c r="D1492" s="186" t="n">
        <v>23797.4608948812</v>
      </c>
      <c r="E1492" s="188" t="n">
        <v>458368002025.743</v>
      </c>
      <c r="F1492" s="188" t="n">
        <v>38438621263.5812</v>
      </c>
    </row>
    <row r="1493" ht="15" customHeight="1" s="95">
      <c r="A1493" s="143" t="n">
        <v>44957</v>
      </c>
      <c r="B1493" s="94" t="n">
        <v>2023</v>
      </c>
      <c r="C1493" s="94" t="inlineStr">
        <is>
          <t>2023-Q1</t>
        </is>
      </c>
      <c r="D1493" s="186" t="n">
        <v>22840.3858587971</v>
      </c>
      <c r="E1493" s="188" t="n">
        <v>439295730927.165</v>
      </c>
      <c r="F1493" s="188" t="n">
        <v>38594596831.9721</v>
      </c>
    </row>
    <row r="1494" ht="15" customHeight="1" s="95">
      <c r="A1494" s="143" t="n">
        <v>44958</v>
      </c>
      <c r="B1494" s="94" t="n">
        <v>2023</v>
      </c>
      <c r="C1494" s="94" t="inlineStr">
        <is>
          <t>2023-Q1</t>
        </is>
      </c>
      <c r="D1494" s="186" t="n">
        <v>23137.3235540884</v>
      </c>
      <c r="E1494" s="188" t="n">
        <v>445991168199.328</v>
      </c>
      <c r="F1494" s="188" t="n">
        <v>32683643418.3295</v>
      </c>
    </row>
    <row r="1495" ht="15" customHeight="1" s="95">
      <c r="A1495" s="143" t="n">
        <v>44959</v>
      </c>
      <c r="B1495" s="94" t="n">
        <v>2023</v>
      </c>
      <c r="C1495" s="94" t="inlineStr">
        <is>
          <t>2023-Q1</t>
        </is>
      </c>
      <c r="D1495" s="186" t="n">
        <v>23725.1617961422</v>
      </c>
      <c r="E1495" s="188" t="n">
        <v>457383099382.75</v>
      </c>
      <c r="F1495" s="188" t="n">
        <v>37452064508.1739</v>
      </c>
    </row>
    <row r="1496" ht="15" customHeight="1" s="95">
      <c r="A1496" s="143" t="n">
        <v>44960</v>
      </c>
      <c r="B1496" s="94" t="n">
        <v>2023</v>
      </c>
      <c r="C1496" s="94" t="inlineStr">
        <is>
          <t>2023-Q1</t>
        </is>
      </c>
      <c r="D1496" s="186" t="n">
        <v>23539.6767701965</v>
      </c>
      <c r="E1496" s="188" t="n">
        <v>453565018922.545</v>
      </c>
      <c r="F1496" s="188" t="n">
        <v>44735297656.6983</v>
      </c>
    </row>
    <row r="1497" ht="15" customHeight="1" s="95">
      <c r="A1497" s="143" t="n">
        <v>44961</v>
      </c>
      <c r="B1497" s="94" t="n">
        <v>2023</v>
      </c>
      <c r="C1497" s="94" t="inlineStr">
        <is>
          <t>2023-Q1</t>
        </is>
      </c>
      <c r="D1497" s="186" t="n">
        <v>23451.5776507746</v>
      </c>
      <c r="E1497" s="188" t="n">
        <v>452312595756.257</v>
      </c>
      <c r="F1497" s="188" t="n">
        <v>41267040610.7636</v>
      </c>
    </row>
    <row r="1498" ht="15" customHeight="1" s="95">
      <c r="A1498" s="143" t="n">
        <v>44962</v>
      </c>
      <c r="B1498" s="94" t="n">
        <v>2023</v>
      </c>
      <c r="C1498" s="94" t="inlineStr">
        <is>
          <t>2023-Q1</t>
        </is>
      </c>
      <c r="D1498" s="186" t="n">
        <v>23340.3495855393</v>
      </c>
      <c r="E1498" s="188" t="n">
        <v>450197147854.798</v>
      </c>
      <c r="F1498" s="188" t="n">
        <v>21063097082.2578</v>
      </c>
    </row>
    <row r="1499" ht="15" customHeight="1" s="95">
      <c r="A1499" s="143" t="n">
        <v>44963</v>
      </c>
      <c r="B1499" s="94" t="n">
        <v>2023</v>
      </c>
      <c r="C1499" s="94" t="inlineStr">
        <is>
          <t>2023-Q1</t>
        </is>
      </c>
      <c r="D1499" s="186" t="n">
        <v>22946.2865785912</v>
      </c>
      <c r="E1499" s="188" t="n">
        <v>442933975658.566</v>
      </c>
      <c r="F1499" s="188" t="n">
        <v>26678691424.5499</v>
      </c>
    </row>
    <row r="1500" ht="15" customHeight="1" s="95">
      <c r="A1500" s="143" t="n">
        <v>44964</v>
      </c>
      <c r="B1500" s="94" t="n">
        <v>2023</v>
      </c>
      <c r="C1500" s="94" t="inlineStr">
        <is>
          <t>2023-Q1</t>
        </is>
      </c>
      <c r="D1500" s="186" t="n">
        <v>22786.4830063877</v>
      </c>
      <c r="E1500" s="188" t="n">
        <v>438726385719.162</v>
      </c>
      <c r="F1500" s="188" t="n">
        <v>33963650031.4704</v>
      </c>
    </row>
    <row r="1501" ht="15" customHeight="1" s="95">
      <c r="A1501" s="143" t="n">
        <v>44965</v>
      </c>
      <c r="B1501" s="94" t="n">
        <v>2023</v>
      </c>
      <c r="C1501" s="94" t="inlineStr">
        <is>
          <t>2023-Q1</t>
        </is>
      </c>
      <c r="D1501" s="186" t="n">
        <v>23294.9136483527</v>
      </c>
      <c r="E1501" s="188" t="n">
        <v>449391195299.203</v>
      </c>
      <c r="F1501" s="188" t="n">
        <v>38850594358.6995</v>
      </c>
    </row>
    <row r="1502" ht="15" customHeight="1" s="95">
      <c r="A1502" s="143" t="n">
        <v>44966</v>
      </c>
      <c r="B1502" s="94" t="n">
        <v>2023</v>
      </c>
      <c r="C1502" s="94" t="inlineStr">
        <is>
          <t>2023-Q1</t>
        </is>
      </c>
      <c r="D1502" s="186" t="n">
        <v>22947.5078285685</v>
      </c>
      <c r="E1502" s="188" t="n">
        <v>442518382691.655</v>
      </c>
      <c r="F1502" s="188" t="n">
        <v>34247782005.7933</v>
      </c>
    </row>
    <row r="1503" ht="15" customHeight="1" s="95">
      <c r="A1503" s="143" t="n">
        <v>44967</v>
      </c>
      <c r="B1503" s="94" t="n">
        <v>2023</v>
      </c>
      <c r="C1503" s="94" t="inlineStr">
        <is>
          <t>2023-Q1</t>
        </is>
      </c>
      <c r="D1503" s="186" t="n">
        <v>21820.8865080928</v>
      </c>
      <c r="E1503" s="188" t="n">
        <v>420790678627.774</v>
      </c>
      <c r="F1503" s="188" t="n">
        <v>51161546272.3519</v>
      </c>
    </row>
    <row r="1504" ht="15" customHeight="1" s="95">
      <c r="A1504" s="143" t="n">
        <v>44968</v>
      </c>
      <c r="B1504" s="94" t="n">
        <v>2023</v>
      </c>
      <c r="C1504" s="94" t="inlineStr">
        <is>
          <t>2023-Q1</t>
        </is>
      </c>
      <c r="D1504" s="186" t="n">
        <v>21630.1329795763</v>
      </c>
      <c r="E1504" s="188" t="n">
        <v>417351358181.019</v>
      </c>
      <c r="F1504" s="188" t="n">
        <v>42389972640.4481</v>
      </c>
    </row>
    <row r="1505" ht="15" customHeight="1" s="95">
      <c r="A1505" s="143" t="n">
        <v>44969</v>
      </c>
      <c r="B1505" s="94" t="n">
        <v>2023</v>
      </c>
      <c r="C1505" s="94" t="inlineStr">
        <is>
          <t>2023-Q1</t>
        </is>
      </c>
      <c r="D1505" s="186" t="n">
        <v>21889.4320800496</v>
      </c>
      <c r="E1505" s="188" t="n">
        <v>422107650473.78</v>
      </c>
      <c r="F1505" s="188" t="n">
        <v>23574706405.8385</v>
      </c>
    </row>
    <row r="1506" ht="15" customHeight="1" s="95">
      <c r="A1506" s="143" t="n">
        <v>44970</v>
      </c>
      <c r="B1506" s="94" t="n">
        <v>2023</v>
      </c>
      <c r="C1506" s="94" t="inlineStr">
        <is>
          <t>2023-Q1</t>
        </is>
      </c>
      <c r="D1506" s="186" t="n">
        <v>21779.8744038442</v>
      </c>
      <c r="E1506" s="188" t="n">
        <v>420218240428.131</v>
      </c>
      <c r="F1506" s="188" t="n">
        <v>25877166000.5503</v>
      </c>
    </row>
    <row r="1507" ht="15" customHeight="1" s="95">
      <c r="A1507" s="143" t="n">
        <v>44971</v>
      </c>
      <c r="B1507" s="94" t="n">
        <v>2023</v>
      </c>
      <c r="C1507" s="94" t="inlineStr">
        <is>
          <t>2023-Q1</t>
        </is>
      </c>
      <c r="D1507" s="186" t="n">
        <v>21807.8342747231</v>
      </c>
      <c r="E1507" s="188" t="n">
        <v>420838871938.827</v>
      </c>
      <c r="F1507" s="188" t="n">
        <v>36761909546.144</v>
      </c>
    </row>
    <row r="1508" ht="15" customHeight="1" s="95">
      <c r="A1508" s="143" t="n">
        <v>44972</v>
      </c>
      <c r="B1508" s="94" t="n">
        <v>2023</v>
      </c>
      <c r="C1508" s="94" t="inlineStr">
        <is>
          <t>2023-Q1</t>
        </is>
      </c>
      <c r="D1508" s="186" t="n">
        <v>22220.0709974811</v>
      </c>
      <c r="E1508" s="188" t="n">
        <v>428649056117.732</v>
      </c>
      <c r="F1508" s="188" t="n">
        <v>45363697019.7375</v>
      </c>
    </row>
    <row r="1509" ht="15" customHeight="1" s="95">
      <c r="A1509" s="143" t="n">
        <v>44973</v>
      </c>
      <c r="B1509" s="94" t="n">
        <v>2023</v>
      </c>
      <c r="C1509" s="94" t="inlineStr">
        <is>
          <t>2023-Q1</t>
        </is>
      </c>
      <c r="D1509" s="186" t="n">
        <v>24307.8751016316</v>
      </c>
      <c r="E1509" s="188" t="n">
        <v>468820317786.953</v>
      </c>
      <c r="F1509" s="188" t="n">
        <v>44336284482.1902</v>
      </c>
    </row>
    <row r="1510" ht="15" customHeight="1" s="95">
      <c r="A1510" s="143" t="n">
        <v>44974</v>
      </c>
      <c r="B1510" s="94" t="n">
        <v>2023</v>
      </c>
      <c r="C1510" s="94" t="inlineStr">
        <is>
          <t>2023-Q1</t>
        </is>
      </c>
      <c r="D1510" s="186" t="n">
        <v>23756.9072815774</v>
      </c>
      <c r="E1510" s="188" t="n">
        <v>459293697174.946</v>
      </c>
      <c r="F1510" s="188" t="n">
        <v>48144978044.4555</v>
      </c>
    </row>
    <row r="1511" ht="15" customHeight="1" s="95">
      <c r="A1511" s="143" t="n">
        <v>44975</v>
      </c>
      <c r="B1511" s="94" t="n">
        <v>2023</v>
      </c>
      <c r="C1511" s="94" t="inlineStr">
        <is>
          <t>2023-Q1</t>
        </is>
      </c>
      <c r="D1511" s="186" t="n">
        <v>24628.8245521731</v>
      </c>
      <c r="E1511" s="188" t="n">
        <v>475194230168.1</v>
      </c>
      <c r="F1511" s="188" t="n">
        <v>54200707340.9414</v>
      </c>
    </row>
    <row r="1512" ht="15" customHeight="1" s="95">
      <c r="A1512" s="143" t="n">
        <v>44976</v>
      </c>
      <c r="B1512" s="94" t="n">
        <v>2023</v>
      </c>
      <c r="C1512" s="94" t="inlineStr">
        <is>
          <t>2023-Q1</t>
        </is>
      </c>
      <c r="D1512" s="186" t="n">
        <v>24642.7908707384</v>
      </c>
      <c r="E1512" s="188" t="n">
        <v>475529620771.949</v>
      </c>
      <c r="F1512" s="188" t="n">
        <v>24900444765.277</v>
      </c>
    </row>
    <row r="1513" ht="15" customHeight="1" s="95">
      <c r="A1513" s="143" t="n">
        <v>44977</v>
      </c>
      <c r="B1513" s="94" t="n">
        <v>2023</v>
      </c>
      <c r="C1513" s="94" t="inlineStr">
        <is>
          <t>2023-Q1</t>
        </is>
      </c>
      <c r="D1513" s="186" t="n">
        <v>24284.4780037147</v>
      </c>
      <c r="E1513" s="188" t="n">
        <v>470798520570.044</v>
      </c>
      <c r="F1513" s="188" t="n">
        <v>33664683478.3326</v>
      </c>
    </row>
    <row r="1514" ht="15" customHeight="1" s="95">
      <c r="A1514" s="143" t="n">
        <v>44978</v>
      </c>
      <c r="B1514" s="94" t="n">
        <v>2023</v>
      </c>
      <c r="C1514" s="94" t="inlineStr">
        <is>
          <t>2023-Q1</t>
        </is>
      </c>
      <c r="D1514" s="186" t="n">
        <v>24786.6659408457</v>
      </c>
      <c r="E1514" s="188" t="n">
        <v>478236525469.65</v>
      </c>
      <c r="F1514" s="188" t="n">
        <v>38997046274.4973</v>
      </c>
    </row>
    <row r="1515" ht="15" customHeight="1" s="95">
      <c r="A1515" s="143" t="n">
        <v>44979</v>
      </c>
      <c r="B1515" s="94" t="n">
        <v>2023</v>
      </c>
      <c r="C1515" s="94" t="inlineStr">
        <is>
          <t>2023-Q1</t>
        </is>
      </c>
      <c r="D1515" s="186" t="n">
        <v>24417.3870363095</v>
      </c>
      <c r="E1515" s="188" t="n">
        <v>470623925511.179</v>
      </c>
      <c r="F1515" s="188" t="n">
        <v>41991954878.4476</v>
      </c>
    </row>
    <row r="1516" ht="15" customHeight="1" s="95">
      <c r="A1516" s="143" t="n">
        <v>44980</v>
      </c>
      <c r="B1516" s="94" t="n">
        <v>2023</v>
      </c>
      <c r="C1516" s="94" t="inlineStr">
        <is>
          <t>2023-Q1</t>
        </is>
      </c>
      <c r="D1516" s="186" t="n">
        <v>24146.1013645452</v>
      </c>
      <c r="E1516" s="188" t="n">
        <v>465998918250.245</v>
      </c>
      <c r="F1516" s="188" t="n">
        <v>40336608135.497</v>
      </c>
    </row>
    <row r="1517" ht="15" customHeight="1" s="95">
      <c r="A1517" s="143" t="n">
        <v>44981</v>
      </c>
      <c r="B1517" s="94" t="n">
        <v>2023</v>
      </c>
      <c r="C1517" s="94" t="inlineStr">
        <is>
          <t>2023-Q1</t>
        </is>
      </c>
      <c r="D1517" s="186" t="n">
        <v>23951.1109842333</v>
      </c>
      <c r="E1517" s="188" t="n">
        <v>461042830140.077</v>
      </c>
      <c r="F1517" s="188" t="n">
        <v>42356618035.3496</v>
      </c>
    </row>
    <row r="1518" ht="15" customHeight="1" s="95">
      <c r="A1518" s="143" t="n">
        <v>44982</v>
      </c>
      <c r="B1518" s="94" t="n">
        <v>2023</v>
      </c>
      <c r="C1518" s="94" t="inlineStr">
        <is>
          <t>2023-Q1</t>
        </is>
      </c>
      <c r="D1518" s="186" t="n">
        <v>23172.2865380189</v>
      </c>
      <c r="E1518" s="188" t="n">
        <v>447316067422.047</v>
      </c>
      <c r="F1518" s="188" t="n">
        <v>35081974267.08</v>
      </c>
    </row>
    <row r="1519" ht="15" customHeight="1" s="95">
      <c r="A1519" s="143" t="n">
        <v>44983</v>
      </c>
      <c r="B1519" s="94" t="n">
        <v>2023</v>
      </c>
      <c r="C1519" s="94" t="inlineStr">
        <is>
          <t>2023-Q1</t>
        </is>
      </c>
      <c r="D1519" s="186" t="n">
        <v>23157.0381074595</v>
      </c>
      <c r="E1519" s="188" t="n">
        <v>447030240435.999</v>
      </c>
      <c r="F1519" s="188" t="n">
        <v>22999909593.1094</v>
      </c>
    </row>
    <row r="1520" ht="15" customHeight="1" s="95">
      <c r="A1520" s="143" t="n">
        <v>44984</v>
      </c>
      <c r="B1520" s="94" t="n">
        <v>2023</v>
      </c>
      <c r="C1520" s="94" t="inlineStr">
        <is>
          <t>2023-Q1</t>
        </is>
      </c>
      <c r="D1520" s="186" t="n">
        <v>23541.1158544936</v>
      </c>
      <c r="E1520" s="188" t="n">
        <v>454284528651.502</v>
      </c>
      <c r="F1520" s="188" t="n">
        <v>24469102669.3711</v>
      </c>
    </row>
    <row r="1521" ht="15" customHeight="1" s="95">
      <c r="A1521" s="143" t="n">
        <v>44985</v>
      </c>
      <c r="B1521" s="94" t="n">
        <v>2023</v>
      </c>
      <c r="C1521" s="94" t="inlineStr">
        <is>
          <t>2023-Q1</t>
        </is>
      </c>
      <c r="D1521" s="186" t="n">
        <v>23518.1239062759</v>
      </c>
      <c r="E1521" s="188" t="n">
        <v>454364917718.867</v>
      </c>
      <c r="F1521" s="188" t="n">
        <v>28832423816.4787</v>
      </c>
    </row>
    <row r="1522" ht="15" customHeight="1" s="95">
      <c r="A1522" s="143" t="n">
        <v>44986</v>
      </c>
      <c r="B1522" s="94" t="n">
        <v>2023</v>
      </c>
      <c r="C1522" s="94" t="inlineStr">
        <is>
          <t>2023-Q1</t>
        </is>
      </c>
      <c r="D1522" s="186" t="n">
        <v>23155.5437468258</v>
      </c>
      <c r="E1522" s="188" t="n">
        <v>446010055987.857</v>
      </c>
      <c r="F1522" s="188" t="n">
        <v>25534054046.0668</v>
      </c>
    </row>
    <row r="1523" ht="15" customHeight="1" s="95">
      <c r="A1523" s="143" t="n">
        <v>44987</v>
      </c>
      <c r="B1523" s="94" t="n">
        <v>2023</v>
      </c>
      <c r="C1523" s="94" t="inlineStr">
        <is>
          <t>2023-Q1</t>
        </is>
      </c>
      <c r="D1523" s="186" t="n">
        <v>23634.3334891238</v>
      </c>
      <c r="E1523" s="188" t="n">
        <v>456417315966.719</v>
      </c>
      <c r="F1523" s="188" t="n">
        <v>32507897259.0843</v>
      </c>
    </row>
    <row r="1524" ht="15" customHeight="1" s="95">
      <c r="A1524" s="143" t="n">
        <v>44988</v>
      </c>
      <c r="B1524" s="94" t="n">
        <v>2023</v>
      </c>
      <c r="C1524" s="94" t="inlineStr">
        <is>
          <t>2023-Q1</t>
        </is>
      </c>
      <c r="D1524" s="186" t="n">
        <v>23464.3365418528</v>
      </c>
      <c r="E1524" s="188" t="n">
        <v>453067155320.853</v>
      </c>
      <c r="F1524" s="188" t="n">
        <v>27432755758.4402</v>
      </c>
    </row>
    <row r="1525" ht="15" customHeight="1" s="95">
      <c r="A1525" s="143" t="n">
        <v>44989</v>
      </c>
      <c r="B1525" s="94" t="n">
        <v>2023</v>
      </c>
      <c r="C1525" s="94" t="inlineStr">
        <is>
          <t>2023-Q1</t>
        </is>
      </c>
      <c r="D1525" s="186" t="n">
        <v>22367.4330224697</v>
      </c>
      <c r="E1525" s="188" t="n">
        <v>431727585101.15</v>
      </c>
      <c r="F1525" s="188" t="n">
        <v>34239649135.0702</v>
      </c>
    </row>
    <row r="1526" ht="15" customHeight="1" s="95">
      <c r="A1526" s="143" t="n">
        <v>44990</v>
      </c>
      <c r="B1526" s="94" t="n">
        <v>2023</v>
      </c>
      <c r="C1526" s="94" t="inlineStr">
        <is>
          <t>2023-Q1</t>
        </is>
      </c>
      <c r="D1526" s="186" t="n">
        <v>22348.3299153882</v>
      </c>
      <c r="E1526" s="188" t="n">
        <v>431837491811.494</v>
      </c>
      <c r="F1526" s="188" t="n">
        <v>13392431931.9304</v>
      </c>
    </row>
    <row r="1527" ht="15" customHeight="1" s="95">
      <c r="A1527" s="143" t="n">
        <v>44991</v>
      </c>
      <c r="B1527" s="94" t="n">
        <v>2023</v>
      </c>
      <c r="C1527" s="94" t="inlineStr">
        <is>
          <t>2023-Q1</t>
        </is>
      </c>
      <c r="D1527" s="186" t="n">
        <v>22421.8858058533</v>
      </c>
      <c r="E1527" s="188" t="n">
        <v>433081135066.395</v>
      </c>
      <c r="F1527" s="188" t="n">
        <v>16080097920.1608</v>
      </c>
    </row>
    <row r="1528" ht="15" customHeight="1" s="95">
      <c r="A1528" s="143" t="n">
        <v>44992</v>
      </c>
      <c r="B1528" s="94" t="n">
        <v>2023</v>
      </c>
      <c r="C1528" s="94" t="inlineStr">
        <is>
          <t>2023-Q1</t>
        </is>
      </c>
      <c r="D1528" s="186" t="n">
        <v>22415.1136596948</v>
      </c>
      <c r="E1528" s="188" t="n">
        <v>432758824798.31</v>
      </c>
      <c r="F1528" s="188" t="n">
        <v>21124920006.0577</v>
      </c>
    </row>
    <row r="1529" ht="15" customHeight="1" s="95">
      <c r="A1529" s="143" t="n">
        <v>44993</v>
      </c>
      <c r="B1529" s="94" t="n">
        <v>2023</v>
      </c>
      <c r="C1529" s="94" t="inlineStr">
        <is>
          <t>2023-Q1</t>
        </is>
      </c>
      <c r="D1529" s="186" t="n">
        <v>22217.2098849053</v>
      </c>
      <c r="E1529" s="188" t="n">
        <v>427994888566.542</v>
      </c>
      <c r="F1529" s="188" t="n">
        <v>27780357943.1627</v>
      </c>
    </row>
    <row r="1530" ht="15" customHeight="1" s="95">
      <c r="A1530" s="143" t="n">
        <v>44994</v>
      </c>
      <c r="B1530" s="94" t="n">
        <v>2023</v>
      </c>
      <c r="C1530" s="94" t="inlineStr">
        <is>
          <t>2023-Q1</t>
        </is>
      </c>
      <c r="D1530" s="186" t="n">
        <v>21712.6511939127</v>
      </c>
      <c r="E1530" s="188" t="n">
        <v>419694984165.382</v>
      </c>
      <c r="F1530" s="188" t="n">
        <v>28493032424.7831</v>
      </c>
    </row>
    <row r="1531" ht="15" customHeight="1" s="95">
      <c r="A1531" s="143" t="n">
        <v>44995</v>
      </c>
      <c r="B1531" s="94" t="n">
        <v>2023</v>
      </c>
      <c r="C1531" s="94" t="inlineStr">
        <is>
          <t>2023-Q1</t>
        </is>
      </c>
      <c r="D1531" s="186" t="n">
        <v>20376.3200074288</v>
      </c>
      <c r="E1531" s="188" t="n">
        <v>392841773384.44</v>
      </c>
      <c r="F1531" s="188" t="n">
        <v>40173833477.6608</v>
      </c>
    </row>
    <row r="1532" ht="15" customHeight="1" s="95">
      <c r="A1532" s="143" t="n">
        <v>44996</v>
      </c>
      <c r="B1532" s="94" t="n">
        <v>2023</v>
      </c>
      <c r="C1532" s="94" t="inlineStr">
        <is>
          <t>2023-Q1</t>
        </is>
      </c>
      <c r="D1532" s="186" t="n">
        <v>20195.2289502733</v>
      </c>
      <c r="E1532" s="188" t="n">
        <v>390202255053.335</v>
      </c>
      <c r="F1532" s="188" t="n">
        <v>51593890225.4874</v>
      </c>
    </row>
    <row r="1533" ht="15" customHeight="1" s="95">
      <c r="A1533" s="143" t="n">
        <v>44997</v>
      </c>
      <c r="B1533" s="94" t="n">
        <v>2023</v>
      </c>
      <c r="C1533" s="94" t="inlineStr">
        <is>
          <t>2023-Q1</t>
        </is>
      </c>
      <c r="D1533" s="186" t="n">
        <v>20521.5561517512</v>
      </c>
      <c r="E1533" s="188" t="n">
        <v>394742728281.989</v>
      </c>
      <c r="F1533" s="188" t="n">
        <v>37746654239.6172</v>
      </c>
    </row>
    <row r="1534" ht="15" customHeight="1" s="95">
      <c r="A1534" s="143" t="n">
        <v>44998</v>
      </c>
      <c r="B1534" s="94" t="n">
        <v>2023</v>
      </c>
      <c r="C1534" s="94" t="inlineStr">
        <is>
          <t>2023-Q1</t>
        </is>
      </c>
      <c r="D1534" s="186" t="n">
        <v>22095.7133983357</v>
      </c>
      <c r="E1534" s="188" t="n">
        <v>425816781283.928</v>
      </c>
      <c r="F1534" s="188" t="n">
        <v>36639901908.824</v>
      </c>
    </row>
    <row r="1535" ht="15" customHeight="1" s="95">
      <c r="A1535" s="143" t="n">
        <v>44999</v>
      </c>
      <c r="B1535" s="94" t="n">
        <v>2023</v>
      </c>
      <c r="C1535" s="94" t="inlineStr">
        <is>
          <t>2023-Q1</t>
        </is>
      </c>
      <c r="D1535" s="186" t="n">
        <v>24178.9553279747</v>
      </c>
      <c r="E1535" s="188" t="n">
        <v>466509005562.782</v>
      </c>
      <c r="F1535" s="188" t="n">
        <v>66799159801.9581</v>
      </c>
    </row>
    <row r="1536" ht="15" customHeight="1" s="95">
      <c r="A1536" s="143" t="n">
        <v>45000</v>
      </c>
      <c r="B1536" s="94" t="n">
        <v>2023</v>
      </c>
      <c r="C1536" s="94" t="inlineStr">
        <is>
          <t>2023-Q1</t>
        </is>
      </c>
      <c r="D1536" s="186" t="n">
        <v>24758.7650858276</v>
      </c>
      <c r="E1536" s="188" t="n">
        <v>478406045309.609</v>
      </c>
      <c r="F1536" s="188" t="n">
        <v>70714394276.3707</v>
      </c>
    </row>
    <row r="1537" ht="15" customHeight="1" s="95">
      <c r="A1537" s="143" t="n">
        <v>45001</v>
      </c>
      <c r="B1537" s="94" t="n">
        <v>2023</v>
      </c>
      <c r="C1537" s="94" t="inlineStr">
        <is>
          <t>2023-Q1</t>
        </is>
      </c>
      <c r="D1537" s="186" t="n">
        <v>24470.8820544503</v>
      </c>
      <c r="E1537" s="188" t="n">
        <v>472833547484.081</v>
      </c>
      <c r="F1537" s="188" t="n">
        <v>63107437928.814</v>
      </c>
    </row>
    <row r="1538" ht="15" customHeight="1" s="95">
      <c r="A1538" s="143" t="n">
        <v>45002</v>
      </c>
      <c r="B1538" s="94" t="n">
        <v>2023</v>
      </c>
      <c r="C1538" s="94" t="inlineStr">
        <is>
          <t>2023-Q1</t>
        </is>
      </c>
      <c r="D1538" s="186" t="n">
        <v>25161.2720175201</v>
      </c>
      <c r="E1538" s="188" t="n">
        <v>486375597562.799</v>
      </c>
      <c r="F1538" s="188" t="n">
        <v>60688056874.8142</v>
      </c>
    </row>
    <row r="1539" ht="15" customHeight="1" s="95">
      <c r="A1539" s="143" t="n">
        <v>45003</v>
      </c>
      <c r="B1539" s="94" t="n">
        <v>2023</v>
      </c>
      <c r="C1539" s="94" t="inlineStr">
        <is>
          <t>2023-Q1</t>
        </is>
      </c>
      <c r="D1539" s="186" t="n">
        <v>27466.6778298299</v>
      </c>
      <c r="E1539" s="188" t="n">
        <v>530038219067.333</v>
      </c>
      <c r="F1539" s="188" t="n">
        <v>64617615617.8016</v>
      </c>
    </row>
    <row r="1540" ht="15" customHeight="1" s="95">
      <c r="A1540" s="143" t="n">
        <v>45004</v>
      </c>
      <c r="B1540" s="94" t="n">
        <v>2023</v>
      </c>
      <c r="C1540" s="94" t="inlineStr">
        <is>
          <t>2023-Q1</t>
        </is>
      </c>
      <c r="D1540" s="186" t="n">
        <v>27107.7921835044</v>
      </c>
      <c r="E1540" s="188" t="n">
        <v>523262280970.148</v>
      </c>
      <c r="F1540" s="188" t="n">
        <v>46473651090.5784</v>
      </c>
    </row>
    <row r="1541" ht="15" customHeight="1" s="95">
      <c r="A1541" s="143" t="n">
        <v>45005</v>
      </c>
      <c r="B1541" s="94" t="n">
        <v>2023</v>
      </c>
      <c r="C1541" s="94" t="inlineStr">
        <is>
          <t>2023-Q1</t>
        </is>
      </c>
      <c r="D1541" s="186" t="n">
        <v>28186.8426523601</v>
      </c>
      <c r="E1541" s="188" t="n">
        <v>546680822196.216</v>
      </c>
      <c r="F1541" s="188" t="n">
        <v>46394763656.0382</v>
      </c>
    </row>
    <row r="1542" ht="15" customHeight="1" s="95">
      <c r="A1542" s="143" t="n">
        <v>45006</v>
      </c>
      <c r="B1542" s="94" t="n">
        <v>2023</v>
      </c>
      <c r="C1542" s="94" t="inlineStr">
        <is>
          <t>2023-Q1</t>
        </is>
      </c>
      <c r="D1542" s="186" t="n">
        <v>27929.1677331403</v>
      </c>
      <c r="E1542" s="188" t="n">
        <v>538935400013.356</v>
      </c>
      <c r="F1542" s="188" t="n">
        <v>55315948514.427</v>
      </c>
    </row>
    <row r="1543" ht="15" customHeight="1" s="95">
      <c r="A1543" s="143" t="n">
        <v>45007</v>
      </c>
      <c r="B1543" s="94" t="n">
        <v>2023</v>
      </c>
      <c r="C1543" s="94" t="inlineStr">
        <is>
          <t>2023-Q1</t>
        </is>
      </c>
      <c r="D1543" s="186" t="n">
        <v>28264.2396105224</v>
      </c>
      <c r="E1543" s="188" t="n">
        <v>545917428270.106</v>
      </c>
      <c r="F1543" s="188" t="n">
        <v>34430928756.2718</v>
      </c>
    </row>
    <row r="1544" ht="15" customHeight="1" s="95">
      <c r="A1544" s="143" t="n">
        <v>45008</v>
      </c>
      <c r="B1544" s="94" t="n">
        <v>2023</v>
      </c>
      <c r="C1544" s="94" t="inlineStr">
        <is>
          <t>2023-Q1</t>
        </is>
      </c>
      <c r="D1544" s="186" t="n">
        <v>27449.2548308074</v>
      </c>
      <c r="E1544" s="188" t="n">
        <v>530515158753.954</v>
      </c>
      <c r="F1544" s="188" t="n">
        <v>35394833933.5018</v>
      </c>
    </row>
    <row r="1545" ht="15" customHeight="1" s="95">
      <c r="A1545" s="143" t="n">
        <v>45009</v>
      </c>
      <c r="B1545" s="94" t="n">
        <v>2023</v>
      </c>
      <c r="C1545" s="94" t="inlineStr">
        <is>
          <t>2023-Q1</t>
        </is>
      </c>
      <c r="D1545" s="186" t="n">
        <v>28459.7351135525</v>
      </c>
      <c r="E1545" s="188" t="n">
        <v>549578396178.634</v>
      </c>
      <c r="F1545" s="188" t="n">
        <v>20360807194.5634</v>
      </c>
    </row>
    <row r="1546" ht="15" customHeight="1" s="95">
      <c r="A1546" s="143" t="n">
        <v>45010</v>
      </c>
      <c r="B1546" s="94" t="n">
        <v>2023</v>
      </c>
      <c r="C1546" s="94" t="inlineStr">
        <is>
          <t>2023-Q1</t>
        </is>
      </c>
      <c r="D1546" s="186" t="n">
        <v>27595.4947483755</v>
      </c>
      <c r="E1546" s="188" t="n">
        <v>533634255119.376</v>
      </c>
      <c r="F1546" s="188" t="n">
        <v>21551272690.4136</v>
      </c>
    </row>
    <row r="1547" ht="15" customHeight="1" s="95">
      <c r="A1547" s="143" t="n">
        <v>45011</v>
      </c>
      <c r="B1547" s="94" t="n">
        <v>2023</v>
      </c>
      <c r="C1547" s="94" t="inlineStr">
        <is>
          <t>2023-Q1</t>
        </is>
      </c>
      <c r="D1547" s="186" t="n">
        <v>27670.1994984968</v>
      </c>
      <c r="E1547" s="188" t="n">
        <v>534960802333.311</v>
      </c>
      <c r="F1547" s="188" t="n">
        <v>15053754845.3139</v>
      </c>
    </row>
    <row r="1548" ht="15" customHeight="1" s="95">
      <c r="A1548" s="143" t="n">
        <v>45012</v>
      </c>
      <c r="B1548" s="94" t="n">
        <v>2023</v>
      </c>
      <c r="C1548" s="94" t="inlineStr">
        <is>
          <t>2023-Q1</t>
        </is>
      </c>
      <c r="D1548" s="186" t="n">
        <v>28048.469978535</v>
      </c>
      <c r="E1548" s="188" t="n">
        <v>542675619058.78</v>
      </c>
      <c r="F1548" s="188" t="n">
        <v>14450374261.0638</v>
      </c>
    </row>
    <row r="1549" ht="15" customHeight="1" s="95">
      <c r="A1549" s="143" t="n">
        <v>45013</v>
      </c>
      <c r="B1549" s="94" t="n">
        <v>2023</v>
      </c>
      <c r="C1549" s="94" t="inlineStr">
        <is>
          <t>2023-Q1</t>
        </is>
      </c>
      <c r="D1549" s="186" t="n">
        <v>27182.2995599505</v>
      </c>
      <c r="E1549" s="188" t="n">
        <v>525230880103.138</v>
      </c>
      <c r="F1549" s="188" t="n">
        <v>18519053231.6373</v>
      </c>
    </row>
    <row r="1550" ht="15" customHeight="1" s="95">
      <c r="A1550" s="143" t="n">
        <v>45014</v>
      </c>
      <c r="B1550" s="94" t="n">
        <v>2023</v>
      </c>
      <c r="C1550" s="94" t="inlineStr">
        <is>
          <t>2023-Q1</t>
        </is>
      </c>
      <c r="D1550" s="186" t="n">
        <v>27291.3500210497</v>
      </c>
      <c r="E1550" s="188" t="n">
        <v>528042785008.983</v>
      </c>
      <c r="F1550" s="188" t="n">
        <v>17658503318.9105</v>
      </c>
    </row>
    <row r="1551" ht="15" customHeight="1" s="95">
      <c r="A1551" s="143" t="n">
        <v>45015</v>
      </c>
      <c r="B1551" s="94" t="n">
        <v>2023</v>
      </c>
      <c r="C1551" s="94" t="inlineStr">
        <is>
          <t>2023-Q1</t>
        </is>
      </c>
      <c r="D1551" s="186" t="n">
        <v>28394.9977801991</v>
      </c>
      <c r="E1551" s="188" t="n">
        <v>548808373530.057</v>
      </c>
      <c r="F1551" s="188" t="n">
        <v>21097595427.4895</v>
      </c>
    </row>
    <row r="1552" ht="15" customHeight="1" s="95">
      <c r="A1552" s="143" t="n">
        <v>45016</v>
      </c>
      <c r="B1552" s="94" t="n">
        <v>2023</v>
      </c>
      <c r="C1552" s="94" t="inlineStr">
        <is>
          <t>2023-Q1</t>
        </is>
      </c>
      <c r="D1552" s="186" t="n">
        <v>28041.1230800883</v>
      </c>
      <c r="E1552" s="188" t="n">
        <v>542369769760.288</v>
      </c>
      <c r="F1552" s="188" t="n">
        <v>22702531379.3504</v>
      </c>
    </row>
    <row r="1553" ht="15" customHeight="1" s="95">
      <c r="A1553" s="143" t="n">
        <v>45017</v>
      </c>
      <c r="B1553" s="94" t="n">
        <v>2023</v>
      </c>
      <c r="C1553" s="94" t="inlineStr">
        <is>
          <t>2023-Q2</t>
        </is>
      </c>
      <c r="D1553" s="186" t="n">
        <v>28516.7847296886</v>
      </c>
      <c r="E1553" s="188" t="n">
        <v>551707238559.876</v>
      </c>
      <c r="F1553" s="188" t="n">
        <v>19112345639.9622</v>
      </c>
    </row>
    <row r="1554" ht="15" customHeight="1" s="95">
      <c r="A1554" s="143" t="n">
        <v>45018</v>
      </c>
      <c r="B1554" s="94" t="n">
        <v>2023</v>
      </c>
      <c r="C1554" s="94" t="inlineStr">
        <is>
          <t>2023-Q2</t>
        </is>
      </c>
      <c r="D1554" s="186" t="n">
        <v>28498.9446330486</v>
      </c>
      <c r="E1554" s="188" t="n">
        <v>550949831049.395</v>
      </c>
      <c r="F1554" s="188" t="n">
        <v>10085380788.8709</v>
      </c>
    </row>
    <row r="1555" ht="15" customHeight="1" s="95">
      <c r="A1555" s="143" t="n">
        <v>45019</v>
      </c>
      <c r="B1555" s="94" t="n">
        <v>2023</v>
      </c>
      <c r="C1555" s="94" t="inlineStr">
        <is>
          <t>2023-Q2</t>
        </is>
      </c>
      <c r="D1555" s="186" t="n">
        <v>28236.5087389398</v>
      </c>
      <c r="E1555" s="188" t="n">
        <v>545181408318.221</v>
      </c>
      <c r="F1555" s="188" t="n">
        <v>11682876586.8145</v>
      </c>
    </row>
    <row r="1556" ht="15" customHeight="1" s="95">
      <c r="A1556" s="143" t="n">
        <v>45020</v>
      </c>
      <c r="B1556" s="94" t="n">
        <v>2023</v>
      </c>
      <c r="C1556" s="94" t="inlineStr">
        <is>
          <t>2023-Q2</t>
        </is>
      </c>
      <c r="D1556" s="186" t="n">
        <v>27815.426531248</v>
      </c>
      <c r="E1556" s="188" t="n">
        <v>539350908801.928</v>
      </c>
      <c r="F1556" s="188" t="n">
        <v>19711493345.476</v>
      </c>
    </row>
    <row r="1557" ht="15" customHeight="1" s="95">
      <c r="A1557" s="143" t="n">
        <v>45021</v>
      </c>
      <c r="B1557" s="94" t="n">
        <v>2023</v>
      </c>
      <c r="C1557" s="94" t="inlineStr">
        <is>
          <t>2023-Q2</t>
        </is>
      </c>
      <c r="D1557" s="186" t="n">
        <v>28175.3303342154</v>
      </c>
      <c r="E1557" s="188" t="n">
        <v>544313567953.401</v>
      </c>
      <c r="F1557" s="188" t="n">
        <v>14871614372.8311</v>
      </c>
    </row>
    <row r="1558" ht="15" customHeight="1" s="95">
      <c r="A1558" s="143" t="n">
        <v>45022</v>
      </c>
      <c r="B1558" s="94" t="n">
        <v>2023</v>
      </c>
      <c r="C1558" s="94" t="inlineStr">
        <is>
          <t>2023-Q2</t>
        </is>
      </c>
      <c r="D1558" s="186" t="n">
        <v>28197.2003412456</v>
      </c>
      <c r="E1558" s="188" t="n">
        <v>545409754928.527</v>
      </c>
      <c r="F1558" s="188" t="n">
        <v>16507617903.814</v>
      </c>
    </row>
    <row r="1559" ht="15" customHeight="1" s="95">
      <c r="A1559" s="143" t="n">
        <v>45023</v>
      </c>
      <c r="B1559" s="94" t="n">
        <v>2023</v>
      </c>
      <c r="C1559" s="94" t="inlineStr">
        <is>
          <t>2023-Q2</t>
        </is>
      </c>
      <c r="D1559" s="186" t="n">
        <v>28042.9833864884</v>
      </c>
      <c r="E1559" s="188" t="n">
        <v>542601176317.444</v>
      </c>
      <c r="F1559" s="188" t="n">
        <v>13079528995.1399</v>
      </c>
    </row>
    <row r="1560" ht="15" customHeight="1" s="95">
      <c r="A1560" s="143" t="n">
        <v>45024</v>
      </c>
      <c r="B1560" s="94" t="n">
        <v>2023</v>
      </c>
      <c r="C1560" s="94" t="inlineStr">
        <is>
          <t>2023-Q2</t>
        </is>
      </c>
      <c r="D1560" s="186" t="n">
        <v>27934.438712849</v>
      </c>
      <c r="E1560" s="188" t="n">
        <v>540432353743.323</v>
      </c>
      <c r="F1560" s="188" t="n">
        <v>10141276803.8939</v>
      </c>
    </row>
    <row r="1561" ht="15" customHeight="1" s="95">
      <c r="A1561" s="143" t="n">
        <v>45025</v>
      </c>
      <c r="B1561" s="94" t="n">
        <v>2023</v>
      </c>
      <c r="C1561" s="94" t="inlineStr">
        <is>
          <t>2023-Q2</t>
        </is>
      </c>
      <c r="D1561" s="186" t="n">
        <v>27968.1280470551</v>
      </c>
      <c r="E1561" s="188" t="n">
        <v>541094458101.447</v>
      </c>
      <c r="F1561" s="188" t="n">
        <v>8844199146.180099</v>
      </c>
    </row>
    <row r="1562" ht="15" customHeight="1" s="95">
      <c r="A1562" s="143" t="n">
        <v>45026</v>
      </c>
      <c r="B1562" s="94" t="n">
        <v>2023</v>
      </c>
      <c r="C1562" s="94" t="inlineStr">
        <is>
          <t>2023-Q2</t>
        </is>
      </c>
      <c r="D1562" s="186" t="n">
        <v>28351.2369938501</v>
      </c>
      <c r="E1562" s="188" t="n">
        <v>548568597244.198</v>
      </c>
      <c r="F1562" s="188" t="n">
        <v>11429030269.7317</v>
      </c>
    </row>
    <row r="1563" ht="15" customHeight="1" s="95">
      <c r="A1563" s="143" t="n">
        <v>45027</v>
      </c>
      <c r="B1563" s="94" t="n">
        <v>2023</v>
      </c>
      <c r="C1563" s="94" t="inlineStr">
        <is>
          <t>2023-Q2</t>
        </is>
      </c>
      <c r="D1563" s="186" t="n">
        <v>29657.9741368736</v>
      </c>
      <c r="E1563" s="188" t="n">
        <v>574059578670.365</v>
      </c>
      <c r="F1563" s="188" t="n">
        <v>17475381731.2519</v>
      </c>
    </row>
    <row r="1564" ht="15" customHeight="1" s="95">
      <c r="A1564" s="143" t="n">
        <v>45028</v>
      </c>
      <c r="B1564" s="94" t="n">
        <v>2023</v>
      </c>
      <c r="C1564" s="94" t="inlineStr">
        <is>
          <t>2023-Q2</t>
        </is>
      </c>
      <c r="D1564" s="186" t="n">
        <v>30260.9361094087</v>
      </c>
      <c r="E1564" s="188" t="n">
        <v>585359301945.26</v>
      </c>
      <c r="F1564" s="188" t="n">
        <v>18320296514.7777</v>
      </c>
    </row>
    <row r="1565" ht="15" customHeight="1" s="95">
      <c r="A1565" s="143" t="n">
        <v>45029</v>
      </c>
      <c r="B1565" s="94" t="n">
        <v>2023</v>
      </c>
      <c r="C1565" s="94" t="inlineStr">
        <is>
          <t>2023-Q2</t>
        </is>
      </c>
      <c r="D1565" s="186" t="n">
        <v>29904.1386947189</v>
      </c>
      <c r="E1565" s="188" t="n">
        <v>578850627447.611</v>
      </c>
      <c r="F1565" s="188" t="n">
        <v>18407698928.0666</v>
      </c>
    </row>
    <row r="1566" ht="15" customHeight="1" s="95">
      <c r="A1566" s="143" t="n">
        <v>45030</v>
      </c>
      <c r="B1566" s="94" t="n">
        <v>2023</v>
      </c>
      <c r="C1566" s="94" t="inlineStr">
        <is>
          <t>2023-Q2</t>
        </is>
      </c>
      <c r="D1566" s="186" t="n">
        <v>30405.0273127812</v>
      </c>
      <c r="E1566" s="188" t="n">
        <v>587939018759.422</v>
      </c>
      <c r="F1566" s="188" t="n">
        <v>16404033694.4738</v>
      </c>
    </row>
    <row r="1567" ht="15" customHeight="1" s="95">
      <c r="A1567" s="143" t="n">
        <v>45031</v>
      </c>
      <c r="B1567" s="94" t="n">
        <v>2023</v>
      </c>
      <c r="C1567" s="94" t="inlineStr">
        <is>
          <t>2023-Q2</t>
        </is>
      </c>
      <c r="D1567" s="186" t="n">
        <v>30468.4087005908</v>
      </c>
      <c r="E1567" s="188" t="n">
        <v>589051372432.549</v>
      </c>
      <c r="F1567" s="188" t="n">
        <v>20984067684.2162</v>
      </c>
    </row>
    <row r="1568" ht="15" customHeight="1" s="95">
      <c r="A1568" s="143" t="n">
        <v>45032</v>
      </c>
      <c r="B1568" s="94" t="n">
        <v>2023</v>
      </c>
      <c r="C1568" s="94" t="inlineStr">
        <is>
          <t>2023-Q2</t>
        </is>
      </c>
      <c r="D1568" s="186" t="n">
        <v>30312.1618796592</v>
      </c>
      <c r="E1568" s="188" t="n">
        <v>586969785778.093</v>
      </c>
      <c r="F1568" s="188" t="n">
        <v>11028264273.1467</v>
      </c>
    </row>
    <row r="1569" ht="15" customHeight="1" s="95">
      <c r="A1569" s="143" t="n">
        <v>45033</v>
      </c>
      <c r="B1569" s="94" t="n">
        <v>2023</v>
      </c>
      <c r="C1569" s="94" t="inlineStr">
        <is>
          <t>2023-Q2</t>
        </is>
      </c>
      <c r="D1569" s="186" t="n">
        <v>30304.8075147858</v>
      </c>
      <c r="E1569" s="188" t="n">
        <v>586268225587.868</v>
      </c>
      <c r="F1569" s="188" t="n">
        <v>11188035367.077</v>
      </c>
    </row>
    <row r="1570" ht="15" customHeight="1" s="95">
      <c r="A1570" s="143" t="n">
        <v>45034</v>
      </c>
      <c r="B1570" s="94" t="n">
        <v>2023</v>
      </c>
      <c r="C1570" s="94" t="inlineStr">
        <is>
          <t>2023-Q2</t>
        </is>
      </c>
      <c r="D1570" s="186" t="n">
        <v>29467.4598292603</v>
      </c>
      <c r="E1570" s="188" t="n">
        <v>569958059900.52</v>
      </c>
      <c r="F1570" s="188" t="n">
        <v>16771824487.5794</v>
      </c>
    </row>
    <row r="1571" ht="15" customHeight="1" s="95">
      <c r="A1571" s="143" t="n">
        <v>45035</v>
      </c>
      <c r="B1571" s="94" t="n">
        <v>2023</v>
      </c>
      <c r="C1571" s="94" t="inlineStr">
        <is>
          <t>2023-Q2</t>
        </is>
      </c>
      <c r="D1571" s="186" t="n">
        <v>30365.9041675414</v>
      </c>
      <c r="E1571" s="188" t="n">
        <v>587730212230.9561</v>
      </c>
      <c r="F1571" s="188" t="n">
        <v>18078539248.521</v>
      </c>
    </row>
    <row r="1572" ht="15" customHeight="1" s="95">
      <c r="A1572" s="143" t="n">
        <v>45036</v>
      </c>
      <c r="B1572" s="94" t="n">
        <v>2023</v>
      </c>
      <c r="C1572" s="94" t="inlineStr">
        <is>
          <t>2023-Q2</t>
        </is>
      </c>
      <c r="D1572" s="186" t="n">
        <v>28833.2175012211</v>
      </c>
      <c r="E1572" s="188" t="n">
        <v>558796473890.5959</v>
      </c>
      <c r="F1572" s="188" t="n">
        <v>24136616861.6364</v>
      </c>
    </row>
    <row r="1573" ht="15" customHeight="1" s="95">
      <c r="A1573" s="143" t="n">
        <v>45037</v>
      </c>
      <c r="B1573" s="94" t="n">
        <v>2023</v>
      </c>
      <c r="C1573" s="94" t="inlineStr">
        <is>
          <t>2023-Q2</t>
        </is>
      </c>
      <c r="D1573" s="186" t="n">
        <v>28255.5782486648</v>
      </c>
      <c r="E1573" s="188" t="n">
        <v>546141074655.376</v>
      </c>
      <c r="F1573" s="188" t="n">
        <v>21695904964.7991</v>
      </c>
    </row>
    <row r="1574" ht="15" customHeight="1" s="95">
      <c r="A1574" s="143" t="n">
        <v>45038</v>
      </c>
      <c r="B1574" s="94" t="n">
        <v>2023</v>
      </c>
      <c r="C1574" s="94" t="inlineStr">
        <is>
          <t>2023-Q2</t>
        </is>
      </c>
      <c r="D1574" s="186" t="n">
        <v>27300.1571285156</v>
      </c>
      <c r="E1574" s="188" t="n">
        <v>528357279464.013</v>
      </c>
      <c r="F1574" s="188" t="n">
        <v>20420333533.7142</v>
      </c>
    </row>
    <row r="1575" ht="15" customHeight="1" s="95">
      <c r="A1575" s="143" t="n">
        <v>45039</v>
      </c>
      <c r="B1575" s="94" t="n">
        <v>2023</v>
      </c>
      <c r="C1575" s="94" t="inlineStr">
        <is>
          <t>2023-Q2</t>
        </is>
      </c>
      <c r="D1575" s="186" t="n">
        <v>27861.6406634766</v>
      </c>
      <c r="E1575" s="188" t="n">
        <v>539454716829.937</v>
      </c>
      <c r="F1575" s="188" t="n">
        <v>11700230849.9681</v>
      </c>
    </row>
    <row r="1576" ht="15" customHeight="1" s="95">
      <c r="A1576" s="143" t="n">
        <v>45040</v>
      </c>
      <c r="B1576" s="94" t="n">
        <v>2023</v>
      </c>
      <c r="C1576" s="94" t="inlineStr">
        <is>
          <t>2023-Q2</t>
        </is>
      </c>
      <c r="D1576" s="186" t="n">
        <v>27606.5783476531</v>
      </c>
      <c r="E1576" s="188" t="n">
        <v>533753154140.255</v>
      </c>
      <c r="F1576" s="188" t="n">
        <v>11435645306.7716</v>
      </c>
    </row>
    <row r="1577" ht="15" customHeight="1" s="95">
      <c r="A1577" s="143" t="n">
        <v>45041</v>
      </c>
      <c r="B1577" s="94" t="n">
        <v>2023</v>
      </c>
      <c r="C1577" s="94" t="inlineStr">
        <is>
          <t>2023-Q2</t>
        </is>
      </c>
      <c r="D1577" s="186" t="n">
        <v>27511.6356821613</v>
      </c>
      <c r="E1577" s="188" t="n">
        <v>532290845181.534</v>
      </c>
      <c r="F1577" s="188" t="n">
        <v>16443099944.6473</v>
      </c>
    </row>
    <row r="1578" ht="15" customHeight="1" s="95">
      <c r="A1578" s="143" t="n">
        <v>45042</v>
      </c>
      <c r="B1578" s="94" t="n">
        <v>2023</v>
      </c>
      <c r="C1578" s="94" t="inlineStr">
        <is>
          <t>2023-Q2</t>
        </is>
      </c>
      <c r="D1578" s="186" t="n">
        <v>28351.218248373</v>
      </c>
      <c r="E1578" s="188" t="n">
        <v>548359667398.652</v>
      </c>
      <c r="F1578" s="188" t="n">
        <v>17061823985.8654</v>
      </c>
    </row>
    <row r="1579" ht="15" customHeight="1" s="95">
      <c r="A1579" s="143" t="n">
        <v>45043</v>
      </c>
      <c r="B1579" s="94" t="n">
        <v>2023</v>
      </c>
      <c r="C1579" s="94" t="inlineStr">
        <is>
          <t>2023-Q2</t>
        </is>
      </c>
      <c r="D1579" s="186" t="n">
        <v>28352.1913205967</v>
      </c>
      <c r="E1579" s="188" t="n">
        <v>548638734338.368</v>
      </c>
      <c r="F1579" s="188" t="n">
        <v>30540034741.2848</v>
      </c>
    </row>
    <row r="1580" ht="15" customHeight="1" s="95">
      <c r="A1580" s="143" t="n">
        <v>45044</v>
      </c>
      <c r="B1580" s="94" t="n">
        <v>2023</v>
      </c>
      <c r="C1580" s="94" t="inlineStr">
        <is>
          <t>2023-Q2</t>
        </is>
      </c>
      <c r="D1580" s="186" t="n">
        <v>29483.5217049919</v>
      </c>
      <c r="E1580" s="188" t="n">
        <v>570258039118.577</v>
      </c>
      <c r="F1580" s="188" t="n">
        <v>26238597379.4995</v>
      </c>
    </row>
    <row r="1581" ht="15" customHeight="1" s="95">
      <c r="A1581" s="143" t="n">
        <v>45045</v>
      </c>
      <c r="B1581" s="94" t="n">
        <v>2023</v>
      </c>
      <c r="C1581" s="94" t="inlineStr">
        <is>
          <t>2023-Q2</t>
        </is>
      </c>
      <c r="D1581" s="186" t="n">
        <v>29339.9949975494</v>
      </c>
      <c r="E1581" s="188" t="n">
        <v>568153896404.974</v>
      </c>
      <c r="F1581" s="188" t="n">
        <v>18730801539.1816</v>
      </c>
    </row>
    <row r="1582" ht="15" customHeight="1" s="95">
      <c r="A1582" s="143" t="n">
        <v>45046</v>
      </c>
      <c r="B1582" s="94" t="n">
        <v>2023</v>
      </c>
      <c r="C1582" s="94" t="inlineStr">
        <is>
          <t>2023-Q2</t>
        </is>
      </c>
      <c r="D1582" s="186" t="n">
        <v>29217.9440468099</v>
      </c>
      <c r="E1582" s="188" t="n">
        <v>565714356650.662</v>
      </c>
      <c r="F1582" s="188" t="n">
        <v>9711415138.82716</v>
      </c>
    </row>
    <row r="1583" ht="15" customHeight="1" s="95">
      <c r="A1583" s="143" t="n">
        <v>45047</v>
      </c>
      <c r="B1583" s="94" t="n">
        <v>2023</v>
      </c>
      <c r="C1583" s="94" t="inlineStr">
        <is>
          <t>2023-Q2</t>
        </is>
      </c>
      <c r="D1583" s="186" t="n">
        <v>29362.0562136254</v>
      </c>
      <c r="E1583" s="188" t="n">
        <v>568513467268.412</v>
      </c>
      <c r="F1583" s="188" t="n">
        <v>14707008604.647</v>
      </c>
    </row>
    <row r="1584" ht="15" customHeight="1" s="95">
      <c r="A1584" s="143" t="n">
        <v>45048</v>
      </c>
      <c r="B1584" s="94" t="n">
        <v>2023</v>
      </c>
      <c r="C1584" s="94" t="inlineStr">
        <is>
          <t>2023-Q2</t>
        </is>
      </c>
      <c r="D1584" s="186" t="n">
        <v>28125.5011556368</v>
      </c>
      <c r="E1584" s="188" t="n">
        <v>544421676291.201</v>
      </c>
      <c r="F1584" s="188" t="n">
        <v>19980169281.009</v>
      </c>
    </row>
    <row r="1585" ht="15" customHeight="1" s="95">
      <c r="A1585" s="143" t="n">
        <v>45049</v>
      </c>
      <c r="B1585" s="94" t="n">
        <v>2023</v>
      </c>
      <c r="C1585" s="94" t="inlineStr">
        <is>
          <t>2023-Q2</t>
        </is>
      </c>
      <c r="D1585" s="186" t="n">
        <v>28654.3901333267</v>
      </c>
      <c r="E1585" s="188" t="n">
        <v>554886795897.937</v>
      </c>
      <c r="F1585" s="188" t="n">
        <v>17699097406.1888</v>
      </c>
    </row>
    <row r="1586" ht="15" customHeight="1" s="95">
      <c r="A1586" s="143" t="n">
        <v>45050</v>
      </c>
      <c r="B1586" s="94" t="n">
        <v>2023</v>
      </c>
      <c r="C1586" s="94" t="inlineStr">
        <is>
          <t>2023-Q2</t>
        </is>
      </c>
      <c r="D1586" s="186" t="n">
        <v>28988.3209962493</v>
      </c>
      <c r="E1586" s="188" t="n">
        <v>561312171794.58</v>
      </c>
      <c r="F1586" s="188" t="n">
        <v>19944381490.56</v>
      </c>
    </row>
    <row r="1587" ht="15" customHeight="1" s="95">
      <c r="A1587" s="143" t="n">
        <v>45051</v>
      </c>
      <c r="B1587" s="94" t="n">
        <v>2023</v>
      </c>
      <c r="C1587" s="94" t="inlineStr">
        <is>
          <t>2023-Q2</t>
        </is>
      </c>
      <c r="D1587" s="186" t="n">
        <v>28846.4614586081</v>
      </c>
      <c r="E1587" s="188" t="n">
        <v>558634329303.2209</v>
      </c>
      <c r="F1587" s="188" t="n">
        <v>12676760580.0802</v>
      </c>
    </row>
    <row r="1588" ht="15" customHeight="1" s="95">
      <c r="A1588" s="143" t="n">
        <v>45052</v>
      </c>
      <c r="B1588" s="94" t="n">
        <v>2023</v>
      </c>
      <c r="C1588" s="94" t="inlineStr">
        <is>
          <t>2023-Q2</t>
        </is>
      </c>
      <c r="D1588" s="186" t="n">
        <v>29520.3222689705</v>
      </c>
      <c r="E1588" s="188" t="n">
        <v>571520224182.882</v>
      </c>
      <c r="F1588" s="188" t="n">
        <v>4971523630.54862</v>
      </c>
    </row>
    <row r="1589" ht="15" customHeight="1" s="95">
      <c r="A1589" s="143" t="n">
        <v>45053</v>
      </c>
      <c r="B1589" s="94" t="n">
        <v>2023</v>
      </c>
      <c r="C1589" s="94" t="inlineStr">
        <is>
          <t>2023-Q2</t>
        </is>
      </c>
      <c r="D1589" s="186" t="n">
        <v>28887.7410455234</v>
      </c>
      <c r="E1589" s="188" t="n">
        <v>559078681902.6071</v>
      </c>
      <c r="F1589" s="188" t="n">
        <v>6463808309.43893</v>
      </c>
    </row>
    <row r="1590" ht="15" customHeight="1" s="95">
      <c r="A1590" s="143" t="n">
        <v>45054</v>
      </c>
      <c r="B1590" s="94" t="n">
        <v>2023</v>
      </c>
      <c r="C1590" s="94" t="inlineStr">
        <is>
          <t>2023-Q2</t>
        </is>
      </c>
      <c r="D1590" s="186" t="n">
        <v>28611.4391976146</v>
      </c>
      <c r="E1590" s="188" t="n">
        <v>554373015261.668</v>
      </c>
      <c r="F1590" s="188" t="n">
        <v>10199066943.1703</v>
      </c>
    </row>
    <row r="1591" ht="15" customHeight="1" s="95">
      <c r="A1591" s="143" t="n">
        <v>45055</v>
      </c>
      <c r="B1591" s="94" t="n">
        <v>2023</v>
      </c>
      <c r="C1591" s="94" t="inlineStr">
        <is>
          <t>2023-Q2</t>
        </is>
      </c>
      <c r="D1591" s="186" t="n">
        <v>27696.7607856256</v>
      </c>
      <c r="E1591" s="188" t="n">
        <v>536032086472.038</v>
      </c>
      <c r="F1591" s="188" t="n">
        <v>21535578788.8603</v>
      </c>
    </row>
    <row r="1592" ht="15" customHeight="1" s="95">
      <c r="A1592" s="143" t="n">
        <v>45056</v>
      </c>
      <c r="B1592" s="94" t="n">
        <v>2023</v>
      </c>
      <c r="C1592" s="94" t="inlineStr">
        <is>
          <t>2023-Q2</t>
        </is>
      </c>
      <c r="D1592" s="186" t="n">
        <v>27607.391680919</v>
      </c>
      <c r="E1592" s="188" t="n">
        <v>535037100026.69</v>
      </c>
      <c r="F1592" s="188" t="n">
        <v>8876813250.933559</v>
      </c>
    </row>
    <row r="1593" ht="15" customHeight="1" s="95">
      <c r="A1593" s="143" t="n">
        <v>45057</v>
      </c>
      <c r="B1593" s="94" t="n">
        <v>2023</v>
      </c>
      <c r="C1593" s="94" t="inlineStr">
        <is>
          <t>2023-Q2</t>
        </is>
      </c>
      <c r="D1593" s="186" t="n">
        <v>27639.7335659359</v>
      </c>
      <c r="E1593" s="188" t="n">
        <v>534937464538.758</v>
      </c>
      <c r="F1593" s="188" t="n">
        <v>17159331951.1899</v>
      </c>
    </row>
    <row r="1594" ht="15" customHeight="1" s="95">
      <c r="A1594" s="143" t="n">
        <v>45058</v>
      </c>
      <c r="B1594" s="94" t="n">
        <v>2023</v>
      </c>
      <c r="C1594" s="94" t="inlineStr">
        <is>
          <t>2023-Q2</t>
        </is>
      </c>
      <c r="D1594" s="186" t="n">
        <v>27024.7657292998</v>
      </c>
      <c r="E1594" s="188" t="n">
        <v>523414877659.307</v>
      </c>
      <c r="F1594" s="188" t="n">
        <v>7754296234.07717</v>
      </c>
    </row>
    <row r="1595" ht="15" customHeight="1" s="95">
      <c r="A1595" s="143" t="n">
        <v>45059</v>
      </c>
      <c r="B1595" s="94" t="n">
        <v>2023</v>
      </c>
      <c r="C1595" s="94" t="inlineStr">
        <is>
          <t>2023-Q2</t>
        </is>
      </c>
      <c r="D1595" s="186" t="n">
        <v>26787.6903959183</v>
      </c>
      <c r="E1595" s="188" t="n">
        <v>518816444750.771</v>
      </c>
      <c r="F1595" s="188" t="n">
        <v>9157286238.193069</v>
      </c>
    </row>
    <row r="1596" ht="15" customHeight="1" s="95">
      <c r="A1596" s="143" t="n">
        <v>45060</v>
      </c>
      <c r="B1596" s="94" t="n">
        <v>2023</v>
      </c>
      <c r="C1596" s="94" t="inlineStr">
        <is>
          <t>2023-Q2</t>
        </is>
      </c>
      <c r="D1596" s="186" t="n">
        <v>26798.1262714747</v>
      </c>
      <c r="E1596" s="188" t="n">
        <v>520426027097.336</v>
      </c>
      <c r="F1596" s="188" t="n">
        <v>8365379054.20212</v>
      </c>
    </row>
    <row r="1597" ht="15" customHeight="1" s="95">
      <c r="A1597" s="143" t="n">
        <v>45061</v>
      </c>
      <c r="B1597" s="94" t="n">
        <v>2023</v>
      </c>
      <c r="C1597" s="94" t="inlineStr">
        <is>
          <t>2023-Q2</t>
        </is>
      </c>
      <c r="D1597" s="186" t="n">
        <v>26911.8052732139</v>
      </c>
      <c r="E1597" s="188" t="n">
        <v>521319019334.696</v>
      </c>
      <c r="F1597" s="188" t="n">
        <v>6019488454.41968</v>
      </c>
    </row>
    <row r="1598" ht="15" customHeight="1" s="95">
      <c r="A1598" s="143" t="n">
        <v>45062</v>
      </c>
      <c r="B1598" s="94" t="n">
        <v>2023</v>
      </c>
      <c r="C1598" s="94" t="inlineStr">
        <is>
          <t>2023-Q2</t>
        </is>
      </c>
      <c r="D1598" s="186" t="n">
        <v>27227.7934225588</v>
      </c>
      <c r="E1598" s="188" t="n">
        <v>527655229433.887</v>
      </c>
      <c r="F1598" s="188" t="n">
        <v>14570026781.7471</v>
      </c>
    </row>
    <row r="1599" ht="15" customHeight="1" s="95">
      <c r="A1599" s="143" t="n">
        <v>45063</v>
      </c>
      <c r="B1599" s="94" t="n">
        <v>2023</v>
      </c>
      <c r="C1599" s="94" t="inlineStr">
        <is>
          <t>2023-Q2</t>
        </is>
      </c>
      <c r="D1599" s="186" t="n">
        <v>27022.7131739212</v>
      </c>
      <c r="E1599" s="188" t="n">
        <v>523965691858.866</v>
      </c>
      <c r="F1599" s="188" t="n">
        <v>12927093920.903</v>
      </c>
    </row>
    <row r="1600" ht="15" customHeight="1" s="95">
      <c r="A1600" s="143" t="n">
        <v>45064</v>
      </c>
      <c r="B1600" s="94" t="n">
        <v>2023</v>
      </c>
      <c r="C1600" s="94" t="inlineStr">
        <is>
          <t>2023-Q2</t>
        </is>
      </c>
      <c r="D1600" s="186" t="n">
        <v>27389.9715114422</v>
      </c>
      <c r="E1600" s="188" t="n">
        <v>530762551513.487</v>
      </c>
      <c r="F1600" s="188" t="n">
        <v>12580626234.9135</v>
      </c>
    </row>
    <row r="1601" ht="15" customHeight="1" s="95">
      <c r="A1601" s="143" t="n">
        <v>45065</v>
      </c>
      <c r="B1601" s="94" t="n">
        <v>2023</v>
      </c>
      <c r="C1601" s="94" t="inlineStr">
        <is>
          <t>2023-Q2</t>
        </is>
      </c>
      <c r="D1601" s="186" t="n">
        <v>26842.9524947179</v>
      </c>
      <c r="E1601" s="188" t="n">
        <v>520544913836.41</v>
      </c>
      <c r="F1601" s="188" t="n">
        <v>12599487111.9388</v>
      </c>
    </row>
    <row r="1602" ht="15" customHeight="1" s="95">
      <c r="A1602" s="143" t="n">
        <v>45066</v>
      </c>
      <c r="B1602" s="94" t="n">
        <v>2023</v>
      </c>
      <c r="C1602" s="94" t="inlineStr">
        <is>
          <t>2023-Q2</t>
        </is>
      </c>
      <c r="D1602" s="186" t="n">
        <v>26884.37105959</v>
      </c>
      <c r="E1602" s="188" t="n">
        <v>521153640362.962</v>
      </c>
      <c r="F1602" s="188" t="n">
        <v>11559136131.3688</v>
      </c>
    </row>
    <row r="1603" ht="15" customHeight="1" s="95">
      <c r="A1603" s="143" t="n">
        <v>45067</v>
      </c>
      <c r="B1603" s="94" t="n">
        <v>2023</v>
      </c>
      <c r="C1603" s="94" t="inlineStr">
        <is>
          <t>2023-Q2</t>
        </is>
      </c>
      <c r="D1603" s="186" t="n">
        <v>27093.7911014974</v>
      </c>
      <c r="E1603" s="188" t="n">
        <v>525040003344.163</v>
      </c>
      <c r="F1603" s="188" t="n">
        <v>3882362454.21978</v>
      </c>
    </row>
    <row r="1604" ht="15" customHeight="1" s="95">
      <c r="A1604" s="143" t="n">
        <v>45068</v>
      </c>
      <c r="B1604" s="94" t="n">
        <v>2023</v>
      </c>
      <c r="C1604" s="94" t="inlineStr">
        <is>
          <t>2023-Q2</t>
        </is>
      </c>
      <c r="D1604" s="186" t="n">
        <v>26773.8302436648</v>
      </c>
      <c r="E1604" s="188" t="n">
        <v>519171380714.095</v>
      </c>
      <c r="F1604" s="188" t="n">
        <v>8125825605.68425</v>
      </c>
    </row>
    <row r="1605" ht="15" customHeight="1" s="95">
      <c r="A1605" s="143" t="n">
        <v>45069</v>
      </c>
      <c r="B1605" s="94" t="n">
        <v>2023</v>
      </c>
      <c r="C1605" s="94" t="inlineStr">
        <is>
          <t>2023-Q2</t>
        </is>
      </c>
      <c r="D1605" s="186" t="n">
        <v>26869.6860217908</v>
      </c>
      <c r="E1605" s="188" t="n">
        <v>520821915713.919</v>
      </c>
      <c r="F1605" s="188" t="n">
        <v>8025716966.1794</v>
      </c>
    </row>
    <row r="1606" ht="15" customHeight="1" s="95">
      <c r="A1606" s="143" t="n">
        <v>45070</v>
      </c>
      <c r="B1606" s="94" t="n">
        <v>2023</v>
      </c>
      <c r="C1606" s="94" t="inlineStr">
        <is>
          <t>2023-Q2</t>
        </is>
      </c>
      <c r="D1606" s="186" t="n">
        <v>27222.9377466039</v>
      </c>
      <c r="E1606" s="188" t="n">
        <v>527528695688.759</v>
      </c>
      <c r="F1606" s="188" t="n">
        <v>11685763863.3124</v>
      </c>
    </row>
    <row r="1607" ht="15" customHeight="1" s="95">
      <c r="A1607" s="143" t="n">
        <v>45071</v>
      </c>
      <c r="B1607" s="94" t="n">
        <v>2023</v>
      </c>
      <c r="C1607" s="94" t="inlineStr">
        <is>
          <t>2023-Q2</t>
        </is>
      </c>
      <c r="D1607" s="186" t="n">
        <v>26338.9489469987</v>
      </c>
      <c r="E1607" s="188" t="n">
        <v>510987979871.22</v>
      </c>
      <c r="F1607" s="188" t="n">
        <v>17477200137.1087</v>
      </c>
    </row>
    <row r="1608" ht="15" customHeight="1" s="95">
      <c r="A1608" s="143" t="n">
        <v>45072</v>
      </c>
      <c r="B1608" s="94" t="n">
        <v>2023</v>
      </c>
      <c r="C1608" s="94" t="inlineStr">
        <is>
          <t>2023-Q2</t>
        </is>
      </c>
      <c r="D1608" s="186" t="n">
        <v>26475.6079025343</v>
      </c>
      <c r="E1608" s="188" t="n">
        <v>513295724355.699</v>
      </c>
      <c r="F1608" s="188" t="n">
        <v>11953749225.494</v>
      </c>
    </row>
    <row r="1609" ht="15" customHeight="1" s="95">
      <c r="A1609" s="143" t="n">
        <v>45073</v>
      </c>
      <c r="B1609" s="94" t="n">
        <v>2023</v>
      </c>
      <c r="C1609" s="94" t="inlineStr">
        <is>
          <t>2023-Q2</t>
        </is>
      </c>
      <c r="D1609" s="186" t="n">
        <v>26717.9875535718</v>
      </c>
      <c r="E1609" s="188" t="n">
        <v>517973731437.94</v>
      </c>
      <c r="F1609" s="188" t="n">
        <v>10994037071.4522</v>
      </c>
    </row>
    <row r="1610" ht="15" customHeight="1" s="95">
      <c r="A1610" s="143" t="n">
        <v>45074</v>
      </c>
      <c r="B1610" s="94" t="n">
        <v>2023</v>
      </c>
      <c r="C1610" s="94" t="inlineStr">
        <is>
          <t>2023-Q2</t>
        </is>
      </c>
      <c r="D1610" s="186" t="n">
        <v>26848.2399395925</v>
      </c>
      <c r="E1610" s="188" t="n">
        <v>520461980942.254</v>
      </c>
      <c r="F1610" s="188" t="n">
        <v>6029471707.89741</v>
      </c>
    </row>
    <row r="1611" ht="15" customHeight="1" s="95">
      <c r="A1611" s="143" t="n">
        <v>45075</v>
      </c>
      <c r="B1611" s="94" t="n">
        <v>2023</v>
      </c>
      <c r="C1611" s="94" t="inlineStr">
        <is>
          <t>2023-Q2</t>
        </is>
      </c>
      <c r="D1611" s="186" t="n">
        <v>28110.3134676093</v>
      </c>
      <c r="E1611" s="188" t="n">
        <v>544879177078.805</v>
      </c>
      <c r="F1611" s="188" t="n">
        <v>13144599279.479</v>
      </c>
    </row>
    <row r="1612" ht="15" customHeight="1" s="95">
      <c r="A1612" s="143" t="n">
        <v>45076</v>
      </c>
      <c r="B1612" s="94" t="n">
        <v>2023</v>
      </c>
      <c r="C1612" s="94" t="inlineStr">
        <is>
          <t>2023-Q2</t>
        </is>
      </c>
      <c r="D1612" s="186" t="n">
        <v>27759.7466639207</v>
      </c>
      <c r="E1612" s="188" t="n">
        <v>538430950369.498</v>
      </c>
      <c r="F1612" s="188" t="n">
        <v>13483205892.5396</v>
      </c>
    </row>
    <row r="1613" ht="15" customHeight="1" s="95">
      <c r="A1613" s="143" t="n">
        <v>45077</v>
      </c>
      <c r="B1613" s="94" t="n">
        <v>2023</v>
      </c>
      <c r="C1613" s="94" t="inlineStr">
        <is>
          <t>2023-Q2</t>
        </is>
      </c>
      <c r="D1613" s="186" t="n">
        <v>27713.9085475295</v>
      </c>
      <c r="E1613" s="188" t="n">
        <v>537414074116.499</v>
      </c>
      <c r="F1613" s="188" t="n">
        <v>12766436369.816</v>
      </c>
    </row>
    <row r="1614" ht="15" customHeight="1" s="95">
      <c r="A1614" s="143" t="n">
        <v>45078</v>
      </c>
      <c r="B1614" s="94" t="n">
        <v>2023</v>
      </c>
      <c r="C1614" s="94" t="inlineStr">
        <is>
          <t>2023-Q2</t>
        </is>
      </c>
      <c r="D1614" s="186" t="n">
        <v>27245.4744651797</v>
      </c>
      <c r="E1614" s="188" t="n">
        <v>528464394082.939</v>
      </c>
      <c r="F1614" s="188" t="n">
        <v>10001106221.6471</v>
      </c>
    </row>
    <row r="1615" ht="15" customHeight="1" s="95">
      <c r="A1615" s="143" t="n">
        <v>45079</v>
      </c>
      <c r="B1615" s="94" t="n">
        <v>2023</v>
      </c>
      <c r="C1615" s="94" t="inlineStr">
        <is>
          <t>2023-Q2</t>
        </is>
      </c>
      <c r="D1615" s="186" t="n">
        <v>26824.1014995168</v>
      </c>
      <c r="E1615" s="188" t="n">
        <v>520271910707.113</v>
      </c>
      <c r="F1615" s="188" t="n">
        <v>12156086970.873</v>
      </c>
    </row>
    <row r="1616" ht="15" customHeight="1" s="95">
      <c r="A1616" s="143" t="n">
        <v>45080</v>
      </c>
      <c r="B1616" s="94" t="n">
        <v>2023</v>
      </c>
      <c r="C1616" s="94" t="inlineStr">
        <is>
          <t>2023-Q2</t>
        </is>
      </c>
      <c r="D1616" s="186" t="n">
        <v>27247.740081457</v>
      </c>
      <c r="E1616" s="188" t="n">
        <v>528508990069.212</v>
      </c>
      <c r="F1616" s="188" t="n">
        <v>15428145241.776</v>
      </c>
    </row>
    <row r="1617" ht="15" customHeight="1" s="95">
      <c r="A1617" s="143" t="n">
        <v>45081</v>
      </c>
      <c r="B1617" s="94" t="n">
        <v>2023</v>
      </c>
      <c r="C1617" s="94" t="inlineStr">
        <is>
          <t>2023-Q2</t>
        </is>
      </c>
      <c r="D1617" s="186" t="n">
        <v>27066.3713285262</v>
      </c>
      <c r="E1617" s="188" t="n">
        <v>525209390395.506</v>
      </c>
      <c r="F1617" s="188" t="n">
        <v>6673279605.62951</v>
      </c>
    </row>
    <row r="1618" ht="15" customHeight="1" s="95">
      <c r="A1618" s="143" t="n">
        <v>45082</v>
      </c>
      <c r="B1618" s="94" t="n">
        <v>2023</v>
      </c>
      <c r="C1618" s="94" t="inlineStr">
        <is>
          <t>2023-Q2</t>
        </is>
      </c>
      <c r="D1618" s="186" t="n">
        <v>27315.4475874877</v>
      </c>
      <c r="E1618" s="188" t="n">
        <v>529630092281.387</v>
      </c>
      <c r="F1618" s="188" t="n">
        <v>6098045626.04762</v>
      </c>
    </row>
    <row r="1619" ht="15" customHeight="1" s="95">
      <c r="A1619" s="143" t="n">
        <v>45083</v>
      </c>
      <c r="B1619" s="94" t="n">
        <v>2023</v>
      </c>
      <c r="C1619" s="94" t="inlineStr">
        <is>
          <t>2023-Q2</t>
        </is>
      </c>
      <c r="D1619" s="186" t="n">
        <v>25792.6160902334</v>
      </c>
      <c r="E1619" s="188" t="n">
        <v>500593893699.218</v>
      </c>
      <c r="F1619" s="188" t="n">
        <v>21208433571.8733</v>
      </c>
    </row>
    <row r="1620" ht="15" customHeight="1" s="95">
      <c r="A1620" s="143" t="n">
        <v>45084</v>
      </c>
      <c r="B1620" s="94" t="n">
        <v>2023</v>
      </c>
      <c r="C1620" s="94" t="inlineStr">
        <is>
          <t>2023-Q2</t>
        </is>
      </c>
      <c r="D1620" s="186" t="n">
        <v>27216.6155646977</v>
      </c>
      <c r="E1620" s="188" t="n">
        <v>527295592028.081</v>
      </c>
      <c r="F1620" s="188" t="n">
        <v>22188018260.8325</v>
      </c>
    </row>
    <row r="1621" ht="15" customHeight="1" s="95">
      <c r="A1621" s="143" t="n">
        <v>45085</v>
      </c>
      <c r="B1621" s="94" t="n">
        <v>2023</v>
      </c>
      <c r="C1621" s="94" t="inlineStr">
        <is>
          <t>2023-Q2</t>
        </is>
      </c>
      <c r="D1621" s="186" t="n">
        <v>26346.2445451376</v>
      </c>
      <c r="E1621" s="188" t="n">
        <v>510979921090.634</v>
      </c>
      <c r="F1621" s="188" t="n">
        <v>14723854336.0944</v>
      </c>
    </row>
    <row r="1622" ht="15" customHeight="1" s="95">
      <c r="A1622" s="143" t="n">
        <v>45086</v>
      </c>
      <c r="B1622" s="94" t="n">
        <v>2023</v>
      </c>
      <c r="C1622" s="94" t="inlineStr">
        <is>
          <t>2023-Q2</t>
        </is>
      </c>
      <c r="D1622" s="186" t="n">
        <v>26507.909892203</v>
      </c>
      <c r="E1622" s="188" t="n">
        <v>514279355771.499</v>
      </c>
      <c r="F1622" s="188" t="n">
        <v>10197924963.7803</v>
      </c>
    </row>
    <row r="1623" ht="15" customHeight="1" s="95">
      <c r="A1623" s="143" t="n">
        <v>45087</v>
      </c>
      <c r="B1623" s="94" t="n">
        <v>2023</v>
      </c>
      <c r="C1623" s="94" t="inlineStr">
        <is>
          <t>2023-Q2</t>
        </is>
      </c>
      <c r="D1623" s="186" t="n">
        <v>26469.581684007</v>
      </c>
      <c r="E1623" s="188" t="n">
        <v>513226142603.121</v>
      </c>
      <c r="F1623" s="188" t="n">
        <v>10464066236.4812</v>
      </c>
    </row>
    <row r="1624" ht="15" customHeight="1" s="95">
      <c r="A1624" s="143" t="n">
        <v>45088</v>
      </c>
      <c r="B1624" s="94" t="n">
        <v>2023</v>
      </c>
      <c r="C1624" s="94" t="inlineStr">
        <is>
          <t>2023-Q2</t>
        </is>
      </c>
      <c r="D1624" s="186" t="n">
        <v>25858.1228921856</v>
      </c>
      <c r="E1624" s="188" t="n">
        <v>501653860264.203</v>
      </c>
      <c r="F1624" s="188" t="n">
        <v>9755626714.24469</v>
      </c>
    </row>
    <row r="1625" ht="15" customHeight="1" s="95">
      <c r="A1625" s="143" t="n">
        <v>45089</v>
      </c>
      <c r="B1625" s="94" t="n">
        <v>2023</v>
      </c>
      <c r="C1625" s="94" t="inlineStr">
        <is>
          <t>2023-Q2</t>
        </is>
      </c>
      <c r="D1625" s="186" t="n">
        <v>25916.5798963798</v>
      </c>
      <c r="E1625" s="188" t="n">
        <v>502683000962.43</v>
      </c>
      <c r="F1625" s="188" t="n">
        <v>10439993428.3655</v>
      </c>
    </row>
    <row r="1626" ht="15" customHeight="1" s="95">
      <c r="A1626" s="143" t="n">
        <v>45090</v>
      </c>
      <c r="B1626" s="94" t="n">
        <v>2023</v>
      </c>
      <c r="C1626" s="94" t="inlineStr">
        <is>
          <t>2023-Q2</t>
        </is>
      </c>
      <c r="D1626" s="186" t="n">
        <v>25910.3627429195</v>
      </c>
      <c r="E1626" s="188" t="n">
        <v>502562686069.17</v>
      </c>
      <c r="F1626" s="188" t="n">
        <v>9761691909.316031</v>
      </c>
    </row>
    <row r="1627" ht="15" customHeight="1" s="95">
      <c r="A1627" s="143" t="n">
        <v>45091</v>
      </c>
      <c r="B1627" s="94" t="n">
        <v>2023</v>
      </c>
      <c r="C1627" s="94" t="inlineStr">
        <is>
          <t>2023-Q2</t>
        </is>
      </c>
      <c r="D1627" s="186" t="n">
        <v>25872.2064587951</v>
      </c>
      <c r="E1627" s="188" t="n">
        <v>501752262681.719</v>
      </c>
      <c r="F1627" s="188" t="n">
        <v>9921875985.888599</v>
      </c>
    </row>
    <row r="1628" ht="15" customHeight="1" s="95">
      <c r="A1628" s="143" t="n">
        <v>45092</v>
      </c>
      <c r="B1628" s="94" t="n">
        <v>2023</v>
      </c>
      <c r="C1628" s="94" t="inlineStr">
        <is>
          <t>2023-Q2</t>
        </is>
      </c>
      <c r="D1628" s="186" t="n">
        <v>25107.7546958806</v>
      </c>
      <c r="E1628" s="188" t="n">
        <v>487262840554.672</v>
      </c>
      <c r="F1628" s="188" t="n">
        <v>11982737579.7028</v>
      </c>
    </row>
    <row r="1629" ht="15" customHeight="1" s="95">
      <c r="A1629" s="143" t="n">
        <v>45093</v>
      </c>
      <c r="B1629" s="94" t="n">
        <v>2023</v>
      </c>
      <c r="C1629" s="94" t="inlineStr">
        <is>
          <t>2023-Q2</t>
        </is>
      </c>
      <c r="D1629" s="186" t="n">
        <v>25564.5996328871</v>
      </c>
      <c r="E1629" s="188" t="n">
        <v>495788386559.102</v>
      </c>
      <c r="F1629" s="188" t="n">
        <v>15184095954.0295</v>
      </c>
    </row>
    <row r="1630" ht="15" customHeight="1" s="95">
      <c r="A1630" s="143" t="n">
        <v>45094</v>
      </c>
      <c r="B1630" s="94" t="n">
        <v>2023</v>
      </c>
      <c r="C1630" s="94" t="inlineStr">
        <is>
          <t>2023-Q2</t>
        </is>
      </c>
      <c r="D1630" s="186" t="n">
        <v>26327.3256694539</v>
      </c>
      <c r="E1630" s="188" t="n">
        <v>510906153487.605</v>
      </c>
      <c r="F1630" s="188" t="n">
        <v>13604025863.642</v>
      </c>
    </row>
    <row r="1631" ht="15" customHeight="1" s="95">
      <c r="A1631" s="143" t="n">
        <v>45095</v>
      </c>
      <c r="B1631" s="94" t="n">
        <v>2023</v>
      </c>
      <c r="C1631" s="94" t="inlineStr">
        <is>
          <t>2023-Q2</t>
        </is>
      </c>
      <c r="D1631" s="186" t="n">
        <v>26501.0444422337</v>
      </c>
      <c r="E1631" s="188" t="n">
        <v>514331114457.824</v>
      </c>
      <c r="F1631" s="188" t="n">
        <v>9533422254.890301</v>
      </c>
    </row>
    <row r="1632" ht="15" customHeight="1" s="95">
      <c r="A1632" s="143" t="n">
        <v>45096</v>
      </c>
      <c r="B1632" s="94" t="n">
        <v>2023</v>
      </c>
      <c r="C1632" s="94" t="inlineStr">
        <is>
          <t>2023-Q2</t>
        </is>
      </c>
      <c r="D1632" s="186" t="n">
        <v>26333.0925296644</v>
      </c>
      <c r="E1632" s="188" t="n">
        <v>511384956032.88</v>
      </c>
      <c r="F1632" s="188" t="n">
        <v>8589379740.11672</v>
      </c>
    </row>
    <row r="1633" ht="15" customHeight="1" s="95">
      <c r="A1633" s="143" t="n">
        <v>45097</v>
      </c>
      <c r="B1633" s="94" t="n">
        <v>2023</v>
      </c>
      <c r="C1633" s="94" t="inlineStr">
        <is>
          <t>2023-Q2</t>
        </is>
      </c>
      <c r="D1633" s="186" t="n">
        <v>26779.3874615228</v>
      </c>
      <c r="E1633" s="188" t="n">
        <v>519667661979.177</v>
      </c>
      <c r="F1633" s="188" t="n">
        <v>6651894946.45416</v>
      </c>
    </row>
    <row r="1634" ht="15" customHeight="1" s="95">
      <c r="A1634" s="143" t="n">
        <v>45098</v>
      </c>
      <c r="B1634" s="94" t="n">
        <v>2023</v>
      </c>
      <c r="C1634" s="94" t="inlineStr">
        <is>
          <t>2023-Q2</t>
        </is>
      </c>
      <c r="D1634" s="186" t="n">
        <v>28330.8914198075</v>
      </c>
      <c r="E1634" s="188" t="n">
        <v>549330089183.523</v>
      </c>
      <c r="F1634" s="188" t="n">
        <v>19958565664.5523</v>
      </c>
    </row>
    <row r="1635" ht="15" customHeight="1" s="95">
      <c r="A1635" s="143" t="n">
        <v>45099</v>
      </c>
      <c r="B1635" s="94" t="n">
        <v>2023</v>
      </c>
      <c r="C1635" s="94" t="inlineStr">
        <is>
          <t>2023-Q2</t>
        </is>
      </c>
      <c r="D1635" s="186" t="n">
        <v>30101.7648194887</v>
      </c>
      <c r="E1635" s="188" t="n">
        <v>584070487996.7889</v>
      </c>
      <c r="F1635" s="188" t="n">
        <v>23757254196.777</v>
      </c>
    </row>
    <row r="1636" ht="15" customHeight="1" s="95">
      <c r="A1636" s="143" t="n">
        <v>45100</v>
      </c>
      <c r="B1636" s="94" t="n">
        <v>2023</v>
      </c>
      <c r="C1636" s="94" t="inlineStr">
        <is>
          <t>2023-Q2</t>
        </is>
      </c>
      <c r="D1636" s="186" t="n">
        <v>29935.6321067496</v>
      </c>
      <c r="E1636" s="188" t="n">
        <v>581473706978.927</v>
      </c>
      <c r="F1636" s="188" t="n">
        <v>19613389213.7988</v>
      </c>
    </row>
    <row r="1637" ht="15" customHeight="1" s="95">
      <c r="A1637" s="143" t="n">
        <v>45101</v>
      </c>
      <c r="B1637" s="94" t="n">
        <v>2023</v>
      </c>
      <c r="C1637" s="94" t="inlineStr">
        <is>
          <t>2023-Q2</t>
        </is>
      </c>
      <c r="D1637" s="186" t="n">
        <v>30629.2443533358</v>
      </c>
      <c r="E1637" s="188" t="n">
        <v>594588611688.314</v>
      </c>
      <c r="F1637" s="188" t="n">
        <v>22630955878.9728</v>
      </c>
    </row>
    <row r="1638" ht="15" customHeight="1" s="95">
      <c r="A1638" s="143" t="n">
        <v>45102</v>
      </c>
      <c r="B1638" s="94" t="n">
        <v>2023</v>
      </c>
      <c r="C1638" s="94" t="inlineStr">
        <is>
          <t>2023-Q2</t>
        </is>
      </c>
      <c r="D1638" s="186" t="n">
        <v>30537.8166646348</v>
      </c>
      <c r="E1638" s="188" t="n">
        <v>592912110031.525</v>
      </c>
      <c r="F1638" s="188" t="n">
        <v>11736119929.8437</v>
      </c>
    </row>
    <row r="1639" ht="15" customHeight="1" s="95">
      <c r="A1639" s="143" t="n">
        <v>45103</v>
      </c>
      <c r="B1639" s="94" t="n">
        <v>2023</v>
      </c>
      <c r="C1639" s="94" t="inlineStr">
        <is>
          <t>2023-Q2</t>
        </is>
      </c>
      <c r="D1639" s="186" t="n">
        <v>30454.7569744156</v>
      </c>
      <c r="E1639" s="188" t="n">
        <v>591387700082.11</v>
      </c>
      <c r="F1639" s="188" t="n">
        <v>12076819255.3049</v>
      </c>
    </row>
    <row r="1640" ht="15" customHeight="1" s="95">
      <c r="A1640" s="143" t="n">
        <v>45104</v>
      </c>
      <c r="B1640" s="94" t="n">
        <v>2023</v>
      </c>
      <c r="C1640" s="94" t="inlineStr">
        <is>
          <t>2023-Q2</t>
        </is>
      </c>
      <c r="D1640" s="186" t="n">
        <v>30285.5050640707</v>
      </c>
      <c r="E1640" s="188" t="n">
        <v>587134340343.625</v>
      </c>
      <c r="F1640" s="188" t="n">
        <v>16032184116.6313</v>
      </c>
    </row>
    <row r="1641" ht="15" customHeight="1" s="95">
      <c r="A1641" s="143" t="n">
        <v>45105</v>
      </c>
      <c r="B1641" s="94" t="n">
        <v>2023</v>
      </c>
      <c r="C1641" s="94" t="inlineStr">
        <is>
          <t>2023-Q2</t>
        </is>
      </c>
      <c r="D1641" s="186" t="n">
        <v>30693.546356068</v>
      </c>
      <c r="E1641" s="188" t="n">
        <v>595427193050.229</v>
      </c>
      <c r="F1641" s="188" t="n">
        <v>14411853963.1105</v>
      </c>
    </row>
    <row r="1642" ht="15" customHeight="1" s="95">
      <c r="A1642" s="143" t="n">
        <v>45106</v>
      </c>
      <c r="B1642" s="94" t="n">
        <v>2023</v>
      </c>
      <c r="C1642" s="94" t="inlineStr">
        <is>
          <t>2023-Q2</t>
        </is>
      </c>
      <c r="D1642" s="186" t="n">
        <v>30083.4772452638</v>
      </c>
      <c r="E1642" s="188" t="n">
        <v>584187696961.376</v>
      </c>
      <c r="F1642" s="188" t="n">
        <v>8489428028.0281</v>
      </c>
    </row>
    <row r="1643" ht="15" customHeight="1" s="95">
      <c r="A1643" s="143" t="n">
        <v>45107</v>
      </c>
      <c r="B1643" s="94" t="n">
        <v>2023</v>
      </c>
      <c r="C1643" s="94" t="inlineStr">
        <is>
          <t>2023-Q2</t>
        </is>
      </c>
      <c r="D1643" s="186" t="n">
        <v>30466.6104568935</v>
      </c>
      <c r="E1643" s="188" t="n">
        <v>591688337868.845</v>
      </c>
      <c r="F1643" s="188" t="n">
        <v>12545425127.4463</v>
      </c>
    </row>
    <row r="1644" ht="15" customHeight="1" s="95">
      <c r="A1644" s="143" t="n">
        <v>45108</v>
      </c>
      <c r="B1644" s="94" t="n">
        <v>2023</v>
      </c>
      <c r="C1644" s="94" t="inlineStr">
        <is>
          <t>2023-Q3</t>
        </is>
      </c>
      <c r="D1644" s="186" t="n">
        <v>30480.7814819445</v>
      </c>
      <c r="E1644" s="188" t="n">
        <v>591722375245.767</v>
      </c>
      <c r="F1644" s="188" t="n">
        <v>21422361050.8231</v>
      </c>
    </row>
    <row r="1645" ht="15" customHeight="1" s="95">
      <c r="A1645" s="143" t="n">
        <v>45109</v>
      </c>
      <c r="B1645" s="94" t="n">
        <v>2023</v>
      </c>
      <c r="C1645" s="94" t="inlineStr">
        <is>
          <t>2023-Q3</t>
        </is>
      </c>
      <c r="D1645" s="186" t="n">
        <v>30583.6195996975</v>
      </c>
      <c r="E1645" s="188" t="n">
        <v>593625140902.5649</v>
      </c>
      <c r="F1645" s="188" t="n">
        <v>4210431244.43269</v>
      </c>
    </row>
    <row r="1646" ht="15" customHeight="1" s="95">
      <c r="A1646" s="143" t="n">
        <v>45110</v>
      </c>
      <c r="B1646" s="94" t="n">
        <v>2023</v>
      </c>
      <c r="C1646" s="94" t="inlineStr">
        <is>
          <t>2023-Q3</t>
        </is>
      </c>
      <c r="D1646" s="186" t="n">
        <v>30571.8870728715</v>
      </c>
      <c r="E1646" s="188" t="n">
        <v>593627203721.853</v>
      </c>
      <c r="F1646" s="188" t="n">
        <v>7236318143.9053</v>
      </c>
    </row>
    <row r="1647" ht="15" customHeight="1" s="95">
      <c r="A1647" s="143" t="n">
        <v>45111</v>
      </c>
      <c r="B1647" s="94" t="n">
        <v>2023</v>
      </c>
      <c r="C1647" s="94" t="inlineStr">
        <is>
          <t>2023-Q3</t>
        </is>
      </c>
      <c r="D1647" s="186" t="n">
        <v>31134.7131335084</v>
      </c>
      <c r="E1647" s="188" t="n">
        <v>604507839820.098</v>
      </c>
      <c r="F1647" s="188" t="n">
        <v>14755008156.7777</v>
      </c>
    </row>
    <row r="1648" ht="15" customHeight="1" s="95">
      <c r="A1648" s="143" t="n">
        <v>45112</v>
      </c>
      <c r="B1648" s="94" t="n">
        <v>2023</v>
      </c>
      <c r="C1648" s="94" t="inlineStr">
        <is>
          <t>2023-Q3</t>
        </is>
      </c>
      <c r="D1648" s="186" t="n">
        <v>30775.6240223753</v>
      </c>
      <c r="E1648" s="188" t="n">
        <v>598449423994.125</v>
      </c>
      <c r="F1648" s="188" t="n">
        <v>12403890725.2646</v>
      </c>
    </row>
    <row r="1649" ht="15" customHeight="1" s="95">
      <c r="A1649" s="143" t="n">
        <v>45113</v>
      </c>
      <c r="B1649" s="94" t="n">
        <v>2023</v>
      </c>
      <c r="C1649" s="94" t="inlineStr">
        <is>
          <t>2023-Q3</t>
        </is>
      </c>
      <c r="D1649" s="186" t="n">
        <v>30484.7937744235</v>
      </c>
      <c r="E1649" s="188" t="n">
        <v>592386606697.3149</v>
      </c>
      <c r="F1649" s="188" t="n">
        <v>10260132141.4615</v>
      </c>
    </row>
    <row r="1650" ht="15" customHeight="1" s="95">
      <c r="A1650" s="143" t="n">
        <v>45114</v>
      </c>
      <c r="B1650" s="94" t="n">
        <v>2023</v>
      </c>
      <c r="C1650" s="94" t="inlineStr">
        <is>
          <t>2023-Q3</t>
        </is>
      </c>
      <c r="D1650" s="186" t="n">
        <v>29990.0551512203</v>
      </c>
      <c r="E1650" s="188" t="n">
        <v>583429029204.245</v>
      </c>
      <c r="F1650" s="188" t="n">
        <v>21776707863.5034</v>
      </c>
    </row>
    <row r="1651" ht="15" customHeight="1" s="95">
      <c r="A1651" s="143" t="n">
        <v>45115</v>
      </c>
      <c r="B1651" s="94" t="n">
        <v>2023</v>
      </c>
      <c r="C1651" s="94" t="inlineStr">
        <is>
          <t>2023-Q3</t>
        </is>
      </c>
      <c r="D1651" s="186" t="n">
        <v>30315.2654023516</v>
      </c>
      <c r="E1651" s="188" t="n">
        <v>588811434763.891</v>
      </c>
      <c r="F1651" s="188" t="n">
        <v>13018507892.8146</v>
      </c>
    </row>
    <row r="1652" ht="15" customHeight="1" s="95">
      <c r="A1652" s="143" t="n">
        <v>45116</v>
      </c>
      <c r="B1652" s="94" t="n">
        <v>2023</v>
      </c>
      <c r="C1652" s="94" t="inlineStr">
        <is>
          <t>2023-Q3</t>
        </is>
      </c>
      <c r="D1652" s="186" t="n">
        <v>30264.1973452572</v>
      </c>
      <c r="E1652" s="188" t="n">
        <v>587678367157.9871</v>
      </c>
      <c r="F1652" s="188" t="n">
        <v>5608541981.7563</v>
      </c>
    </row>
    <row r="1653" ht="15" customHeight="1" s="95">
      <c r="A1653" s="143" t="n">
        <v>45117</v>
      </c>
      <c r="B1653" s="94" t="n">
        <v>2023</v>
      </c>
      <c r="C1653" s="94" t="inlineStr">
        <is>
          <t>2023-Q3</t>
        </is>
      </c>
      <c r="D1653" s="186" t="n">
        <v>30169.8706574793</v>
      </c>
      <c r="E1653" s="188" t="n">
        <v>585883986681.171</v>
      </c>
      <c r="F1653" s="188" t="n">
        <v>7559670230.18949</v>
      </c>
    </row>
    <row r="1654" ht="15" customHeight="1" s="95">
      <c r="A1654" s="143" t="n">
        <v>45118</v>
      </c>
      <c r="B1654" s="94" t="n">
        <v>2023</v>
      </c>
      <c r="C1654" s="94" t="inlineStr">
        <is>
          <t>2023-Q3</t>
        </is>
      </c>
      <c r="D1654" s="186" t="n">
        <v>30394.2811463756</v>
      </c>
      <c r="E1654" s="188" t="n">
        <v>590311894648.752</v>
      </c>
      <c r="F1654" s="188" t="n">
        <v>12835219756.9659</v>
      </c>
    </row>
    <row r="1655" ht="15" customHeight="1" s="95">
      <c r="A1655" s="143" t="n">
        <v>45119</v>
      </c>
      <c r="B1655" s="94" t="n">
        <v>2023</v>
      </c>
      <c r="C1655" s="94" t="inlineStr">
        <is>
          <t>2023-Q3</t>
        </is>
      </c>
      <c r="D1655" s="186" t="n">
        <v>30620.814246978</v>
      </c>
      <c r="E1655" s="188" t="n">
        <v>594749192359.135</v>
      </c>
      <c r="F1655" s="188" t="n">
        <v>11753418050.4217</v>
      </c>
    </row>
    <row r="1656" ht="15" customHeight="1" s="95">
      <c r="A1656" s="143" t="n">
        <v>45120</v>
      </c>
      <c r="B1656" s="94" t="n">
        <v>2023</v>
      </c>
      <c r="C1656" s="94" t="inlineStr">
        <is>
          <t>2023-Q3</t>
        </is>
      </c>
      <c r="D1656" s="186" t="n">
        <v>30407.4163143599</v>
      </c>
      <c r="E1656" s="188" t="n">
        <v>590629381260.7111</v>
      </c>
      <c r="F1656" s="188" t="n">
        <v>13072555444.2623</v>
      </c>
    </row>
    <row r="1657" ht="15" customHeight="1" s="95">
      <c r="A1657" s="143" t="n">
        <v>45121</v>
      </c>
      <c r="B1657" s="94" t="n">
        <v>2023</v>
      </c>
      <c r="C1657" s="94" t="inlineStr">
        <is>
          <t>2023-Q3</t>
        </is>
      </c>
      <c r="D1657" s="186" t="n">
        <v>31446.0149710716</v>
      </c>
      <c r="E1657" s="188" t="n">
        <v>610725509598.8459</v>
      </c>
      <c r="F1657" s="188" t="n">
        <v>21254274345.7022</v>
      </c>
    </row>
    <row r="1658" ht="15" customHeight="1" s="95">
      <c r="A1658" s="143" t="n">
        <v>45122</v>
      </c>
      <c r="B1658" s="94" t="n">
        <v>2023</v>
      </c>
      <c r="C1658" s="94" t="inlineStr">
        <is>
          <t>2023-Q3</t>
        </is>
      </c>
      <c r="D1658" s="186" t="n">
        <v>30311.8278081305</v>
      </c>
      <c r="E1658" s="188" t="n">
        <v>588107447250.1331</v>
      </c>
      <c r="F1658" s="188" t="n">
        <v>21977151420.8533</v>
      </c>
    </row>
    <row r="1659" ht="15" customHeight="1" s="95">
      <c r="A1659" s="143" t="n">
        <v>45123</v>
      </c>
      <c r="B1659" s="94" t="n">
        <v>2023</v>
      </c>
      <c r="C1659" s="94" t="inlineStr">
        <is>
          <t>2023-Q3</t>
        </is>
      </c>
      <c r="D1659" s="186" t="n">
        <v>30297.9714001255</v>
      </c>
      <c r="E1659" s="188" t="n">
        <v>588642134563.52</v>
      </c>
      <c r="F1659" s="188" t="n">
        <v>6233916918.78272</v>
      </c>
    </row>
    <row r="1660" ht="15" customHeight="1" s="95">
      <c r="A1660" s="143" t="n">
        <v>45124</v>
      </c>
      <c r="B1660" s="94" t="n">
        <v>2023</v>
      </c>
      <c r="C1660" s="94" t="inlineStr">
        <is>
          <t>2023-Q3</t>
        </is>
      </c>
      <c r="D1660" s="186" t="n">
        <v>30237.3347851461</v>
      </c>
      <c r="E1660" s="188" t="n">
        <v>586391434733.715</v>
      </c>
      <c r="F1660" s="188" t="n">
        <v>8356410453.56371</v>
      </c>
    </row>
    <row r="1661" ht="15" customHeight="1" s="95">
      <c r="A1661" s="143" t="n">
        <v>45125</v>
      </c>
      <c r="B1661" s="94" t="n">
        <v>2023</v>
      </c>
      <c r="C1661" s="94" t="inlineStr">
        <is>
          <t>2023-Q3</t>
        </is>
      </c>
      <c r="D1661" s="186" t="n">
        <v>30147.8600792115</v>
      </c>
      <c r="E1661" s="188" t="n">
        <v>585500720965.111</v>
      </c>
      <c r="F1661" s="188" t="n">
        <v>10974383371.5466</v>
      </c>
    </row>
    <row r="1662" ht="15" customHeight="1" s="95">
      <c r="A1662" s="143" t="n">
        <v>45126</v>
      </c>
      <c r="B1662" s="94" t="n">
        <v>2023</v>
      </c>
      <c r="C1662" s="94" t="inlineStr">
        <is>
          <t>2023-Q3</t>
        </is>
      </c>
      <c r="D1662" s="186" t="n">
        <v>29848.0322725053</v>
      </c>
      <c r="E1662" s="188" t="n">
        <v>579708613537.517</v>
      </c>
      <c r="F1662" s="188" t="n">
        <v>13152758553.0308</v>
      </c>
    </row>
    <row r="1663" ht="15" customHeight="1" s="95">
      <c r="A1663" s="143" t="n">
        <v>45127</v>
      </c>
      <c r="B1663" s="94" t="n">
        <v>2023</v>
      </c>
      <c r="C1663" s="94" t="inlineStr">
        <is>
          <t>2023-Q3</t>
        </is>
      </c>
      <c r="D1663" s="186" t="n">
        <v>29919.8748382552</v>
      </c>
      <c r="E1663" s="188" t="n">
        <v>581327322356.8719</v>
      </c>
      <c r="F1663" s="188" t="n">
        <v>8545620844.32659</v>
      </c>
    </row>
    <row r="1664" ht="15" customHeight="1" s="95">
      <c r="A1664" s="143" t="n">
        <v>45128</v>
      </c>
      <c r="B1664" s="94" t="n">
        <v>2023</v>
      </c>
      <c r="C1664" s="94" t="inlineStr">
        <is>
          <t>2023-Q3</t>
        </is>
      </c>
      <c r="D1664" s="186" t="n">
        <v>29787.0415303557</v>
      </c>
      <c r="E1664" s="188" t="n">
        <v>579308712612.2581</v>
      </c>
      <c r="F1664" s="188" t="n">
        <v>11117456853.4645</v>
      </c>
    </row>
    <row r="1665" ht="15" customHeight="1" s="95">
      <c r="A1665" s="143" t="n">
        <v>45129</v>
      </c>
      <c r="B1665" s="94" t="n">
        <v>2023</v>
      </c>
      <c r="C1665" s="94" t="inlineStr">
        <is>
          <t>2023-Q3</t>
        </is>
      </c>
      <c r="D1665" s="186" t="n">
        <v>29914.682728359</v>
      </c>
      <c r="E1665" s="188" t="n">
        <v>581397880391.417</v>
      </c>
      <c r="F1665" s="188" t="n">
        <v>8492627980.9282</v>
      </c>
    </row>
    <row r="1666" ht="15" customHeight="1" s="95">
      <c r="A1666" s="143" t="n">
        <v>45130</v>
      </c>
      <c r="B1666" s="94" t="n">
        <v>2023</v>
      </c>
      <c r="C1666" s="94" t="inlineStr">
        <is>
          <t>2023-Q3</t>
        </is>
      </c>
      <c r="D1666" s="186" t="n">
        <v>29710.1559359918</v>
      </c>
      <c r="E1666" s="188" t="n">
        <v>577068525402.119</v>
      </c>
      <c r="F1666" s="188" t="n">
        <v>6745541064.87388</v>
      </c>
    </row>
    <row r="1667" ht="15" customHeight="1" s="95">
      <c r="A1667" s="143" t="n">
        <v>45131</v>
      </c>
      <c r="B1667" s="94" t="n">
        <v>2023</v>
      </c>
      <c r="C1667" s="94" t="inlineStr">
        <is>
          <t>2023-Q3</t>
        </is>
      </c>
      <c r="D1667" s="186" t="n">
        <v>30057.9567187146</v>
      </c>
      <c r="E1667" s="188" t="n">
        <v>584296796267.4821</v>
      </c>
      <c r="F1667" s="188" t="n">
        <v>7427606999.4128</v>
      </c>
    </row>
    <row r="1668" ht="15" customHeight="1" s="95">
      <c r="A1668" s="143" t="n">
        <v>45132</v>
      </c>
      <c r="B1668" s="94" t="n">
        <v>2023</v>
      </c>
      <c r="C1668" s="94" t="inlineStr">
        <is>
          <t>2023-Q3</t>
        </is>
      </c>
      <c r="D1668" s="186" t="n">
        <v>29184.9019130577</v>
      </c>
      <c r="E1668" s="188" t="n">
        <v>567051778655.8361</v>
      </c>
      <c r="F1668" s="188" t="n">
        <v>15195244950.838</v>
      </c>
    </row>
    <row r="1669" ht="15" customHeight="1" s="95">
      <c r="A1669" s="143" t="n">
        <v>45133</v>
      </c>
      <c r="B1669" s="94" t="n">
        <v>2023</v>
      </c>
      <c r="C1669" s="94" t="inlineStr">
        <is>
          <t>2023-Q3</t>
        </is>
      </c>
      <c r="D1669" s="186" t="n">
        <v>29222.9746303835</v>
      </c>
      <c r="E1669" s="188" t="n">
        <v>568019115128.76</v>
      </c>
      <c r="F1669" s="188" t="n">
        <v>7929844775.36345</v>
      </c>
    </row>
    <row r="1670" ht="15" customHeight="1" s="95">
      <c r="A1670" s="143" t="n">
        <v>45134</v>
      </c>
      <c r="B1670" s="94" t="n">
        <v>2023</v>
      </c>
      <c r="C1670" s="94" t="inlineStr">
        <is>
          <t>2023-Q3</t>
        </is>
      </c>
      <c r="D1670" s="186" t="n">
        <v>29363.6729079786</v>
      </c>
      <c r="E1670" s="188" t="n">
        <v>570531781624.675</v>
      </c>
      <c r="F1670" s="188" t="n">
        <v>13088677750.4251</v>
      </c>
    </row>
    <row r="1671" ht="15" customHeight="1" s="95">
      <c r="A1671" s="143" t="n">
        <v>45135</v>
      </c>
      <c r="B1671" s="94" t="n">
        <v>2023</v>
      </c>
      <c r="C1671" s="94" t="inlineStr">
        <is>
          <t>2023-Q3</t>
        </is>
      </c>
      <c r="D1671" s="186" t="n">
        <v>29200.2440012913</v>
      </c>
      <c r="E1671" s="188" t="n">
        <v>567708714251.764</v>
      </c>
      <c r="F1671" s="188" t="n">
        <v>9047649539.81237</v>
      </c>
    </row>
    <row r="1672" ht="15" customHeight="1" s="95">
      <c r="A1672" s="143" t="n">
        <v>45136</v>
      </c>
      <c r="B1672" s="94" t="n">
        <v>2023</v>
      </c>
      <c r="C1672" s="94" t="inlineStr">
        <is>
          <t>2023-Q3</t>
        </is>
      </c>
      <c r="D1672" s="186" t="n">
        <v>29314.0973870984</v>
      </c>
      <c r="E1672" s="188" t="n">
        <v>569952119667.399</v>
      </c>
      <c r="F1672" s="188" t="n">
        <v>7682754827.05411</v>
      </c>
    </row>
    <row r="1673" ht="15" customHeight="1" s="95">
      <c r="A1673" s="143" t="n">
        <v>45137</v>
      </c>
      <c r="B1673" s="94" t="n">
        <v>2023</v>
      </c>
      <c r="C1673" s="94" t="inlineStr">
        <is>
          <t>2023-Q3</t>
        </is>
      </c>
      <c r="D1673" s="186" t="n">
        <v>29356.7477459167</v>
      </c>
      <c r="E1673" s="188" t="n">
        <v>570804910032.575</v>
      </c>
      <c r="F1673" s="188" t="n">
        <v>4882536540.9116</v>
      </c>
    </row>
    <row r="1674" ht="15" customHeight="1" s="95">
      <c r="A1674" s="143" t="n">
        <v>45138</v>
      </c>
      <c r="B1674" s="94" t="n">
        <v>2023</v>
      </c>
      <c r="C1674" s="94" t="inlineStr">
        <is>
          <t>2023-Q3</t>
        </is>
      </c>
      <c r="D1674" s="186" t="n">
        <v>29277.7558102727</v>
      </c>
      <c r="E1674" s="188" t="n">
        <v>569135711632.854</v>
      </c>
      <c r="F1674" s="188" t="n">
        <v>7872881636.62564</v>
      </c>
    </row>
    <row r="1675" ht="15" customHeight="1" s="95">
      <c r="A1675" s="143" t="n">
        <v>45139</v>
      </c>
      <c r="B1675" s="94" t="n">
        <v>2023</v>
      </c>
      <c r="C1675" s="94" t="inlineStr">
        <is>
          <t>2023-Q3</t>
        </is>
      </c>
      <c r="D1675" s="186" t="n">
        <v>29233.1363655804</v>
      </c>
      <c r="E1675" s="188" t="n">
        <v>568333703606.1</v>
      </c>
      <c r="F1675" s="188" t="n">
        <v>6641808341.38626</v>
      </c>
    </row>
    <row r="1676" ht="15" customHeight="1" s="95">
      <c r="A1676" s="143" t="n">
        <v>45140</v>
      </c>
      <c r="B1676" s="94" t="n">
        <v>2023</v>
      </c>
      <c r="C1676" s="94" t="inlineStr">
        <is>
          <t>2023-Q3</t>
        </is>
      </c>
      <c r="D1676" s="186" t="n">
        <v>29537.1097469274</v>
      </c>
      <c r="E1676" s="188" t="n">
        <v>572408929757.9709</v>
      </c>
      <c r="F1676" s="188" t="n">
        <v>15289922840.8738</v>
      </c>
    </row>
    <row r="1677" ht="15" customHeight="1" s="95">
      <c r="A1677" s="143" t="n">
        <v>45141</v>
      </c>
      <c r="B1677" s="94" t="n">
        <v>2023</v>
      </c>
      <c r="C1677" s="94" t="inlineStr">
        <is>
          <t>2023-Q3</t>
        </is>
      </c>
      <c r="D1677" s="186" t="n">
        <v>29146.6362708436</v>
      </c>
      <c r="E1677" s="188" t="n">
        <v>567074709353.651</v>
      </c>
      <c r="F1677" s="188" t="n">
        <v>19266318894.0865</v>
      </c>
    </row>
    <row r="1678" ht="15" customHeight="1" s="95">
      <c r="A1678" s="143" t="n">
        <v>45142</v>
      </c>
      <c r="B1678" s="94" t="n">
        <v>2023</v>
      </c>
      <c r="C1678" s="94" t="inlineStr">
        <is>
          <t>2023-Q3</t>
        </is>
      </c>
      <c r="D1678" s="186" t="n">
        <v>29176.1505965854</v>
      </c>
      <c r="E1678" s="188" t="n">
        <v>567940644790.488</v>
      </c>
      <c r="F1678" s="188" t="n">
        <v>12539132810.4003</v>
      </c>
    </row>
    <row r="1679" ht="15" customHeight="1" s="95">
      <c r="A1679" s="143" t="n">
        <v>45143</v>
      </c>
      <c r="B1679" s="94" t="n">
        <v>2023</v>
      </c>
      <c r="C1679" s="94" t="inlineStr">
        <is>
          <t>2023-Q3</t>
        </is>
      </c>
      <c r="D1679" s="186" t="n">
        <v>29087.9380860076</v>
      </c>
      <c r="E1679" s="188" t="n">
        <v>565073127339.627</v>
      </c>
      <c r="F1679" s="188" t="n">
        <v>12112869085.6559</v>
      </c>
    </row>
    <row r="1680" ht="15" customHeight="1" s="95">
      <c r="A1680" s="143" t="n">
        <v>45144</v>
      </c>
      <c r="B1680" s="94" t="n">
        <v>2023</v>
      </c>
      <c r="C1680" s="94" t="inlineStr">
        <is>
          <t>2023-Q3</t>
        </is>
      </c>
      <c r="D1680" s="186" t="n">
        <v>29046.8004570232</v>
      </c>
      <c r="E1680" s="188" t="n">
        <v>564970113457.9</v>
      </c>
      <c r="F1680" s="188" t="n">
        <v>5335308729.48437</v>
      </c>
    </row>
    <row r="1681" ht="15" customHeight="1" s="95">
      <c r="A1681" s="143" t="n">
        <v>45145</v>
      </c>
      <c r="B1681" s="94" t="n">
        <v>2023</v>
      </c>
      <c r="C1681" s="94" t="inlineStr">
        <is>
          <t>2023-Q3</t>
        </is>
      </c>
      <c r="D1681" s="186" t="n">
        <v>29044.2043755776</v>
      </c>
      <c r="E1681" s="188" t="n">
        <v>564947914083.0179</v>
      </c>
      <c r="F1681" s="188" t="n">
        <v>5360283576.26997</v>
      </c>
    </row>
    <row r="1682" ht="15" customHeight="1" s="95">
      <c r="A1682" s="143" t="n">
        <v>45146</v>
      </c>
      <c r="B1682" s="94" t="n">
        <v>2023</v>
      </c>
      <c r="C1682" s="94" t="inlineStr">
        <is>
          <t>2023-Q3</t>
        </is>
      </c>
      <c r="D1682" s="186" t="n">
        <v>29178.1477518731</v>
      </c>
      <c r="E1682" s="188" t="n">
        <v>567529179865.8149</v>
      </c>
      <c r="F1682" s="188" t="n">
        <v>13252185122.1125</v>
      </c>
    </row>
    <row r="1683" ht="15" customHeight="1" s="95">
      <c r="A1683" s="143" t="n">
        <v>45147</v>
      </c>
      <c r="B1683" s="94" t="n">
        <v>2023</v>
      </c>
      <c r="C1683" s="94" t="inlineStr">
        <is>
          <t>2023-Q3</t>
        </is>
      </c>
      <c r="D1683" s="186" t="n">
        <v>29779.5616712509</v>
      </c>
      <c r="E1683" s="188" t="n">
        <v>579214283623.807</v>
      </c>
      <c r="F1683" s="188" t="n">
        <v>14603570418.9189</v>
      </c>
    </row>
    <row r="1684" ht="15" customHeight="1" s="95">
      <c r="A1684" s="143" t="n">
        <v>45148</v>
      </c>
      <c r="B1684" s="94" t="n">
        <v>2023</v>
      </c>
      <c r="C1684" s="94" t="inlineStr">
        <is>
          <t>2023-Q3</t>
        </is>
      </c>
      <c r="D1684" s="186" t="n">
        <v>29585.4880773792</v>
      </c>
      <c r="E1684" s="188" t="n">
        <v>575535414817.403</v>
      </c>
      <c r="F1684" s="188" t="n">
        <v>14633310097.4914</v>
      </c>
    </row>
    <row r="1685" ht="15" customHeight="1" s="95">
      <c r="A1685" s="143" t="n">
        <v>45149</v>
      </c>
      <c r="B1685" s="94" t="n">
        <v>2023</v>
      </c>
      <c r="C1685" s="94" t="inlineStr">
        <is>
          <t>2023-Q3</t>
        </is>
      </c>
      <c r="D1685" s="186" t="n">
        <v>29423.8189159776</v>
      </c>
      <c r="E1685" s="188" t="n">
        <v>572414205818.4139</v>
      </c>
      <c r="F1685" s="188" t="n">
        <v>8106253519.02545</v>
      </c>
    </row>
    <row r="1686" ht="15" customHeight="1" s="95">
      <c r="A1686" s="143" t="n">
        <v>45150</v>
      </c>
      <c r="B1686" s="94" t="n">
        <v>2023</v>
      </c>
      <c r="C1686" s="94" t="inlineStr">
        <is>
          <t>2023-Q3</t>
        </is>
      </c>
      <c r="D1686" s="186" t="n">
        <v>29396.8479714205</v>
      </c>
      <c r="E1686" s="188" t="n">
        <v>571976559045.83</v>
      </c>
      <c r="F1686" s="188" t="n">
        <v>4651950357.63665</v>
      </c>
    </row>
    <row r="1687" ht="15" customHeight="1" s="95">
      <c r="A1687" s="143" t="n">
        <v>45151</v>
      </c>
      <c r="B1687" s="94" t="n">
        <v>2023</v>
      </c>
      <c r="C1687" s="94" t="inlineStr">
        <is>
          <t>2023-Q3</t>
        </is>
      </c>
      <c r="D1687" s="186" t="n">
        <v>29412.1422745841</v>
      </c>
      <c r="E1687" s="188" t="n">
        <v>572257798803.9091</v>
      </c>
      <c r="F1687" s="188" t="n">
        <v>3994297895.28894</v>
      </c>
    </row>
    <row r="1688" ht="15" customHeight="1" s="95">
      <c r="A1688" s="143" t="n">
        <v>45152</v>
      </c>
      <c r="B1688" s="94" t="n">
        <v>2023</v>
      </c>
      <c r="C1688" s="94" t="inlineStr">
        <is>
          <t>2023-Q3</t>
        </is>
      </c>
      <c r="D1688" s="186" t="n">
        <v>29284.9697137438</v>
      </c>
      <c r="E1688" s="188" t="n">
        <v>569687130446.783</v>
      </c>
      <c r="F1688" s="188" t="n">
        <v>4755220448.63449</v>
      </c>
    </row>
    <row r="1689" ht="15" customHeight="1" s="95">
      <c r="A1689" s="143" t="n">
        <v>45153</v>
      </c>
      <c r="B1689" s="94" t="n">
        <v>2023</v>
      </c>
      <c r="C1689" s="94" t="inlineStr">
        <is>
          <t>2023-Q3</t>
        </is>
      </c>
      <c r="D1689" s="186" t="n">
        <v>29400.5868041911</v>
      </c>
      <c r="E1689" s="188" t="n">
        <v>572242735188.24</v>
      </c>
      <c r="F1689" s="188" t="n">
        <v>12408355477.1113</v>
      </c>
    </row>
    <row r="1690" ht="15" customHeight="1" s="95">
      <c r="A1690" s="143" t="n">
        <v>45154</v>
      </c>
      <c r="B1690" s="94" t="n">
        <v>2023</v>
      </c>
      <c r="C1690" s="94" t="inlineStr">
        <is>
          <t>2023-Q3</t>
        </is>
      </c>
      <c r="D1690" s="186" t="n">
        <v>29170.4903970606</v>
      </c>
      <c r="E1690" s="188" t="n">
        <v>567498309102.7321</v>
      </c>
      <c r="F1690" s="188" t="n">
        <v>11523395157.9986</v>
      </c>
    </row>
    <row r="1691" ht="15" customHeight="1" s="95">
      <c r="A1691" s="143" t="n">
        <v>45155</v>
      </c>
      <c r="B1691" s="94" t="n">
        <v>2023</v>
      </c>
      <c r="C1691" s="94" t="inlineStr">
        <is>
          <t>2023-Q3</t>
        </is>
      </c>
      <c r="D1691" s="186" t="n">
        <v>28754.1970211126</v>
      </c>
      <c r="E1691" s="188" t="n">
        <v>559982624303.4919</v>
      </c>
      <c r="F1691" s="188" t="n">
        <v>14809979642.3733</v>
      </c>
    </row>
    <row r="1692" ht="15" customHeight="1" s="95">
      <c r="A1692" s="143" t="n">
        <v>45156</v>
      </c>
      <c r="B1692" s="94" t="n">
        <v>2023</v>
      </c>
      <c r="C1692" s="94" t="inlineStr">
        <is>
          <t>2023-Q3</t>
        </is>
      </c>
      <c r="D1692" s="186" t="n">
        <v>26501.5872699197</v>
      </c>
      <c r="E1692" s="188" t="n">
        <v>516026928368.838</v>
      </c>
      <c r="F1692" s="188" t="n">
        <v>29965585683.4214</v>
      </c>
    </row>
    <row r="1693" ht="15" customHeight="1" s="95">
      <c r="A1693" s="143" t="n">
        <v>45157</v>
      </c>
      <c r="B1693" s="94" t="n">
        <v>2023</v>
      </c>
      <c r="C1693" s="94" t="inlineStr">
        <is>
          <t>2023-Q3</t>
        </is>
      </c>
      <c r="D1693" s="186" t="n">
        <v>26042.838256849</v>
      </c>
      <c r="E1693" s="188" t="n">
        <v>506815826635.922</v>
      </c>
      <c r="F1693" s="188" t="n">
        <v>18062351745.5036</v>
      </c>
    </row>
    <row r="1694" ht="15" customHeight="1" s="95">
      <c r="A1694" s="143" t="n">
        <v>45158</v>
      </c>
      <c r="B1694" s="94" t="n">
        <v>2023</v>
      </c>
      <c r="C1694" s="94" t="inlineStr">
        <is>
          <t>2023-Q3</t>
        </is>
      </c>
      <c r="D1694" s="186" t="n">
        <v>26104.7786307979</v>
      </c>
      <c r="E1694" s="188" t="n">
        <v>508087686822.704</v>
      </c>
      <c r="F1694" s="188" t="n">
        <v>3355038748.98247</v>
      </c>
    </row>
    <row r="1695" ht="15" customHeight="1" s="95">
      <c r="A1695" s="143" t="n">
        <v>45159</v>
      </c>
      <c r="B1695" s="94" t="n">
        <v>2023</v>
      </c>
      <c r="C1695" s="94" t="inlineStr">
        <is>
          <t>2023-Q3</t>
        </is>
      </c>
      <c r="D1695" s="186" t="n">
        <v>26160.7004198182</v>
      </c>
      <c r="E1695" s="188" t="n">
        <v>509078930366.095</v>
      </c>
      <c r="F1695" s="188" t="n">
        <v>8304370131.83387</v>
      </c>
    </row>
    <row r="1696" ht="15" customHeight="1" s="95">
      <c r="A1696" s="143" t="n">
        <v>45160</v>
      </c>
      <c r="B1696" s="94" t="n">
        <v>2023</v>
      </c>
      <c r="C1696" s="94" t="inlineStr">
        <is>
          <t>2023-Q3</t>
        </is>
      </c>
      <c r="D1696" s="186" t="n">
        <v>26119.0059585952</v>
      </c>
      <c r="E1696" s="188" t="n">
        <v>508491920831.355</v>
      </c>
      <c r="F1696" s="188" t="n">
        <v>9377753161.44763</v>
      </c>
    </row>
    <row r="1697" ht="15" customHeight="1" s="95">
      <c r="A1697" s="143" t="n">
        <v>45161</v>
      </c>
      <c r="B1697" s="94" t="n">
        <v>2023</v>
      </c>
      <c r="C1697" s="94" t="inlineStr">
        <is>
          <t>2023-Q3</t>
        </is>
      </c>
      <c r="D1697" s="186" t="n">
        <v>26033.6754065858</v>
      </c>
      <c r="E1697" s="188" t="n">
        <v>506356213378.18</v>
      </c>
      <c r="F1697" s="188" t="n">
        <v>13702941053.0153</v>
      </c>
    </row>
    <row r="1698" ht="15" customHeight="1" s="95">
      <c r="A1698" s="143" t="n">
        <v>45162</v>
      </c>
      <c r="B1698" s="94" t="n">
        <v>2023</v>
      </c>
      <c r="C1698" s="94" t="inlineStr">
        <is>
          <t>2023-Q3</t>
        </is>
      </c>
      <c r="D1698" s="186" t="n">
        <v>26450.0086246135</v>
      </c>
      <c r="E1698" s="188" t="n">
        <v>514955818082.435</v>
      </c>
      <c r="F1698" s="188" t="n">
        <v>14600566342.2144</v>
      </c>
    </row>
    <row r="1699" ht="15" customHeight="1" s="95">
      <c r="A1699" s="143" t="n">
        <v>45163</v>
      </c>
      <c r="B1699" s="94" t="n">
        <v>2023</v>
      </c>
      <c r="C1699" s="94" t="inlineStr">
        <is>
          <t>2023-Q3</t>
        </is>
      </c>
      <c r="D1699" s="186" t="n">
        <v>26134.934254516</v>
      </c>
      <c r="E1699" s="188" t="n">
        <v>508906955118.321</v>
      </c>
      <c r="F1699" s="188" t="n">
        <v>11961319630.8101</v>
      </c>
    </row>
    <row r="1700" ht="15" customHeight="1" s="95">
      <c r="A1700" s="143" t="n">
        <v>45164</v>
      </c>
      <c r="B1700" s="94" t="n">
        <v>2023</v>
      </c>
      <c r="C1700" s="94" t="inlineStr">
        <is>
          <t>2023-Q3</t>
        </is>
      </c>
      <c r="D1700" s="186" t="n">
        <v>26044.0362092891</v>
      </c>
      <c r="E1700" s="188" t="n">
        <v>507007928705.443</v>
      </c>
      <c r="F1700" s="188" t="n">
        <v>2582213805.54614</v>
      </c>
    </row>
    <row r="1701" ht="15" customHeight="1" s="95">
      <c r="A1701" s="143" t="n">
        <v>45165</v>
      </c>
      <c r="B1701" s="94" t="n">
        <v>2023</v>
      </c>
      <c r="C1701" s="94" t="inlineStr">
        <is>
          <t>2023-Q3</t>
        </is>
      </c>
      <c r="D1701" s="186" t="n">
        <v>26002.0157173194</v>
      </c>
      <c r="E1701" s="188" t="n">
        <v>506086069151.685</v>
      </c>
      <c r="F1701" s="188" t="n">
        <v>3420999388.35507</v>
      </c>
    </row>
    <row r="1702" ht="15" customHeight="1" s="95">
      <c r="A1702" s="143" t="n">
        <v>45166</v>
      </c>
      <c r="B1702" s="94" t="n">
        <v>2023</v>
      </c>
      <c r="C1702" s="94" t="inlineStr">
        <is>
          <t>2023-Q3</t>
        </is>
      </c>
      <c r="D1702" s="186" t="n">
        <v>26082.7171782185</v>
      </c>
      <c r="E1702" s="188" t="n">
        <v>507835678906.779</v>
      </c>
      <c r="F1702" s="188" t="n">
        <v>4743752357.40126</v>
      </c>
    </row>
    <row r="1703" ht="15" customHeight="1" s="95">
      <c r="A1703" s="143" t="n">
        <v>45167</v>
      </c>
      <c r="B1703" s="94" t="n">
        <v>2023</v>
      </c>
      <c r="C1703" s="94" t="inlineStr">
        <is>
          <t>2023-Q3</t>
        </is>
      </c>
      <c r="D1703" s="186" t="n">
        <v>26109.2698239287</v>
      </c>
      <c r="E1703" s="188" t="n">
        <v>508350651765.902</v>
      </c>
      <c r="F1703" s="188" t="n">
        <v>9995933796.250799</v>
      </c>
    </row>
    <row r="1704" ht="15" customHeight="1" s="95">
      <c r="A1704" s="143" t="n">
        <v>45168</v>
      </c>
      <c r="B1704" s="94" t="n">
        <v>2023</v>
      </c>
      <c r="C1704" s="94" t="inlineStr">
        <is>
          <t>2023-Q3</t>
        </is>
      </c>
      <c r="D1704" s="186" t="n">
        <v>27730.5037355055</v>
      </c>
      <c r="E1704" s="188" t="n">
        <v>539045091002.169</v>
      </c>
      <c r="F1704" s="188" t="n">
        <v>29462388818.8399</v>
      </c>
    </row>
    <row r="1705" ht="15" customHeight="1" s="95">
      <c r="A1705" s="143" t="n">
        <v>45169</v>
      </c>
      <c r="B1705" s="94" t="n">
        <v>2023</v>
      </c>
      <c r="C1705" s="94" t="inlineStr">
        <is>
          <t>2023-Q3</t>
        </is>
      </c>
      <c r="D1705" s="186" t="n">
        <v>27297.2614384804</v>
      </c>
      <c r="E1705" s="188" t="n">
        <v>531729400483.316</v>
      </c>
      <c r="F1705" s="188" t="n">
        <v>16029914124.3954</v>
      </c>
    </row>
    <row r="1706" ht="15" customHeight="1" s="95">
      <c r="A1706" s="143" t="n">
        <v>45170</v>
      </c>
      <c r="B1706" s="94" t="n">
        <v>2023</v>
      </c>
      <c r="C1706" s="94" t="inlineStr">
        <is>
          <t>2023-Q3</t>
        </is>
      </c>
      <c r="D1706" s="186" t="n">
        <v>25927.4170057793</v>
      </c>
      <c r="E1706" s="188" t="n">
        <v>505403246528.024</v>
      </c>
      <c r="F1706" s="188" t="n">
        <v>20360682650.0551</v>
      </c>
    </row>
    <row r="1707" ht="15" customHeight="1" s="95">
      <c r="A1707" s="143" t="n">
        <v>45171</v>
      </c>
      <c r="B1707" s="94" t="n">
        <v>2023</v>
      </c>
      <c r="C1707" s="94" t="inlineStr">
        <is>
          <t>2023-Q3</t>
        </is>
      </c>
      <c r="D1707" s="186" t="n">
        <v>25812.3304944254</v>
      </c>
      <c r="E1707" s="188" t="n">
        <v>502687549096.97</v>
      </c>
      <c r="F1707" s="188" t="n">
        <v>15924588668.8934</v>
      </c>
    </row>
    <row r="1708" ht="15" customHeight="1" s="95">
      <c r="A1708" s="143" t="n">
        <v>45172</v>
      </c>
      <c r="B1708" s="94" t="n">
        <v>2023</v>
      </c>
      <c r="C1708" s="94" t="inlineStr">
        <is>
          <t>2023-Q3</t>
        </is>
      </c>
      <c r="D1708" s="186" t="n">
        <v>25853.6568427776</v>
      </c>
      <c r="E1708" s="188" t="n">
        <v>503679892454.508</v>
      </c>
      <c r="F1708" s="188" t="n">
        <v>8203515572.7556</v>
      </c>
    </row>
    <row r="1709" ht="15" customHeight="1" s="95">
      <c r="A1709" s="143" t="n">
        <v>45173</v>
      </c>
      <c r="B1709" s="94" t="n">
        <v>2023</v>
      </c>
      <c r="C1709" s="94" t="inlineStr">
        <is>
          <t>2023-Q3</t>
        </is>
      </c>
      <c r="D1709" s="186" t="n">
        <v>25959.5963114635</v>
      </c>
      <c r="E1709" s="188" t="n">
        <v>505513039060.684</v>
      </c>
      <c r="F1709" s="188" t="n">
        <v>8301138495.08456</v>
      </c>
    </row>
    <row r="1710" ht="15" customHeight="1" s="95">
      <c r="A1710" s="143" t="n">
        <v>45174</v>
      </c>
      <c r="B1710" s="94" t="n">
        <v>2023</v>
      </c>
      <c r="C1710" s="94" t="inlineStr">
        <is>
          <t>2023-Q3</t>
        </is>
      </c>
      <c r="D1710" s="186" t="n">
        <v>25829.3647729413</v>
      </c>
      <c r="E1710" s="188" t="n">
        <v>502409490053.884</v>
      </c>
      <c r="F1710" s="188" t="n">
        <v>6700578092.4386</v>
      </c>
    </row>
    <row r="1711" ht="15" customHeight="1" s="95">
      <c r="A1711" s="143" t="n">
        <v>45175</v>
      </c>
      <c r="B1711" s="94" t="n">
        <v>2023</v>
      </c>
      <c r="C1711" s="94" t="inlineStr">
        <is>
          <t>2023-Q3</t>
        </is>
      </c>
      <c r="D1711" s="186" t="n">
        <v>25784.4135198304</v>
      </c>
      <c r="E1711" s="188" t="n">
        <v>501979376928.418</v>
      </c>
      <c r="F1711" s="188" t="n">
        <v>7633735596.70543</v>
      </c>
    </row>
    <row r="1712" ht="15" customHeight="1" s="95">
      <c r="A1712" s="143" t="n">
        <v>45176</v>
      </c>
      <c r="B1712" s="94" t="n">
        <v>2023</v>
      </c>
      <c r="C1712" s="94" t="inlineStr">
        <is>
          <t>2023-Q3</t>
        </is>
      </c>
      <c r="D1712" s="186" t="n">
        <v>25752.9584185894</v>
      </c>
      <c r="E1712" s="188" t="n">
        <v>501615002105.187</v>
      </c>
      <c r="F1712" s="188" t="n">
        <v>12225427270.6269</v>
      </c>
    </row>
    <row r="1713" ht="15" customHeight="1" s="95">
      <c r="A1713" s="143" t="n">
        <v>45177</v>
      </c>
      <c r="B1713" s="94" t="n">
        <v>2023</v>
      </c>
      <c r="C1713" s="94" t="inlineStr">
        <is>
          <t>2023-Q3</t>
        </is>
      </c>
      <c r="D1713" s="186" t="n">
        <v>26192.3334330906</v>
      </c>
      <c r="E1713" s="188" t="n">
        <v>509837705629.171</v>
      </c>
      <c r="F1713" s="188" t="n">
        <v>4521997781.16089</v>
      </c>
    </row>
    <row r="1714" ht="15" customHeight="1" s="95">
      <c r="A1714" s="143" t="n">
        <v>45178</v>
      </c>
      <c r="B1714" s="94" t="n">
        <v>2023</v>
      </c>
      <c r="C1714" s="94" t="inlineStr">
        <is>
          <t>2023-Q3</t>
        </is>
      </c>
      <c r="D1714" s="186" t="n">
        <v>25907.2281372497</v>
      </c>
      <c r="E1714" s="188" t="n">
        <v>504533063388.218</v>
      </c>
      <c r="F1714" s="188" t="n">
        <v>8058794338.82098</v>
      </c>
    </row>
    <row r="1715" ht="15" customHeight="1" s="95">
      <c r="A1715" s="143" t="n">
        <v>45179</v>
      </c>
      <c r="B1715" s="94" t="n">
        <v>2023</v>
      </c>
      <c r="C1715" s="94" t="inlineStr">
        <is>
          <t>2023-Q3</t>
        </is>
      </c>
      <c r="D1715" s="186" t="n">
        <v>25889.3250094629</v>
      </c>
      <c r="E1715" s="188" t="n">
        <v>504373920218.684</v>
      </c>
      <c r="F1715" s="188" t="n">
        <v>404806432.521689</v>
      </c>
    </row>
    <row r="1716" ht="15" customHeight="1" s="95">
      <c r="A1716" s="143" t="n">
        <v>45180</v>
      </c>
      <c r="B1716" s="94" t="n">
        <v>2023</v>
      </c>
      <c r="C1716" s="94" t="inlineStr">
        <is>
          <t>2023-Q3</t>
        </is>
      </c>
      <c r="D1716" s="186" t="n">
        <v>25834.5800985629</v>
      </c>
      <c r="E1716" s="188" t="n">
        <v>503489661583.332</v>
      </c>
      <c r="F1716" s="188" t="n">
        <v>6603006234.0835</v>
      </c>
    </row>
    <row r="1717" ht="15" customHeight="1" s="95">
      <c r="A1717" s="143" t="n">
        <v>45181</v>
      </c>
      <c r="B1717" s="94" t="n">
        <v>2023</v>
      </c>
      <c r="C1717" s="94" t="inlineStr">
        <is>
          <t>2023-Q3</t>
        </is>
      </c>
      <c r="D1717" s="186" t="n">
        <v>25133.3031065665</v>
      </c>
      <c r="E1717" s="188" t="n">
        <v>489502952545.627</v>
      </c>
      <c r="F1717" s="188" t="n">
        <v>14859931201</v>
      </c>
    </row>
    <row r="1718" ht="15" customHeight="1" s="95">
      <c r="A1718" s="143" t="n">
        <v>45182</v>
      </c>
      <c r="B1718" s="94" t="n">
        <v>2023</v>
      </c>
      <c r="C1718" s="94" t="inlineStr">
        <is>
          <t>2023-Q3</t>
        </is>
      </c>
      <c r="D1718" s="186" t="n">
        <v>25866.8066631581</v>
      </c>
      <c r="E1718" s="188" t="n">
        <v>503997883573.382</v>
      </c>
      <c r="F1718" s="188" t="n">
        <v>16825266473.0487</v>
      </c>
    </row>
    <row r="1719" ht="15" customHeight="1" s="95">
      <c r="A1719" s="143" t="n">
        <v>45183</v>
      </c>
      <c r="B1719" s="94" t="n">
        <v>2023</v>
      </c>
      <c r="C1719" s="94" t="inlineStr">
        <is>
          <t>2023-Q3</t>
        </is>
      </c>
      <c r="D1719" s="186" t="n">
        <v>26223.436075661</v>
      </c>
      <c r="E1719" s="188" t="n">
        <v>510909474484.656</v>
      </c>
      <c r="F1719" s="188" t="n">
        <v>12975855576.2432</v>
      </c>
    </row>
    <row r="1720" ht="15" customHeight="1" s="95">
      <c r="A1720" s="143" t="n">
        <v>45184</v>
      </c>
      <c r="B1720" s="94" t="n">
        <v>2023</v>
      </c>
      <c r="C1720" s="94" t="inlineStr">
        <is>
          <t>2023-Q3</t>
        </is>
      </c>
      <c r="D1720" s="186" t="n">
        <v>26531.3955662633</v>
      </c>
      <c r="E1720" s="188" t="n">
        <v>516823786025.9</v>
      </c>
      <c r="F1720" s="188" t="n">
        <v>11739428177.4326</v>
      </c>
    </row>
    <row r="1721" ht="15" customHeight="1" s="95">
      <c r="A1721" s="143" t="n">
        <v>45185</v>
      </c>
      <c r="B1721" s="94" t="n">
        <v>2023</v>
      </c>
      <c r="C1721" s="94" t="inlineStr">
        <is>
          <t>2023-Q3</t>
        </is>
      </c>
      <c r="D1721" s="186" t="n">
        <v>26634.6310250006</v>
      </c>
      <c r="E1721" s="188" t="n">
        <v>518872387637.1</v>
      </c>
      <c r="F1721" s="188" t="n">
        <v>9768889419.723419</v>
      </c>
    </row>
    <row r="1722" ht="15" customHeight="1" s="95">
      <c r="A1722" s="143" t="n">
        <v>45186</v>
      </c>
      <c r="B1722" s="94" t="n">
        <v>2023</v>
      </c>
      <c r="C1722" s="94" t="inlineStr">
        <is>
          <t>2023-Q3</t>
        </is>
      </c>
      <c r="D1722" s="186" t="n">
        <v>26557.7686919947</v>
      </c>
      <c r="E1722" s="188" t="n">
        <v>517396850180.924</v>
      </c>
      <c r="F1722" s="188" t="n">
        <v>1224363671.91755</v>
      </c>
    </row>
    <row r="1723" ht="15" customHeight="1" s="95">
      <c r="A1723" s="143" t="n">
        <v>45187</v>
      </c>
      <c r="B1723" s="94" t="n">
        <v>2023</v>
      </c>
      <c r="C1723" s="94" t="inlineStr">
        <is>
          <t>2023-Q3</t>
        </is>
      </c>
      <c r="D1723" s="186" t="n">
        <v>26520.9882547839</v>
      </c>
      <c r="E1723" s="188" t="n">
        <v>516614128895.544</v>
      </c>
      <c r="F1723" s="188" t="n">
        <v>5791146184.4648</v>
      </c>
    </row>
    <row r="1724" ht="15" customHeight="1" s="95">
      <c r="A1724" s="143" t="n">
        <v>45188</v>
      </c>
      <c r="B1724" s="94" t="n">
        <v>2023</v>
      </c>
      <c r="C1724" s="94" t="inlineStr">
        <is>
          <t>2023-Q3</t>
        </is>
      </c>
      <c r="D1724" s="186" t="n">
        <v>26741.461110949</v>
      </c>
      <c r="E1724" s="188" t="n">
        <v>521346975856.466</v>
      </c>
      <c r="F1724" s="188" t="n">
        <v>16477839825.0584</v>
      </c>
    </row>
    <row r="1725" ht="15" customHeight="1" s="95">
      <c r="A1725" s="143" t="n">
        <v>45189</v>
      </c>
      <c r="B1725" s="94" t="n">
        <v>2023</v>
      </c>
      <c r="C1725" s="94" t="inlineStr">
        <is>
          <t>2023-Q3</t>
        </is>
      </c>
      <c r="D1725" s="186" t="n">
        <v>27219.2968746342</v>
      </c>
      <c r="E1725" s="188" t="n">
        <v>530357673731.022</v>
      </c>
      <c r="F1725" s="188" t="n">
        <v>12615959842.2294</v>
      </c>
    </row>
    <row r="1726" ht="15" customHeight="1" s="95">
      <c r="A1726" s="143" t="n">
        <v>45190</v>
      </c>
      <c r="B1726" s="94" t="n">
        <v>2023</v>
      </c>
      <c r="C1726" s="94" t="inlineStr">
        <is>
          <t>2023-Q3</t>
        </is>
      </c>
      <c r="D1726" s="186" t="n">
        <v>27115.8464469708</v>
      </c>
      <c r="E1726" s="188" t="n">
        <v>529168513966.161</v>
      </c>
      <c r="F1726" s="188" t="n">
        <v>13497179076.8318</v>
      </c>
    </row>
    <row r="1727" ht="15" customHeight="1" s="95">
      <c r="A1727" s="143" t="n">
        <v>45191</v>
      </c>
      <c r="B1727" s="94" t="n">
        <v>2023</v>
      </c>
      <c r="C1727" s="94" t="inlineStr">
        <is>
          <t>2023-Q3</t>
        </is>
      </c>
      <c r="D1727" s="186" t="n">
        <v>26561.1334541987</v>
      </c>
      <c r="E1727" s="188" t="n">
        <v>517743774814.639</v>
      </c>
      <c r="F1727" s="188" t="n">
        <v>8169328790.75126</v>
      </c>
    </row>
    <row r="1728" ht="15" customHeight="1" s="95">
      <c r="A1728" s="143" t="n">
        <v>45192</v>
      </c>
      <c r="B1728" s="94" t="n">
        <v>2023</v>
      </c>
      <c r="C1728" s="94" t="inlineStr">
        <is>
          <t>2023-Q3</t>
        </is>
      </c>
      <c r="D1728" s="186" t="n">
        <v>26572.0381115526</v>
      </c>
      <c r="E1728" s="188" t="n">
        <v>518383856096.963</v>
      </c>
      <c r="F1728" s="188" t="n">
        <v>9968041758.936819</v>
      </c>
    </row>
    <row r="1729" ht="15" customHeight="1" s="95">
      <c r="A1729" s="143" t="n">
        <v>45193</v>
      </c>
      <c r="B1729" s="94" t="n">
        <v>2023</v>
      </c>
      <c r="C1729" s="94" t="inlineStr">
        <is>
          <t>2023-Q3</t>
        </is>
      </c>
      <c r="D1729" s="186" t="n">
        <v>26573.9234797301</v>
      </c>
      <c r="E1729" s="188" t="n">
        <v>517968304453.255</v>
      </c>
      <c r="F1729" s="188" t="n">
        <v>6583511185.70839</v>
      </c>
    </row>
    <row r="1730" ht="15" customHeight="1" s="95">
      <c r="A1730" s="143" t="n">
        <v>45194</v>
      </c>
      <c r="B1730" s="94" t="n">
        <v>2023</v>
      </c>
      <c r="C1730" s="94" t="inlineStr">
        <is>
          <t>2023-Q3</t>
        </is>
      </c>
      <c r="D1730" s="186" t="n">
        <v>26249.5628978452</v>
      </c>
      <c r="E1730" s="188" t="n">
        <v>511787693512.028</v>
      </c>
      <c r="F1730" s="188" t="n">
        <v>7226298594.49552</v>
      </c>
    </row>
    <row r="1731" ht="15" customHeight="1" s="95">
      <c r="A1731" s="143" t="n">
        <v>45195</v>
      </c>
      <c r="B1731" s="94" t="n">
        <v>2023</v>
      </c>
      <c r="C1731" s="94" t="inlineStr">
        <is>
          <t>2023-Q3</t>
        </is>
      </c>
      <c r="D1731" s="186" t="n">
        <v>26298.6346782812</v>
      </c>
      <c r="E1731" s="188" t="n">
        <v>512103393581.803</v>
      </c>
      <c r="F1731" s="188" t="n">
        <v>11974957450.2763</v>
      </c>
    </row>
    <row r="1732" ht="15" customHeight="1" s="95">
      <c r="A1732" s="143" t="n">
        <v>45196</v>
      </c>
      <c r="B1732" s="94" t="n">
        <v>2023</v>
      </c>
      <c r="C1732" s="94" t="inlineStr">
        <is>
          <t>2023-Q3</t>
        </is>
      </c>
      <c r="D1732" s="186" t="n">
        <v>26204.757590836</v>
      </c>
      <c r="E1732" s="188" t="n">
        <v>511054250889.623</v>
      </c>
      <c r="F1732" s="188" t="n">
        <v>9786025048.05344</v>
      </c>
    </row>
    <row r="1733" ht="15" customHeight="1" s="95">
      <c r="A1733" s="143" t="n">
        <v>45197</v>
      </c>
      <c r="B1733" s="94" t="n">
        <v>2023</v>
      </c>
      <c r="C1733" s="94" t="inlineStr">
        <is>
          <t>2023-Q3</t>
        </is>
      </c>
      <c r="D1733" s="186" t="n">
        <v>26350.1468954281</v>
      </c>
      <c r="E1733" s="188" t="n">
        <v>513713645983.85</v>
      </c>
      <c r="F1733" s="188" t="n">
        <v>12889674588.3169</v>
      </c>
    </row>
    <row r="1734" ht="15" customHeight="1" s="95">
      <c r="A1734" s="143" t="n">
        <v>45198</v>
      </c>
      <c r="B1734" s="94" t="n">
        <v>2023</v>
      </c>
      <c r="C1734" s="94" t="inlineStr">
        <is>
          <t>2023-Q3</t>
        </is>
      </c>
      <c r="D1734" s="186" t="n">
        <v>27009.0137507249</v>
      </c>
      <c r="E1734" s="188" t="n">
        <v>526917684460.406</v>
      </c>
      <c r="F1734" s="188" t="n">
        <v>16683207554.8444</v>
      </c>
    </row>
    <row r="1735" ht="15" customHeight="1" s="95">
      <c r="A1735" s="143" t="n">
        <v>45199</v>
      </c>
      <c r="B1735" s="94" t="n">
        <v>2023</v>
      </c>
      <c r="C1735" s="94" t="inlineStr">
        <is>
          <t>2023-Q3</t>
        </is>
      </c>
      <c r="D1735" s="186" t="n">
        <v>26917.199101638</v>
      </c>
      <c r="E1735" s="188" t="n">
        <v>524946724658.764</v>
      </c>
      <c r="F1735" s="188" t="n">
        <v>9059145545.413549</v>
      </c>
    </row>
    <row r="1736" ht="15" customHeight="1" s="95">
      <c r="A1736" s="143" t="n">
        <v>45200</v>
      </c>
      <c r="B1736" s="94" t="n">
        <v>2023</v>
      </c>
      <c r="C1736" s="94" t="inlineStr">
        <is>
          <t>2023-Q4</t>
        </is>
      </c>
      <c r="D1736" s="186" t="n">
        <v>26969.8761440726</v>
      </c>
      <c r="E1736" s="188" t="n">
        <v>525936342995.455</v>
      </c>
      <c r="F1736" s="188" t="n">
        <v>6295435107.55599</v>
      </c>
    </row>
    <row r="1737" ht="15" customHeight="1" s="95">
      <c r="A1737" s="143" t="n">
        <v>45201</v>
      </c>
      <c r="B1737" s="94" t="n">
        <v>2023</v>
      </c>
      <c r="C1737" s="94" t="inlineStr">
        <is>
          <t>2023-Q4</t>
        </is>
      </c>
      <c r="D1737" s="186" t="n">
        <v>27967.5105790871</v>
      </c>
      <c r="E1737" s="188" t="n">
        <v>545302108027.209</v>
      </c>
      <c r="F1737" s="188" t="n">
        <v>9358226524.28536</v>
      </c>
    </row>
    <row r="1738" ht="15" customHeight="1" s="95">
      <c r="A1738" s="143" t="n">
        <v>45202</v>
      </c>
      <c r="B1738" s="94" t="n">
        <v>2023</v>
      </c>
      <c r="C1738" s="94" t="inlineStr">
        <is>
          <t>2023-Q4</t>
        </is>
      </c>
      <c r="D1738" s="186" t="n">
        <v>27615.0648850953</v>
      </c>
      <c r="E1738" s="188" t="n">
        <v>538323470357.883</v>
      </c>
      <c r="F1738" s="188" t="n">
        <v>18127133423.8819</v>
      </c>
    </row>
    <row r="1739" ht="15" customHeight="1" s="95">
      <c r="A1739" s="143" t="n">
        <v>45203</v>
      </c>
      <c r="B1739" s="94" t="n">
        <v>2023</v>
      </c>
      <c r="C1739" s="94" t="inlineStr">
        <is>
          <t>2023-Q4</t>
        </is>
      </c>
      <c r="D1739" s="186" t="n">
        <v>27439.1219467051</v>
      </c>
      <c r="E1739" s="188" t="n">
        <v>535605771922.48</v>
      </c>
      <c r="F1739" s="188" t="n">
        <v>12676657038.2934</v>
      </c>
    </row>
    <row r="1740" ht="15" customHeight="1" s="95">
      <c r="A1740" s="143" t="n">
        <v>45204</v>
      </c>
      <c r="B1740" s="94" t="n">
        <v>2023</v>
      </c>
      <c r="C1740" s="94" t="inlineStr">
        <is>
          <t>2023-Q4</t>
        </is>
      </c>
      <c r="D1740" s="186" t="n">
        <v>27792.1112772493</v>
      </c>
      <c r="E1740" s="188" t="n">
        <v>541954661181.112</v>
      </c>
      <c r="F1740" s="188" t="n">
        <v>10876597601.1233</v>
      </c>
    </row>
    <row r="1741" ht="15" customHeight="1" s="95">
      <c r="A1741" s="143" t="n">
        <v>45205</v>
      </c>
      <c r="B1741" s="94" t="n">
        <v>2023</v>
      </c>
      <c r="C1741" s="94" t="inlineStr">
        <is>
          <t>2023-Q4</t>
        </is>
      </c>
      <c r="D1741" s="186" t="n">
        <v>27435.8746151351</v>
      </c>
      <c r="E1741" s="188" t="n">
        <v>534851643044.505</v>
      </c>
      <c r="F1741" s="188" t="n">
        <v>13376186563.3112</v>
      </c>
    </row>
    <row r="1742" ht="15" customHeight="1" s="95">
      <c r="A1742" s="143" t="n">
        <v>45206</v>
      </c>
      <c r="B1742" s="94" t="n">
        <v>2023</v>
      </c>
      <c r="C1742" s="94" t="inlineStr">
        <is>
          <t>2023-Q4</t>
        </is>
      </c>
      <c r="D1742" s="186" t="n">
        <v>27958.1964373505</v>
      </c>
      <c r="E1742" s="188" t="n">
        <v>545154869332.655</v>
      </c>
      <c r="F1742" s="188" t="n">
        <v>13817979024.52</v>
      </c>
    </row>
    <row r="1743" ht="15" customHeight="1" s="95">
      <c r="A1743" s="143" t="n">
        <v>45207</v>
      </c>
      <c r="B1743" s="94" t="n">
        <v>2023</v>
      </c>
      <c r="C1743" s="94" t="inlineStr">
        <is>
          <t>2023-Q4</t>
        </is>
      </c>
      <c r="D1743" s="186" t="n">
        <v>27977.5434907</v>
      </c>
      <c r="E1743" s="188" t="n">
        <v>545619681437.398</v>
      </c>
      <c r="F1743" s="188" t="n">
        <v>7226218924.82088</v>
      </c>
    </row>
    <row r="1744" ht="15" customHeight="1" s="95">
      <c r="A1744" s="143" t="n">
        <v>45208</v>
      </c>
      <c r="B1744" s="94" t="n">
        <v>2023</v>
      </c>
      <c r="C1744" s="94" t="inlineStr">
        <is>
          <t>2023-Q4</t>
        </is>
      </c>
      <c r="D1744" s="186" t="n">
        <v>27948.1036517485</v>
      </c>
      <c r="E1744" s="188" t="n">
        <v>544989660641.623</v>
      </c>
      <c r="F1744" s="188" t="n">
        <v>7141598446.86921</v>
      </c>
    </row>
    <row r="1745" ht="15" customHeight="1" s="95">
      <c r="A1745" s="143" t="n">
        <v>45209</v>
      </c>
      <c r="B1745" s="94" t="n">
        <v>2023</v>
      </c>
      <c r="C1745" s="94" t="inlineStr">
        <is>
          <t>2023-Q4</t>
        </is>
      </c>
      <c r="D1745" s="186" t="n">
        <v>27593.7825344397</v>
      </c>
      <c r="E1745" s="188" t="n">
        <v>538282690587.88</v>
      </c>
      <c r="F1745" s="188" t="n">
        <v>7640029989.22432</v>
      </c>
    </row>
    <row r="1746" ht="15" customHeight="1" s="95">
      <c r="A1746" s="143" t="n">
        <v>45210</v>
      </c>
      <c r="B1746" s="94" t="n">
        <v>2023</v>
      </c>
      <c r="C1746" s="94" t="inlineStr">
        <is>
          <t>2023-Q4</t>
        </is>
      </c>
      <c r="D1746" s="186" t="n">
        <v>27392.2477027325</v>
      </c>
      <c r="E1746" s="188" t="n">
        <v>535200388379.763</v>
      </c>
      <c r="F1746" s="188" t="n">
        <v>10151720983.6691</v>
      </c>
    </row>
    <row r="1747" ht="15" customHeight="1" s="95">
      <c r="A1747" s="143" t="n">
        <v>45211</v>
      </c>
      <c r="B1747" s="94" t="n">
        <v>2023</v>
      </c>
      <c r="C1747" s="94" t="inlineStr">
        <is>
          <t>2023-Q4</t>
        </is>
      </c>
      <c r="D1747" s="186" t="n">
        <v>26842.1904390924</v>
      </c>
      <c r="E1747" s="188" t="n">
        <v>523656381533.046</v>
      </c>
      <c r="F1747" s="188" t="n">
        <v>14608441295.9425</v>
      </c>
    </row>
    <row r="1748" ht="15" customHeight="1" s="95">
      <c r="A1748" s="143" t="n">
        <v>45212</v>
      </c>
      <c r="B1748" s="94" t="n">
        <v>2023</v>
      </c>
      <c r="C1748" s="94" t="inlineStr">
        <is>
          <t>2023-Q4</t>
        </is>
      </c>
      <c r="D1748" s="186" t="n">
        <v>26729.1372058151</v>
      </c>
      <c r="E1748" s="188" t="n">
        <v>521607675083.351</v>
      </c>
      <c r="F1748" s="188" t="n">
        <v>10867640258.9258</v>
      </c>
    </row>
    <row r="1749" ht="15" customHeight="1" s="95">
      <c r="A1749" s="143" t="n">
        <v>45213</v>
      </c>
      <c r="B1749" s="94" t="n">
        <v>2023</v>
      </c>
      <c r="C1749" s="94" t="inlineStr">
        <is>
          <t>2023-Q4</t>
        </is>
      </c>
      <c r="D1749" s="186" t="n">
        <v>26841.1362206444</v>
      </c>
      <c r="E1749" s="188" t="n">
        <v>523655619453.741</v>
      </c>
      <c r="F1749" s="188" t="n">
        <v>14344414895.6175</v>
      </c>
    </row>
    <row r="1750" ht="15" customHeight="1" s="95">
      <c r="A1750" s="143" t="n">
        <v>45214</v>
      </c>
      <c r="B1750" s="94" t="n">
        <v>2023</v>
      </c>
      <c r="C1750" s="94" t="inlineStr">
        <is>
          <t>2023-Q4</t>
        </is>
      </c>
      <c r="D1750" s="186" t="n">
        <v>26863.1835690799</v>
      </c>
      <c r="E1750" s="188" t="n">
        <v>523979202939.078</v>
      </c>
      <c r="F1750" s="188" t="n">
        <v>5543160607.18868</v>
      </c>
    </row>
    <row r="1751" ht="15" customHeight="1" s="95">
      <c r="A1751" s="143" t="n">
        <v>45215</v>
      </c>
      <c r="B1751" s="94" t="n">
        <v>2023</v>
      </c>
      <c r="C1751" s="94" t="inlineStr">
        <is>
          <t>2023-Q4</t>
        </is>
      </c>
      <c r="D1751" s="186" t="n">
        <v>27150.2970014071</v>
      </c>
      <c r="E1751" s="188" t="n">
        <v>529643463244.338</v>
      </c>
      <c r="F1751" s="188" t="n">
        <v>6604845643.42894</v>
      </c>
    </row>
    <row r="1752" ht="15" customHeight="1" s="95">
      <c r="A1752" s="143" t="n">
        <v>45216</v>
      </c>
      <c r="B1752" s="94" t="n">
        <v>2023</v>
      </c>
      <c r="C1752" s="94" t="inlineStr">
        <is>
          <t>2023-Q4</t>
        </is>
      </c>
      <c r="D1752" s="186" t="n">
        <v>28513.3099324774</v>
      </c>
      <c r="E1752" s="188" t="n">
        <v>555338775502.111</v>
      </c>
      <c r="F1752" s="188" t="n">
        <v>22792799561.834</v>
      </c>
    </row>
    <row r="1753" ht="15" customHeight="1" s="95">
      <c r="A1753" s="143" t="n">
        <v>45217</v>
      </c>
      <c r="B1753" s="94" t="n">
        <v>2023</v>
      </c>
      <c r="C1753" s="94" t="inlineStr">
        <is>
          <t>2023-Q4</t>
        </is>
      </c>
      <c r="D1753" s="186" t="n">
        <v>28417.7217516998</v>
      </c>
      <c r="E1753" s="188" t="n">
        <v>555003134086.208</v>
      </c>
      <c r="F1753" s="188" t="n">
        <v>10403248077.492</v>
      </c>
    </row>
    <row r="1754" ht="15" customHeight="1" s="95">
      <c r="A1754" s="143" t="n">
        <v>45218</v>
      </c>
      <c r="B1754" s="94" t="n">
        <v>2023</v>
      </c>
      <c r="C1754" s="94" t="inlineStr">
        <is>
          <t>2023-Q4</t>
        </is>
      </c>
      <c r="D1754" s="186" t="n">
        <v>28328.2451981348</v>
      </c>
      <c r="E1754" s="188" t="n">
        <v>553311088369.71</v>
      </c>
      <c r="F1754" s="188" t="n">
        <v>13461030457.5589</v>
      </c>
    </row>
    <row r="1755" ht="15" customHeight="1" s="95">
      <c r="A1755" s="143" t="n">
        <v>45219</v>
      </c>
      <c r="B1755" s="94" t="n">
        <v>2023</v>
      </c>
      <c r="C1755" s="94" t="inlineStr">
        <is>
          <t>2023-Q4</t>
        </is>
      </c>
      <c r="D1755" s="186" t="n">
        <v>28715.748142408</v>
      </c>
      <c r="E1755" s="188" t="n">
        <v>559364043794.766</v>
      </c>
      <c r="F1755" s="188" t="n">
        <v>11193923144.4637</v>
      </c>
    </row>
    <row r="1756" ht="15" customHeight="1" s="95">
      <c r="A1756" s="143" t="n">
        <v>45220</v>
      </c>
      <c r="B1756" s="94" t="n">
        <v>2023</v>
      </c>
      <c r="C1756" s="94" t="inlineStr">
        <is>
          <t>2023-Q4</t>
        </is>
      </c>
      <c r="D1756" s="186" t="n">
        <v>29677.3928884762</v>
      </c>
      <c r="E1756" s="188" t="n">
        <v>579536788709.313</v>
      </c>
      <c r="F1756" s="188" t="n">
        <v>23561406297.7159</v>
      </c>
    </row>
    <row r="1757" ht="15" customHeight="1" s="95">
      <c r="A1757" s="143" t="n">
        <v>45221</v>
      </c>
      <c r="B1757" s="94" t="n">
        <v>2023</v>
      </c>
      <c r="C1757" s="94" t="inlineStr">
        <is>
          <t>2023-Q4</t>
        </is>
      </c>
      <c r="D1757" s="186" t="n">
        <v>29920.0744926515</v>
      </c>
      <c r="E1757" s="188" t="n">
        <v>583719549318.522</v>
      </c>
      <c r="F1757" s="188" t="n">
        <v>7452489477.48494</v>
      </c>
    </row>
    <row r="1758" ht="15" customHeight="1" s="95">
      <c r="A1758" s="143" t="n">
        <v>45222</v>
      </c>
      <c r="B1758" s="94" t="n">
        <v>2023</v>
      </c>
      <c r="C1758" s="94" t="inlineStr">
        <is>
          <t>2023-Q4</t>
        </is>
      </c>
      <c r="D1758" s="186" t="n">
        <v>30019.3805008635</v>
      </c>
      <c r="E1758" s="188" t="n">
        <v>583399133857.251</v>
      </c>
      <c r="F1758" s="188" t="n">
        <v>11330304246.0658</v>
      </c>
    </row>
    <row r="1759" ht="15" customHeight="1" s="95">
      <c r="A1759" s="143" t="n">
        <v>45223</v>
      </c>
      <c r="B1759" s="94" t="n">
        <v>2023</v>
      </c>
      <c r="C1759" s="94" t="inlineStr">
        <is>
          <t>2023-Q4</t>
        </is>
      </c>
      <c r="D1759" s="186" t="n">
        <v>32953.262760831</v>
      </c>
      <c r="E1759" s="188" t="n">
        <v>641535355789.079</v>
      </c>
      <c r="F1759" s="188" t="n">
        <v>35558857925.1489</v>
      </c>
    </row>
    <row r="1760" ht="15" customHeight="1" s="95">
      <c r="A1760" s="143" t="n">
        <v>45224</v>
      </c>
      <c r="B1760" s="94" t="n">
        <v>2023</v>
      </c>
      <c r="C1760" s="94" t="inlineStr">
        <is>
          <t>2023-Q4</t>
        </is>
      </c>
      <c r="D1760" s="186" t="n">
        <v>33846.7242573322</v>
      </c>
      <c r="E1760" s="188" t="n">
        <v>660676033939.139</v>
      </c>
      <c r="F1760" s="188" t="n">
        <v>46464714676.1856</v>
      </c>
    </row>
    <row r="1761" ht="15" customHeight="1" s="95">
      <c r="A1761" s="143" t="n">
        <v>45225</v>
      </c>
      <c r="B1761" s="94" t="n">
        <v>2023</v>
      </c>
      <c r="C1761" s="94" t="inlineStr">
        <is>
          <t>2023-Q4</t>
        </is>
      </c>
      <c r="D1761" s="186" t="n">
        <v>34471.986031672</v>
      </c>
      <c r="E1761" s="188" t="n">
        <v>673948847498.816</v>
      </c>
      <c r="F1761" s="188" t="n">
        <v>23840463172.4987</v>
      </c>
    </row>
    <row r="1762" ht="15" customHeight="1" s="95">
      <c r="A1762" s="143" t="n">
        <v>45226</v>
      </c>
      <c r="B1762" s="94" t="n">
        <v>2023</v>
      </c>
      <c r="C1762" s="94" t="inlineStr">
        <is>
          <t>2023-Q4</t>
        </is>
      </c>
      <c r="D1762" s="186" t="n">
        <v>34174.4515529126</v>
      </c>
      <c r="E1762" s="188" t="n">
        <v>667401630872.582</v>
      </c>
      <c r="F1762" s="188" t="n">
        <v>17712548549.5786</v>
      </c>
    </row>
    <row r="1763" ht="15" customHeight="1" s="95">
      <c r="A1763" s="143" t="n">
        <v>45227</v>
      </c>
      <c r="B1763" s="94" t="n">
        <v>2023</v>
      </c>
      <c r="C1763" s="94" t="inlineStr">
        <is>
          <t>2023-Q4</t>
        </is>
      </c>
      <c r="D1763" s="186" t="n">
        <v>33899.0930564403</v>
      </c>
      <c r="E1763" s="188" t="n">
        <v>662119938018.297</v>
      </c>
      <c r="F1763" s="188" t="n">
        <v>14148818689.4998</v>
      </c>
    </row>
    <row r="1764" ht="15" customHeight="1" s="95">
      <c r="A1764" s="143" t="n">
        <v>45228</v>
      </c>
      <c r="B1764" s="94" t="n">
        <v>2023</v>
      </c>
      <c r="C1764" s="94" t="inlineStr">
        <is>
          <t>2023-Q4</t>
        </is>
      </c>
      <c r="D1764" s="186" t="n">
        <v>34092.6309328386</v>
      </c>
      <c r="E1764" s="188" t="n">
        <v>665892923223.983</v>
      </c>
      <c r="F1764" s="188" t="n">
        <v>8431785274.86821</v>
      </c>
    </row>
    <row r="1765" ht="15" customHeight="1" s="95">
      <c r="A1765" s="143" t="n">
        <v>45229</v>
      </c>
      <c r="B1765" s="94" t="n">
        <v>2023</v>
      </c>
      <c r="C1765" s="94" t="inlineStr">
        <is>
          <t>2023-Q4</t>
        </is>
      </c>
      <c r="D1765" s="186" t="n">
        <v>34556.2428147616</v>
      </c>
      <c r="E1765" s="188" t="n">
        <v>674293769229.609</v>
      </c>
      <c r="F1765" s="188" t="n">
        <v>10359013389.4255</v>
      </c>
    </row>
    <row r="1766" ht="15" customHeight="1" s="95">
      <c r="A1766" s="143" t="n">
        <v>45230</v>
      </c>
      <c r="B1766" s="94" t="n">
        <v>2023</v>
      </c>
      <c r="C1766" s="94" t="inlineStr">
        <is>
          <t>2023-Q4</t>
        </is>
      </c>
      <c r="D1766" s="186" t="n">
        <v>34498.7039194641</v>
      </c>
      <c r="E1766" s="188" t="n">
        <v>673508057017.639</v>
      </c>
      <c r="F1766" s="188" t="n">
        <v>17075173423.648</v>
      </c>
    </row>
    <row r="1767" ht="15" customHeight="1" s="95">
      <c r="A1767" s="143" t="n">
        <v>45231</v>
      </c>
      <c r="B1767" s="94" t="n">
        <v>2023</v>
      </c>
      <c r="C1767" s="94" t="inlineStr">
        <is>
          <t>2023-Q4</t>
        </is>
      </c>
      <c r="D1767" s="186" t="n">
        <v>34672.2892841885</v>
      </c>
      <c r="E1767" s="188" t="n">
        <v>676319525450.079</v>
      </c>
      <c r="F1767" s="188" t="n">
        <v>16419150928.6524</v>
      </c>
    </row>
    <row r="1768" ht="15" customHeight="1" s="95">
      <c r="A1768" s="143" t="n">
        <v>45232</v>
      </c>
      <c r="B1768" s="94" t="n">
        <v>2023</v>
      </c>
      <c r="C1768" s="94" t="inlineStr">
        <is>
          <t>2023-Q4</t>
        </is>
      </c>
      <c r="D1768" s="186" t="n">
        <v>35457.4549121055</v>
      </c>
      <c r="E1768" s="188" t="n">
        <v>692543794894.761</v>
      </c>
      <c r="F1768" s="188" t="n">
        <v>18642295524.912</v>
      </c>
    </row>
    <row r="1769" ht="15" customHeight="1" s="95">
      <c r="A1769" s="143" t="n">
        <v>45233</v>
      </c>
      <c r="B1769" s="94" t="n">
        <v>2023</v>
      </c>
      <c r="C1769" s="94" t="inlineStr">
        <is>
          <t>2023-Q4</t>
        </is>
      </c>
      <c r="D1769" s="186" t="n">
        <v>34924.0554504433</v>
      </c>
      <c r="E1769" s="188" t="n">
        <v>681560028736.551</v>
      </c>
      <c r="F1769" s="188" t="n">
        <v>20690186421.9553</v>
      </c>
    </row>
    <row r="1770" ht="15" customHeight="1" s="95">
      <c r="A1770" s="143" t="n">
        <v>45234</v>
      </c>
      <c r="B1770" s="94" t="n">
        <v>2023</v>
      </c>
      <c r="C1770" s="94" t="inlineStr">
        <is>
          <t>2023-Q4</t>
        </is>
      </c>
      <c r="D1770" s="186" t="n">
        <v>34731.3813689678</v>
      </c>
      <c r="E1770" s="188" t="n">
        <v>677974451476.063</v>
      </c>
      <c r="F1770" s="188" t="n">
        <v>17254049537.0021</v>
      </c>
    </row>
    <row r="1771" ht="15" customHeight="1" s="95">
      <c r="A1771" s="143" t="n">
        <v>45235</v>
      </c>
      <c r="B1771" s="94" t="n">
        <v>2023</v>
      </c>
      <c r="C1771" s="94" t="inlineStr">
        <is>
          <t>2023-Q4</t>
        </is>
      </c>
      <c r="D1771" s="186" t="n">
        <v>35048.4078349011</v>
      </c>
      <c r="E1771" s="188" t="n">
        <v>685385094861.717</v>
      </c>
      <c r="F1771" s="188" t="n">
        <v>10001404422.9388</v>
      </c>
    </row>
    <row r="1772" ht="15" customHeight="1" s="95">
      <c r="A1772" s="143" t="n">
        <v>45236</v>
      </c>
      <c r="B1772" s="94" t="n">
        <v>2023</v>
      </c>
      <c r="C1772" s="94" t="inlineStr">
        <is>
          <t>2023-Q4</t>
        </is>
      </c>
      <c r="D1772" s="186" t="n">
        <v>35061.9287491958</v>
      </c>
      <c r="E1772" s="188" t="n">
        <v>684647430279.332</v>
      </c>
      <c r="F1772" s="188" t="n">
        <v>12796779677.5197</v>
      </c>
    </row>
    <row r="1773" ht="15" customHeight="1" s="95">
      <c r="A1773" s="143" t="n">
        <v>45237</v>
      </c>
      <c r="B1773" s="94" t="n">
        <v>2023</v>
      </c>
      <c r="C1773" s="94" t="inlineStr">
        <is>
          <t>2023-Q4</t>
        </is>
      </c>
      <c r="D1773" s="186" t="n">
        <v>35031.2688820871</v>
      </c>
      <c r="E1773" s="188" t="n">
        <v>683644463783.063</v>
      </c>
      <c r="F1773" s="188" t="n">
        <v>12717348149.5398</v>
      </c>
    </row>
    <row r="1774" ht="15" customHeight="1" s="95">
      <c r="A1774" s="143" t="n">
        <v>45238</v>
      </c>
      <c r="B1774" s="94" t="n">
        <v>2023</v>
      </c>
      <c r="C1774" s="94" t="inlineStr">
        <is>
          <t>2023-Q4</t>
        </is>
      </c>
      <c r="D1774" s="186" t="n">
        <v>35436.5376295796</v>
      </c>
      <c r="E1774" s="188" t="n">
        <v>691660755958.351</v>
      </c>
      <c r="F1774" s="188" t="n">
        <v>18582602380.3745</v>
      </c>
    </row>
    <row r="1775" ht="15" customHeight="1" s="95">
      <c r="A1775" s="143" t="n">
        <v>45239</v>
      </c>
      <c r="B1775" s="94" t="n">
        <v>2023</v>
      </c>
      <c r="C1775" s="94" t="inlineStr">
        <is>
          <t>2023-Q4</t>
        </is>
      </c>
      <c r="D1775" s="186" t="n">
        <v>35795.0806307102</v>
      </c>
      <c r="E1775" s="188" t="n">
        <v>699187515031.693</v>
      </c>
      <c r="F1775" s="188" t="n">
        <v>14717120833.2235</v>
      </c>
    </row>
    <row r="1776" ht="15" customHeight="1" s="95">
      <c r="A1776" s="143" t="n">
        <v>45240</v>
      </c>
      <c r="B1776" s="94" t="n">
        <v>2023</v>
      </c>
      <c r="C1776" s="94" t="inlineStr">
        <is>
          <t>2023-Q4</t>
        </is>
      </c>
      <c r="D1776" s="186" t="n">
        <v>36768.4208191267</v>
      </c>
      <c r="E1776" s="188" t="n">
        <v>717022051490.41</v>
      </c>
      <c r="F1776" s="188" t="n">
        <v>38190964507.1576</v>
      </c>
    </row>
    <row r="1777" ht="15" customHeight="1" s="95">
      <c r="A1777" s="143" t="n">
        <v>45241</v>
      </c>
      <c r="B1777" s="94" t="n">
        <v>2023</v>
      </c>
      <c r="C1777" s="94" t="inlineStr">
        <is>
          <t>2023-Q4</t>
        </is>
      </c>
      <c r="D1777" s="186" t="n">
        <v>37344.2490007204</v>
      </c>
      <c r="E1777" s="188" t="n">
        <v>730760729870.5</v>
      </c>
      <c r="F1777" s="188" t="n">
        <v>23152060053.4217</v>
      </c>
    </row>
    <row r="1778" ht="15" customHeight="1" s="95">
      <c r="A1778" s="143" t="n">
        <v>45242</v>
      </c>
      <c r="B1778" s="94" t="n">
        <v>2023</v>
      </c>
      <c r="C1778" s="94" t="inlineStr">
        <is>
          <t>2023-Q4</t>
        </is>
      </c>
      <c r="D1778" s="186" t="n">
        <v>37122.7228243066</v>
      </c>
      <c r="E1778" s="188" t="n">
        <v>720323851790.6949</v>
      </c>
      <c r="F1778" s="188" t="n">
        <v>12033297219.971</v>
      </c>
    </row>
    <row r="1779" ht="15" customHeight="1" s="95">
      <c r="A1779" s="143" t="n">
        <v>45243</v>
      </c>
      <c r="B1779" s="94" t="n">
        <v>2023</v>
      </c>
      <c r="C1779" s="94" t="inlineStr">
        <is>
          <t>2023-Q4</t>
        </is>
      </c>
      <c r="D1779" s="186" t="n">
        <v>37067.6969821201</v>
      </c>
      <c r="E1779" s="188" t="n">
        <v>725016899532.036</v>
      </c>
      <c r="F1779" s="188" t="n">
        <v>8831221164.408871</v>
      </c>
    </row>
    <row r="1780" ht="15" customHeight="1" s="95">
      <c r="A1780" s="143" t="n">
        <v>45244</v>
      </c>
      <c r="B1780" s="94" t="n">
        <v>2023</v>
      </c>
      <c r="C1780" s="94" t="inlineStr">
        <is>
          <t>2023-Q4</t>
        </is>
      </c>
      <c r="D1780" s="186" t="n">
        <v>36549.1620482984</v>
      </c>
      <c r="E1780" s="188" t="n">
        <v>714263437353.699</v>
      </c>
      <c r="F1780" s="188" t="n">
        <v>18041088204.3672</v>
      </c>
    </row>
    <row r="1781" ht="15" customHeight="1" s="95">
      <c r="A1781" s="143" t="n">
        <v>45245</v>
      </c>
      <c r="B1781" s="94" t="n">
        <v>2023</v>
      </c>
      <c r="C1781" s="94" t="inlineStr">
        <is>
          <t>2023-Q4</t>
        </is>
      </c>
      <c r="D1781" s="186" t="n">
        <v>35545.2014334541</v>
      </c>
      <c r="E1781" s="188" t="n">
        <v>694845286838.959</v>
      </c>
      <c r="F1781" s="188" t="n">
        <v>22330924588.0597</v>
      </c>
    </row>
    <row r="1782" ht="15" customHeight="1" s="95">
      <c r="A1782" s="143" t="n">
        <v>45246</v>
      </c>
      <c r="B1782" s="94" t="n">
        <v>2023</v>
      </c>
      <c r="C1782" s="94" t="inlineStr">
        <is>
          <t>2023-Q4</t>
        </is>
      </c>
      <c r="D1782" s="186" t="n">
        <v>37903.6624516629</v>
      </c>
      <c r="E1782" s="188" t="n">
        <v>739215831747.265</v>
      </c>
      <c r="F1782" s="188" t="n">
        <v>28479730068.2951</v>
      </c>
    </row>
    <row r="1783" ht="15" customHeight="1" s="95">
      <c r="A1783" s="143" t="n">
        <v>45247</v>
      </c>
      <c r="B1783" s="94" t="n">
        <v>2023</v>
      </c>
      <c r="C1783" s="94" t="inlineStr">
        <is>
          <t>2023-Q4</t>
        </is>
      </c>
      <c r="D1783" s="186" t="n">
        <v>36201.5161114614</v>
      </c>
      <c r="E1783" s="188" t="n">
        <v>707488742969.562</v>
      </c>
      <c r="F1783" s="188" t="n">
        <v>12023334732.1496</v>
      </c>
    </row>
    <row r="1784" ht="15" customHeight="1" s="95">
      <c r="A1784" s="143" t="n">
        <v>45248</v>
      </c>
      <c r="B1784" s="94" t="n">
        <v>2023</v>
      </c>
      <c r="C1784" s="94" t="inlineStr">
        <is>
          <t>2023-Q4</t>
        </is>
      </c>
      <c r="D1784" s="186" t="n">
        <v>36527.7602253074</v>
      </c>
      <c r="E1784" s="188" t="n">
        <v>714651953916.875</v>
      </c>
      <c r="F1784" s="188" t="n">
        <v>22683923623.9637</v>
      </c>
    </row>
    <row r="1785" ht="15" customHeight="1" s="95">
      <c r="A1785" s="143" t="n">
        <v>45249</v>
      </c>
      <c r="B1785" s="94" t="n">
        <v>2023</v>
      </c>
      <c r="C1785" s="94" t="inlineStr">
        <is>
          <t>2023-Q4</t>
        </is>
      </c>
      <c r="D1785" s="186" t="n">
        <v>36582.3684419227</v>
      </c>
      <c r="E1785" s="188" t="n">
        <v>715117663450.342</v>
      </c>
      <c r="F1785" s="188" t="n">
        <v>8877846889.346689</v>
      </c>
    </row>
    <row r="1786" ht="15" customHeight="1" s="95">
      <c r="A1786" s="143" t="n">
        <v>45250</v>
      </c>
      <c r="B1786" s="94" t="n">
        <v>2023</v>
      </c>
      <c r="C1786" s="94" t="inlineStr">
        <is>
          <t>2023-Q4</t>
        </is>
      </c>
      <c r="D1786" s="186" t="n">
        <v>37413.9946079053</v>
      </c>
      <c r="E1786" s="188" t="n">
        <v>732521837352.243</v>
      </c>
      <c r="F1786" s="188" t="n">
        <v>12599067947.7345</v>
      </c>
    </row>
    <row r="1787" ht="15" customHeight="1" s="95">
      <c r="A1787" s="143" t="n">
        <v>45251</v>
      </c>
      <c r="B1787" s="94" t="n">
        <v>2023</v>
      </c>
      <c r="C1787" s="94" t="inlineStr">
        <is>
          <t>2023-Q4</t>
        </is>
      </c>
      <c r="D1787" s="186" t="n">
        <v>37489.298470802</v>
      </c>
      <c r="E1787" s="188" t="n">
        <v>732673492672.517</v>
      </c>
      <c r="F1787" s="188" t="n">
        <v>16005284775.3117</v>
      </c>
    </row>
    <row r="1788" ht="15" customHeight="1" s="95">
      <c r="A1788" s="143" t="n">
        <v>45252</v>
      </c>
      <c r="B1788" s="94" t="n">
        <v>2023</v>
      </c>
      <c r="C1788" s="94" t="inlineStr">
        <is>
          <t>2023-Q4</t>
        </is>
      </c>
      <c r="D1788" s="186" t="n">
        <v>35965.3603606808</v>
      </c>
      <c r="E1788" s="188" t="n">
        <v>702705880301.698</v>
      </c>
      <c r="F1788" s="188" t="n">
        <v>18891503534.641</v>
      </c>
    </row>
    <row r="1789" ht="15" customHeight="1" s="95">
      <c r="A1789" s="143" t="n">
        <v>45253</v>
      </c>
      <c r="B1789" s="94" t="n">
        <v>2023</v>
      </c>
      <c r="C1789" s="94" t="inlineStr">
        <is>
          <t>2023-Q4</t>
        </is>
      </c>
      <c r="D1789" s="186" t="n">
        <v>37464.8329322091</v>
      </c>
      <c r="E1789" s="188" t="n">
        <v>732259726682.37</v>
      </c>
      <c r="F1789" s="188" t="n">
        <v>25245202377.3214</v>
      </c>
    </row>
    <row r="1790" ht="15" customHeight="1" s="95">
      <c r="A1790" s="143" t="n">
        <v>45254</v>
      </c>
      <c r="B1790" s="94" t="n">
        <v>2023</v>
      </c>
      <c r="C1790" s="94" t="inlineStr">
        <is>
          <t>2023-Q4</t>
        </is>
      </c>
      <c r="D1790" s="186" t="n">
        <v>37293.3161274267</v>
      </c>
      <c r="E1790" s="188" t="n">
        <v>728816537112.472</v>
      </c>
      <c r="F1790" s="188" t="n">
        <v>11956046626.607</v>
      </c>
    </row>
    <row r="1791" ht="15" customHeight="1" s="95">
      <c r="A1791" s="143" t="n">
        <v>45255</v>
      </c>
      <c r="B1791" s="94" t="n">
        <v>2023</v>
      </c>
      <c r="C1791" s="94" t="inlineStr">
        <is>
          <t>2023-Q4</t>
        </is>
      </c>
      <c r="D1791" s="186" t="n">
        <v>37738.9316974713</v>
      </c>
      <c r="E1791" s="188" t="n">
        <v>737614054534.814</v>
      </c>
      <c r="F1791" s="188" t="n">
        <v>22996708651.5423</v>
      </c>
    </row>
    <row r="1792" ht="15" customHeight="1" s="95">
      <c r="A1792" s="143" t="n">
        <v>45256</v>
      </c>
      <c r="B1792" s="94" t="n">
        <v>2023</v>
      </c>
      <c r="C1792" s="94" t="inlineStr">
        <is>
          <t>2023-Q4</t>
        </is>
      </c>
      <c r="D1792" s="186" t="n">
        <v>37809.8528662532</v>
      </c>
      <c r="E1792" s="188" t="n">
        <v>739536714717.24</v>
      </c>
      <c r="F1792" s="188" t="n">
        <v>7505379785.01179</v>
      </c>
    </row>
    <row r="1793" ht="15" customHeight="1" s="95">
      <c r="A1793" s="143" t="n">
        <v>45257</v>
      </c>
      <c r="B1793" s="94" t="n">
        <v>2023</v>
      </c>
      <c r="C1793" s="94" t="inlineStr">
        <is>
          <t>2023-Q4</t>
        </is>
      </c>
      <c r="D1793" s="186" t="n">
        <v>37491.8381860081</v>
      </c>
      <c r="E1793" s="188" t="n">
        <v>733376783676.3199</v>
      </c>
      <c r="F1793" s="188" t="n">
        <v>10229112671.3742</v>
      </c>
    </row>
    <row r="1794" ht="15" customHeight="1" s="95">
      <c r="A1794" s="143" t="n">
        <v>45258</v>
      </c>
      <c r="B1794" s="94" t="n">
        <v>2023</v>
      </c>
      <c r="C1794" s="94" t="inlineStr">
        <is>
          <t>2023-Q4</t>
        </is>
      </c>
      <c r="D1794" s="186" t="n">
        <v>37250.1690514812</v>
      </c>
      <c r="E1794" s="188" t="n">
        <v>728040168286.048</v>
      </c>
      <c r="F1794" s="188" t="n">
        <v>17979133247.8808</v>
      </c>
    </row>
    <row r="1795" ht="15" customHeight="1" s="95">
      <c r="A1795" s="143" t="n">
        <v>45259</v>
      </c>
      <c r="B1795" s="94" t="n">
        <v>2023</v>
      </c>
      <c r="C1795" s="94" t="inlineStr">
        <is>
          <t>2023-Q4</t>
        </is>
      </c>
      <c r="D1795" s="186" t="n">
        <v>37802.2360437747</v>
      </c>
      <c r="E1795" s="188" t="n">
        <v>738816928726.559</v>
      </c>
      <c r="F1795" s="188" t="n">
        <v>19715537240.6886</v>
      </c>
    </row>
    <row r="1796" ht="15" customHeight="1" s="95">
      <c r="A1796" s="143" t="n">
        <v>45260</v>
      </c>
      <c r="B1796" s="94" t="n">
        <v>2023</v>
      </c>
      <c r="C1796" s="94" t="inlineStr">
        <is>
          <t>2023-Q4</t>
        </is>
      </c>
      <c r="D1796" s="186" t="n">
        <v>37810.3464165413</v>
      </c>
      <c r="E1796" s="188" t="n">
        <v>740494537382.599</v>
      </c>
      <c r="F1796" s="188" t="n">
        <v>20964545194.8045</v>
      </c>
    </row>
    <row r="1797" ht="15" customHeight="1" s="95">
      <c r="A1797" s="143" t="n">
        <v>45261</v>
      </c>
      <c r="B1797" s="94" t="n">
        <v>2023</v>
      </c>
      <c r="C1797" s="94" t="inlineStr">
        <is>
          <t>2023-Q4</t>
        </is>
      </c>
      <c r="D1797" s="186" t="n">
        <v>37711.8183758527</v>
      </c>
      <c r="E1797" s="188" t="n">
        <v>737659515838.61</v>
      </c>
      <c r="F1797" s="188" t="n">
        <v>16566770727.5608</v>
      </c>
    </row>
    <row r="1798" ht="15" customHeight="1" s="95">
      <c r="A1798" s="143" t="n">
        <v>45262</v>
      </c>
      <c r="B1798" s="94" t="n">
        <v>2023</v>
      </c>
      <c r="C1798" s="94" t="inlineStr">
        <is>
          <t>2023-Q4</t>
        </is>
      </c>
      <c r="D1798" s="186" t="n">
        <v>38688.2587417907</v>
      </c>
      <c r="E1798" s="188" t="n">
        <v>756249390093.028</v>
      </c>
      <c r="F1798" s="188" t="n">
        <v>24470176251.5665</v>
      </c>
    </row>
    <row r="1799" ht="15" customHeight="1" s="95">
      <c r="A1799" s="143" t="n">
        <v>45263</v>
      </c>
      <c r="B1799" s="94" t="n">
        <v>2023</v>
      </c>
      <c r="C1799" s="94" t="inlineStr">
        <is>
          <t>2023-Q4</t>
        </is>
      </c>
      <c r="D1799" s="186" t="n">
        <v>39481.6664160629</v>
      </c>
      <c r="E1799" s="188" t="n">
        <v>771834682369.278</v>
      </c>
      <c r="F1799" s="188" t="n">
        <v>14892418344.3286</v>
      </c>
    </row>
    <row r="1800" ht="15" customHeight="1" s="95">
      <c r="A1800" s="143" t="n">
        <v>45264</v>
      </c>
      <c r="B1800" s="94" t="n">
        <v>2023</v>
      </c>
      <c r="C1800" s="94" t="inlineStr">
        <is>
          <t>2023-Q4</t>
        </is>
      </c>
      <c r="D1800" s="186" t="n">
        <v>39960.2754204105</v>
      </c>
      <c r="E1800" s="188" t="n">
        <v>782845232813.069</v>
      </c>
      <c r="F1800" s="188" t="n">
        <v>14107800648.6293</v>
      </c>
    </row>
    <row r="1801" ht="15" customHeight="1" s="95">
      <c r="A1801" s="143" t="n">
        <v>45265</v>
      </c>
      <c r="B1801" s="94" t="n">
        <v>2023</v>
      </c>
      <c r="C1801" s="94" t="inlineStr">
        <is>
          <t>2023-Q4</t>
        </is>
      </c>
      <c r="D1801" s="186" t="n">
        <v>41974.3317725433</v>
      </c>
      <c r="E1801" s="188" t="n">
        <v>820527379429.342</v>
      </c>
      <c r="F1801" s="188" t="n">
        <v>40273974905.3823</v>
      </c>
    </row>
    <row r="1802" ht="15" customHeight="1" s="95">
      <c r="A1802" s="143" t="n">
        <v>45266</v>
      </c>
      <c r="B1802" s="94" t="n">
        <v>2023</v>
      </c>
      <c r="C1802" s="94" t="inlineStr">
        <is>
          <t>2023-Q4</t>
        </is>
      </c>
      <c r="D1802" s="186" t="n">
        <v>44105.9447725994</v>
      </c>
      <c r="E1802" s="188" t="n">
        <v>863171503830.323</v>
      </c>
      <c r="F1802" s="188" t="n">
        <v>37740677039.99</v>
      </c>
    </row>
    <row r="1803" ht="15" customHeight="1" s="95">
      <c r="A1803" s="143" t="n">
        <v>45267</v>
      </c>
      <c r="B1803" s="94" t="n">
        <v>2023</v>
      </c>
      <c r="C1803" s="94" t="inlineStr">
        <is>
          <t>2023-Q4</t>
        </is>
      </c>
      <c r="D1803" s="186" t="n">
        <v>43788.2888082523</v>
      </c>
      <c r="E1803" s="188" t="n">
        <v>857037901744.541</v>
      </c>
      <c r="F1803" s="188" t="n">
        <v>30306637687.6012</v>
      </c>
    </row>
    <row r="1804" ht="15" customHeight="1" s="95">
      <c r="A1804" s="143" t="n">
        <v>45268</v>
      </c>
      <c r="B1804" s="94" t="n">
        <v>2023</v>
      </c>
      <c r="C1804" s="94" t="inlineStr">
        <is>
          <t>2023-Q4</t>
        </is>
      </c>
      <c r="D1804" s="186" t="n">
        <v>43270.1195597075</v>
      </c>
      <c r="E1804" s="188" t="n">
        <v>848245522795.333</v>
      </c>
      <c r="F1804" s="188" t="n">
        <v>27712048105.0234</v>
      </c>
    </row>
    <row r="1805" ht="15" customHeight="1" s="95">
      <c r="A1805" s="143" t="n">
        <v>45269</v>
      </c>
      <c r="B1805" s="94" t="n">
        <v>2023</v>
      </c>
      <c r="C1805" s="94" t="inlineStr">
        <is>
          <t>2023-Q4</t>
        </is>
      </c>
      <c r="D1805" s="186" t="n">
        <v>44202.1761094362</v>
      </c>
      <c r="E1805" s="188" t="n">
        <v>863242780337.311</v>
      </c>
      <c r="F1805" s="188" t="n">
        <v>24726661392.9842</v>
      </c>
    </row>
    <row r="1806" ht="15" customHeight="1" s="95">
      <c r="A1806" s="143" t="n">
        <v>45270</v>
      </c>
      <c r="B1806" s="94" t="n">
        <v>2023</v>
      </c>
      <c r="C1806" s="94" t="inlineStr">
        <is>
          <t>2023-Q4</t>
        </is>
      </c>
      <c r="D1806" s="186" t="n">
        <v>43745.4919918955</v>
      </c>
      <c r="E1806" s="188" t="n">
        <v>855611272269.6949</v>
      </c>
      <c r="F1806" s="188" t="n">
        <v>17074228506.0415</v>
      </c>
    </row>
    <row r="1807" ht="15" customHeight="1" s="95">
      <c r="A1807" s="143" t="n">
        <v>45271</v>
      </c>
      <c r="B1807" s="94" t="n">
        <v>2023</v>
      </c>
      <c r="C1807" s="94" t="inlineStr">
        <is>
          <t>2023-Q4</t>
        </is>
      </c>
      <c r="D1807" s="186" t="n">
        <v>43757.9599376192</v>
      </c>
      <c r="E1807" s="188" t="n">
        <v>856192504674.193</v>
      </c>
      <c r="F1807" s="188" t="n">
        <v>11865167562.1797</v>
      </c>
    </row>
    <row r="1808" ht="15" customHeight="1" s="95">
      <c r="A1808" s="143" t="n">
        <v>45272</v>
      </c>
      <c r="B1808" s="94" t="n">
        <v>2023</v>
      </c>
      <c r="C1808" s="94" t="inlineStr">
        <is>
          <t>2023-Q4</t>
        </is>
      </c>
      <c r="D1808" s="186" t="n">
        <v>41200.9627261017</v>
      </c>
      <c r="E1808" s="188" t="n">
        <v>806178244439.141</v>
      </c>
      <c r="F1808" s="188" t="n">
        <v>39734542163.6617</v>
      </c>
    </row>
    <row r="1809" ht="15" customHeight="1" s="95">
      <c r="A1809" s="143" t="n">
        <v>45273</v>
      </c>
      <c r="B1809" s="94" t="n">
        <v>2023</v>
      </c>
      <c r="C1809" s="94" t="inlineStr">
        <is>
          <t>2023-Q4</t>
        </is>
      </c>
      <c r="D1809" s="186" t="n">
        <v>41450.8193873774</v>
      </c>
      <c r="E1809" s="188" t="n">
        <v>812055172695.532</v>
      </c>
      <c r="F1809" s="188" t="n">
        <v>24919333990.6271</v>
      </c>
    </row>
    <row r="1810" ht="15" customHeight="1" s="95">
      <c r="A1810" s="143" t="n">
        <v>45274</v>
      </c>
      <c r="B1810" s="94" t="n">
        <v>2023</v>
      </c>
      <c r="C1810" s="94" t="inlineStr">
        <is>
          <t>2023-Q4</t>
        </is>
      </c>
      <c r="D1810" s="186" t="n">
        <v>42931.7618260325</v>
      </c>
      <c r="E1810" s="188" t="n">
        <v>840112594142.661</v>
      </c>
      <c r="F1810" s="188" t="n">
        <v>26301358636.1249</v>
      </c>
    </row>
    <row r="1811" ht="15" customHeight="1" s="95">
      <c r="A1811" s="143" t="n">
        <v>45275</v>
      </c>
      <c r="B1811" s="94" t="n">
        <v>2023</v>
      </c>
      <c r="C1811" s="94" t="inlineStr">
        <is>
          <t>2023-Q4</t>
        </is>
      </c>
      <c r="D1811" s="186" t="n">
        <v>43009.5954563739</v>
      </c>
      <c r="E1811" s="188" t="n">
        <v>841400560142.884</v>
      </c>
      <c r="F1811" s="188" t="n">
        <v>22978695605.4827</v>
      </c>
    </row>
    <row r="1812" ht="15" customHeight="1" s="95">
      <c r="A1812" s="143" t="n">
        <v>45276</v>
      </c>
      <c r="B1812" s="94" t="n">
        <v>2023</v>
      </c>
      <c r="C1812" s="94" t="inlineStr">
        <is>
          <t>2023-Q4</t>
        </is>
      </c>
      <c r="D1812" s="186" t="n">
        <v>41992.014187224</v>
      </c>
      <c r="E1812" s="188" t="n">
        <v>821883086852.3781</v>
      </c>
      <c r="F1812" s="188" t="n">
        <v>17134765249.0726</v>
      </c>
    </row>
    <row r="1813" ht="15" customHeight="1" s="95">
      <c r="A1813" s="143" t="n">
        <v>45277</v>
      </c>
      <c r="B1813" s="94" t="n">
        <v>2023</v>
      </c>
      <c r="C1813" s="94" t="inlineStr">
        <is>
          <t>2023-Q4</t>
        </is>
      </c>
      <c r="D1813" s="186" t="n">
        <v>42247.0678817223</v>
      </c>
      <c r="E1813" s="188" t="n">
        <v>825747211475.3831</v>
      </c>
      <c r="F1813" s="188" t="n">
        <v>13524832238.374</v>
      </c>
    </row>
    <row r="1814" ht="15" customHeight="1" s="95">
      <c r="A1814" s="143" t="n">
        <v>45278</v>
      </c>
      <c r="B1814" s="94" t="n">
        <v>2023</v>
      </c>
      <c r="C1814" s="94" t="inlineStr">
        <is>
          <t>2023-Q4</t>
        </is>
      </c>
      <c r="D1814" s="186" t="n">
        <v>41410.8196345759</v>
      </c>
      <c r="E1814" s="188" t="n">
        <v>810534011290.708</v>
      </c>
      <c r="F1814" s="188" t="n">
        <v>16536428696.4614</v>
      </c>
    </row>
    <row r="1815" ht="15" customHeight="1" s="95">
      <c r="A1815" s="143" t="n">
        <v>45279</v>
      </c>
      <c r="B1815" s="94" t="n">
        <v>2023</v>
      </c>
      <c r="C1815" s="94" t="inlineStr">
        <is>
          <t>2023-Q4</t>
        </is>
      </c>
      <c r="D1815" s="186" t="n">
        <v>42684.1825546834</v>
      </c>
      <c r="E1815" s="188" t="n">
        <v>834757901244.338</v>
      </c>
      <c r="F1815" s="188" t="n">
        <v>26473040426.6082</v>
      </c>
    </row>
    <row r="1816" ht="15" customHeight="1" s="95">
      <c r="A1816" s="143" t="n">
        <v>45280</v>
      </c>
      <c r="B1816" s="94" t="n">
        <v>2023</v>
      </c>
      <c r="C1816" s="94" t="inlineStr">
        <is>
          <t>2023-Q4</t>
        </is>
      </c>
      <c r="D1816" s="186" t="n">
        <v>42250.2061827975</v>
      </c>
      <c r="E1816" s="188" t="n">
        <v>827483345952.5031</v>
      </c>
      <c r="F1816" s="188" t="n">
        <v>23402523667.559</v>
      </c>
    </row>
    <row r="1817" ht="15" customHeight="1" s="95">
      <c r="A1817" s="143" t="n">
        <v>45281</v>
      </c>
      <c r="B1817" s="94" t="n">
        <v>2023</v>
      </c>
      <c r="C1817" s="94" t="inlineStr">
        <is>
          <t>2023-Q4</t>
        </is>
      </c>
      <c r="D1817" s="186" t="n">
        <v>43634.1241684964</v>
      </c>
      <c r="E1817" s="188" t="n">
        <v>854173854159.818</v>
      </c>
      <c r="F1817" s="188" t="n">
        <v>28334648885.879</v>
      </c>
    </row>
    <row r="1818" ht="15" customHeight="1" s="95">
      <c r="A1818" s="143" t="n">
        <v>45282</v>
      </c>
      <c r="B1818" s="94" t="n">
        <v>2023</v>
      </c>
      <c r="C1818" s="94" t="inlineStr">
        <is>
          <t>2023-Q4</t>
        </is>
      </c>
      <c r="D1818" s="186" t="n">
        <v>43849.6995993962</v>
      </c>
      <c r="E1818" s="188" t="n">
        <v>858312140014.948</v>
      </c>
      <c r="F1818" s="188" t="n">
        <v>21948638202.5834</v>
      </c>
    </row>
    <row r="1819" ht="15" customHeight="1" s="95">
      <c r="A1819" s="143" t="n">
        <v>45283</v>
      </c>
      <c r="B1819" s="94" t="n">
        <v>2023</v>
      </c>
      <c r="C1819" s="94" t="inlineStr">
        <is>
          <t>2023-Q4</t>
        </is>
      </c>
      <c r="D1819" s="186" t="n">
        <v>44003.6960216438</v>
      </c>
      <c r="E1819" s="188" t="n">
        <v>861822676200.425</v>
      </c>
      <c r="F1819" s="188" t="n">
        <v>20833936534.6286</v>
      </c>
    </row>
    <row r="1820" ht="15" customHeight="1" s="95">
      <c r="A1820" s="143" t="n">
        <v>45284</v>
      </c>
      <c r="B1820" s="94" t="n">
        <v>2023</v>
      </c>
      <c r="C1820" s="94" t="inlineStr">
        <is>
          <t>2023-Q4</t>
        </is>
      </c>
      <c r="D1820" s="186" t="n">
        <v>43752.0308847838</v>
      </c>
      <c r="E1820" s="188" t="n">
        <v>856850313226.057</v>
      </c>
      <c r="F1820" s="188" t="n">
        <v>9872050975.65797</v>
      </c>
    </row>
    <row r="1821" ht="15" customHeight="1" s="95">
      <c r="A1821" s="143" t="n">
        <v>45285</v>
      </c>
      <c r="B1821" s="94" t="n">
        <v>2023</v>
      </c>
      <c r="C1821" s="94" t="inlineStr">
        <is>
          <t>2023-Q4</t>
        </is>
      </c>
      <c r="D1821" s="186" t="n">
        <v>43034.9710630915</v>
      </c>
      <c r="E1821" s="188" t="n">
        <v>845029028630.443</v>
      </c>
      <c r="F1821" s="188" t="n">
        <v>18313974069.8228</v>
      </c>
    </row>
    <row r="1822" ht="15" customHeight="1" s="95">
      <c r="A1822" s="143" t="n">
        <v>45286</v>
      </c>
      <c r="B1822" s="94" t="n">
        <v>2023</v>
      </c>
      <c r="C1822" s="94" t="inlineStr">
        <is>
          <t>2023-Q4</t>
        </is>
      </c>
      <c r="D1822" s="186" t="n">
        <v>43638.2363022009</v>
      </c>
      <c r="E1822" s="188" t="n">
        <v>854524607072.98</v>
      </c>
      <c r="F1822" s="188" t="n">
        <v>18744716867.393</v>
      </c>
    </row>
    <row r="1823" ht="15" customHeight="1" s="95">
      <c r="A1823" s="143" t="n">
        <v>45287</v>
      </c>
      <c r="B1823" s="94" t="n">
        <v>2023</v>
      </c>
      <c r="C1823" s="94" t="inlineStr">
        <is>
          <t>2023-Q4</t>
        </is>
      </c>
      <c r="D1823" s="186" t="n">
        <v>42516.4269402825</v>
      </c>
      <c r="E1823" s="188" t="n">
        <v>832471600531.684</v>
      </c>
      <c r="F1823" s="188" t="n">
        <v>20477744539.8723</v>
      </c>
    </row>
    <row r="1824" ht="15" customHeight="1" s="95">
      <c r="A1824" s="143" t="n">
        <v>45288</v>
      </c>
      <c r="B1824" s="94" t="n">
        <v>2023</v>
      </c>
      <c r="C1824" s="94" t="inlineStr">
        <is>
          <t>2023-Q4</t>
        </is>
      </c>
      <c r="D1824" s="186" t="n">
        <v>43418.4677750429</v>
      </c>
      <c r="E1824" s="188" t="n">
        <v>849194163327.484</v>
      </c>
      <c r="F1824" s="188" t="n">
        <v>23244754807.444</v>
      </c>
    </row>
    <row r="1825" ht="15" customHeight="1" s="95">
      <c r="A1825" s="143" t="n">
        <v>45289</v>
      </c>
      <c r="B1825" s="94" t="n">
        <v>2023</v>
      </c>
      <c r="C1825" s="94" t="inlineStr">
        <is>
          <t>2023-Q4</t>
        </is>
      </c>
      <c r="D1825" s="186" t="n">
        <v>42600.6506331562</v>
      </c>
      <c r="E1825" s="188" t="n">
        <v>836073458797.803</v>
      </c>
      <c r="F1825" s="188" t="n">
        <v>20336573643.8193</v>
      </c>
    </row>
    <row r="1826" ht="15" customHeight="1" s="95">
      <c r="A1826" s="143" t="n">
        <v>45290</v>
      </c>
      <c r="B1826" s="94" t="n">
        <v>2023</v>
      </c>
      <c r="C1826" s="94" t="inlineStr">
        <is>
          <t>2023-Q4</t>
        </is>
      </c>
      <c r="D1826" s="186" t="n">
        <v>42074.7071561885</v>
      </c>
      <c r="E1826" s="188" t="n">
        <v>822933961870.542</v>
      </c>
      <c r="F1826" s="188" t="n">
        <v>24832397519.0506</v>
      </c>
    </row>
    <row r="1827" ht="15" customHeight="1" s="95">
      <c r="A1827" s="143" t="n">
        <v>45291</v>
      </c>
      <c r="B1827" s="94" t="n">
        <v>2023</v>
      </c>
      <c r="C1827" s="94" t="inlineStr">
        <is>
          <t>2023-Q4</t>
        </is>
      </c>
      <c r="D1827" s="186" t="n">
        <v>42220.6114012138</v>
      </c>
      <c r="E1827" s="188" t="n">
        <v>826609156660.512</v>
      </c>
      <c r="F1827" s="188" t="n">
        <v>14727224645.4177</v>
      </c>
    </row>
    <row r="1828" ht="15" customHeight="1" s="95">
      <c r="A1828" s="143" t="n">
        <v>45292</v>
      </c>
      <c r="B1828" s="94" t="n">
        <v>2024</v>
      </c>
      <c r="C1828" s="94" t="inlineStr">
        <is>
          <t>2024-Q1</t>
        </is>
      </c>
      <c r="D1828" s="186" t="n">
        <v>42208.2021761865</v>
      </c>
      <c r="E1828" s="188" t="n">
        <v>827596236151.196</v>
      </c>
      <c r="F1828" s="188" t="n">
        <v>14183728910.1698</v>
      </c>
    </row>
    <row r="1829" ht="15" customHeight="1" s="95">
      <c r="A1829" s="143" t="n">
        <v>45293</v>
      </c>
      <c r="B1829" s="94" t="n">
        <v>2024</v>
      </c>
      <c r="C1829" s="94" t="inlineStr">
        <is>
          <t>2024-Q1</t>
        </is>
      </c>
      <c r="D1829" s="186" t="n">
        <v>44168.6811868747</v>
      </c>
      <c r="E1829" s="188" t="n">
        <v>863804922701.813</v>
      </c>
      <c r="F1829" s="188" t="n">
        <v>16958999497.5836</v>
      </c>
    </row>
    <row r="1830" ht="15" customHeight="1" s="95">
      <c r="A1830" s="143" t="n">
        <v>45294</v>
      </c>
      <c r="B1830" s="94" t="n">
        <v>2024</v>
      </c>
      <c r="C1830" s="94" t="inlineStr">
        <is>
          <t>2024-Q1</t>
        </is>
      </c>
      <c r="D1830" s="186" t="n">
        <v>44994.6738868924</v>
      </c>
      <c r="E1830" s="188" t="n">
        <v>878395004792.8409</v>
      </c>
      <c r="F1830" s="188" t="n">
        <v>39089952715.5428</v>
      </c>
    </row>
    <row r="1831" ht="15" customHeight="1" s="95">
      <c r="A1831" s="143" t="n">
        <v>45295</v>
      </c>
      <c r="B1831" s="94" t="n">
        <v>2024</v>
      </c>
      <c r="C1831" s="94" t="inlineStr">
        <is>
          <t>2024-Q1</t>
        </is>
      </c>
      <c r="D1831" s="186" t="n">
        <v>42821.558989158</v>
      </c>
      <c r="E1831" s="188" t="n">
        <v>838208392904.177</v>
      </c>
      <c r="F1831" s="188" t="n">
        <v>43146162597.5675</v>
      </c>
    </row>
    <row r="1832" ht="15" customHeight="1" s="95">
      <c r="A1832" s="143" t="n">
        <v>45296</v>
      </c>
      <c r="B1832" s="94" t="n">
        <v>2024</v>
      </c>
      <c r="C1832" s="94" t="inlineStr">
        <is>
          <t>2024-Q1</t>
        </is>
      </c>
      <c r="D1832" s="186" t="n">
        <v>44195.5785620997</v>
      </c>
      <c r="E1832" s="188" t="n">
        <v>866352960236.864</v>
      </c>
      <c r="F1832" s="188" t="n">
        <v>26123887042.7978</v>
      </c>
    </row>
    <row r="1833" ht="15" customHeight="1" s="95">
      <c r="A1833" s="143" t="n">
        <v>45297</v>
      </c>
      <c r="B1833" s="94" t="n">
        <v>2024</v>
      </c>
      <c r="C1833" s="94" t="inlineStr">
        <is>
          <t>2024-Q1</t>
        </is>
      </c>
      <c r="D1833" s="186" t="n">
        <v>44113.6997338908</v>
      </c>
      <c r="E1833" s="188" t="n">
        <v>863690851062.025</v>
      </c>
      <c r="F1833" s="188" t="n">
        <v>29364675804.0104</v>
      </c>
    </row>
    <row r="1834" ht="15" customHeight="1" s="95">
      <c r="A1834" s="143" t="n">
        <v>45298</v>
      </c>
      <c r="B1834" s="94" t="n">
        <v>2024</v>
      </c>
      <c r="C1834" s="94" t="inlineStr">
        <is>
          <t>2024-Q1</t>
        </is>
      </c>
      <c r="D1834" s="186" t="n">
        <v>43956.1207172015</v>
      </c>
      <c r="E1834" s="188" t="n">
        <v>861211168830.469</v>
      </c>
      <c r="F1834" s="188" t="n">
        <v>11841102132.2394</v>
      </c>
    </row>
    <row r="1835" ht="15" customHeight="1" s="95">
      <c r="A1835" s="143" t="n">
        <v>45299</v>
      </c>
      <c r="B1835" s="94" t="n">
        <v>2024</v>
      </c>
      <c r="C1835" s="94" t="inlineStr">
        <is>
          <t>2024-Q1</t>
        </is>
      </c>
      <c r="D1835" s="186" t="n">
        <v>43883.7438790517</v>
      </c>
      <c r="E1835" s="188" t="n">
        <v>856926317087.495</v>
      </c>
      <c r="F1835" s="188" t="n">
        <v>15144653805.3628</v>
      </c>
    </row>
    <row r="1836" ht="15" customHeight="1" s="95">
      <c r="A1836" s="143" t="n">
        <v>45300</v>
      </c>
      <c r="B1836" s="94" t="n">
        <v>2024</v>
      </c>
      <c r="C1836" s="94" t="inlineStr">
        <is>
          <t>2024-Q1</t>
        </is>
      </c>
      <c r="D1836" s="186" t="n">
        <v>46936.1855612175</v>
      </c>
      <c r="E1836" s="188" t="n">
        <v>919666641903.41</v>
      </c>
      <c r="F1836" s="188" t="n">
        <v>40821502383.5006</v>
      </c>
    </row>
    <row r="1837" ht="15" customHeight="1" s="95">
      <c r="A1837" s="143" t="n">
        <v>45301</v>
      </c>
      <c r="B1837" s="94" t="n">
        <v>2024</v>
      </c>
      <c r="C1837" s="94" t="inlineStr">
        <is>
          <t>2024-Q1</t>
        </is>
      </c>
      <c r="D1837" s="186" t="n">
        <v>46105.946078287</v>
      </c>
      <c r="E1837" s="188" t="n">
        <v>902166917320.326</v>
      </c>
      <c r="F1837" s="188" t="n">
        <v>39887918405.7787</v>
      </c>
    </row>
    <row r="1838" ht="15" customHeight="1" s="95">
      <c r="A1838" s="143" t="n">
        <v>45302</v>
      </c>
      <c r="B1838" s="94" t="n">
        <v>2024</v>
      </c>
      <c r="C1838" s="94" t="inlineStr">
        <is>
          <t>2024-Q1</t>
        </is>
      </c>
      <c r="D1838" s="186" t="n">
        <v>46632.3131480498</v>
      </c>
      <c r="E1838" s="188" t="n">
        <v>915259343942.036</v>
      </c>
      <c r="F1838" s="188" t="n">
        <v>52030057180.5707</v>
      </c>
    </row>
    <row r="1839" ht="15" customHeight="1" s="95">
      <c r="A1839" s="143" t="n">
        <v>45303</v>
      </c>
      <c r="B1839" s="94" t="n">
        <v>2024</v>
      </c>
      <c r="C1839" s="94" t="inlineStr">
        <is>
          <t>2024-Q1</t>
        </is>
      </c>
      <c r="D1839" s="186" t="n">
        <v>46314.3555416027</v>
      </c>
      <c r="E1839" s="188" t="n">
        <v>909846384596.213</v>
      </c>
      <c r="F1839" s="188" t="n">
        <v>49198128806.3062</v>
      </c>
    </row>
    <row r="1840" ht="15" customHeight="1" s="95">
      <c r="A1840" s="143" t="n">
        <v>45304</v>
      </c>
      <c r="B1840" s="94" t="n">
        <v>2024</v>
      </c>
      <c r="C1840" s="94" t="inlineStr">
        <is>
          <t>2024-Q1</t>
        </is>
      </c>
      <c r="D1840" s="186" t="n">
        <v>42893.9296055048</v>
      </c>
      <c r="E1840" s="188" t="n">
        <v>838383512176.735</v>
      </c>
      <c r="F1840" s="188" t="n">
        <v>45913301456.0509</v>
      </c>
    </row>
    <row r="1841" ht="15" customHeight="1" s="95">
      <c r="A1841" s="143" t="n">
        <v>45305</v>
      </c>
      <c r="B1841" s="94" t="n">
        <v>2024</v>
      </c>
      <c r="C1841" s="94" t="inlineStr">
        <is>
          <t>2024-Q1</t>
        </is>
      </c>
      <c r="D1841" s="186" t="n">
        <v>42848.4745164075</v>
      </c>
      <c r="E1841" s="188" t="n">
        <v>839198740717.084</v>
      </c>
      <c r="F1841" s="188" t="n">
        <v>19424747840.4784</v>
      </c>
    </row>
    <row r="1842" ht="15" customHeight="1" s="95">
      <c r="A1842" s="143" t="n">
        <v>45306</v>
      </c>
      <c r="B1842" s="94" t="n">
        <v>2024</v>
      </c>
      <c r="C1842" s="94" t="inlineStr">
        <is>
          <t>2024-Q1</t>
        </is>
      </c>
      <c r="D1842" s="186" t="n">
        <v>41800.9328219341</v>
      </c>
      <c r="E1842" s="188" t="n">
        <v>822907066751.3781</v>
      </c>
      <c r="F1842" s="188" t="n">
        <v>16968959097.0765</v>
      </c>
    </row>
    <row r="1843" ht="15" customHeight="1" s="95">
      <c r="A1843" s="143" t="n">
        <v>45307</v>
      </c>
      <c r="B1843" s="94" t="n">
        <v>2024</v>
      </c>
      <c r="C1843" s="94" t="inlineStr">
        <is>
          <t>2024-Q1</t>
        </is>
      </c>
      <c r="D1843" s="186" t="n">
        <v>42587.3360383544</v>
      </c>
      <c r="E1843" s="188" t="n">
        <v>835225973285.856</v>
      </c>
      <c r="F1843" s="188" t="n">
        <v>22634527323.5632</v>
      </c>
    </row>
    <row r="1844" ht="15" customHeight="1" s="95">
      <c r="A1844" s="143" t="n">
        <v>45308</v>
      </c>
      <c r="B1844" s="94" t="n">
        <v>2024</v>
      </c>
      <c r="C1844" s="94" t="inlineStr">
        <is>
          <t>2024-Q1</t>
        </is>
      </c>
      <c r="D1844" s="186" t="n">
        <v>43148.0016434269</v>
      </c>
      <c r="E1844" s="188" t="n">
        <v>845770850849.578</v>
      </c>
      <c r="F1844" s="188" t="n">
        <v>22023116042.2753</v>
      </c>
    </row>
    <row r="1845" ht="15" customHeight="1" s="95">
      <c r="A1845" s="143" t="n">
        <v>45309</v>
      </c>
      <c r="B1845" s="94" t="n">
        <v>2024</v>
      </c>
      <c r="C1845" s="94" t="inlineStr">
        <is>
          <t>2024-Q1</t>
        </is>
      </c>
      <c r="D1845" s="186" t="n">
        <v>42713.859186939</v>
      </c>
      <c r="E1845" s="188" t="n">
        <v>836987995502.65</v>
      </c>
      <c r="F1845" s="188" t="n">
        <v>21299064875.1871</v>
      </c>
    </row>
    <row r="1846" ht="15" customHeight="1" s="95">
      <c r="A1846" s="143" t="n">
        <v>45310</v>
      </c>
      <c r="B1846" s="94" t="n">
        <v>2024</v>
      </c>
      <c r="C1846" s="94" t="inlineStr">
        <is>
          <t>2024-Q1</t>
        </is>
      </c>
      <c r="D1846" s="186" t="n">
        <v>41261.3947980101</v>
      </c>
      <c r="E1846" s="188" t="n">
        <v>808845819110.281</v>
      </c>
      <c r="F1846" s="188" t="n">
        <v>25160430945.2898</v>
      </c>
    </row>
    <row r="1847" ht="15" customHeight="1" s="95">
      <c r="A1847" s="143" t="n">
        <v>45311</v>
      </c>
      <c r="B1847" s="94" t="n">
        <v>2024</v>
      </c>
      <c r="C1847" s="94" t="inlineStr">
        <is>
          <t>2024-Q1</t>
        </is>
      </c>
      <c r="D1847" s="186" t="n">
        <v>41600.9409325446</v>
      </c>
      <c r="E1847" s="188" t="n">
        <v>815241536115.319</v>
      </c>
      <c r="F1847" s="188" t="n">
        <v>24407872954.7268</v>
      </c>
    </row>
    <row r="1848" ht="15" customHeight="1" s="95">
      <c r="A1848" s="143" t="n">
        <v>45312</v>
      </c>
      <c r="B1848" s="94" t="n">
        <v>2024</v>
      </c>
      <c r="C1848" s="94" t="inlineStr">
        <is>
          <t>2024-Q1</t>
        </is>
      </c>
      <c r="D1848" s="186" t="n">
        <v>41626.1071100366</v>
      </c>
      <c r="E1848" s="188" t="n">
        <v>817217622403.975</v>
      </c>
      <c r="F1848" s="188" t="n">
        <v>9533488489.00503</v>
      </c>
    </row>
    <row r="1849" ht="15" customHeight="1" s="95">
      <c r="A1849" s="143" t="n">
        <v>45313</v>
      </c>
      <c r="B1849" s="94" t="n">
        <v>2024</v>
      </c>
      <c r="C1849" s="94" t="inlineStr">
        <is>
          <t>2024-Q1</t>
        </is>
      </c>
      <c r="D1849" s="186" t="n">
        <v>41541.8994570626</v>
      </c>
      <c r="E1849" s="188" t="n">
        <v>814709364023.483</v>
      </c>
      <c r="F1849" s="188" t="n">
        <v>8032696833.69537</v>
      </c>
    </row>
    <row r="1850" ht="15" customHeight="1" s="95">
      <c r="A1850" s="143" t="n">
        <v>45314</v>
      </c>
      <c r="B1850" s="94" t="n">
        <v>2024</v>
      </c>
      <c r="C1850" s="94" t="inlineStr">
        <is>
          <t>2024-Q1</t>
        </is>
      </c>
      <c r="D1850" s="186" t="n">
        <v>39504.7300575844</v>
      </c>
      <c r="E1850" s="188" t="n">
        <v>775020895102.293</v>
      </c>
      <c r="F1850" s="188" t="n">
        <v>31202848830.1017</v>
      </c>
    </row>
    <row r="1851" ht="15" customHeight="1" s="95">
      <c r="A1851" s="143" t="n">
        <v>45315</v>
      </c>
      <c r="B1851" s="94" t="n">
        <v>2024</v>
      </c>
      <c r="C1851" s="94" t="inlineStr">
        <is>
          <t>2024-Q1</t>
        </is>
      </c>
      <c r="D1851" s="186" t="n">
        <v>39833.4541050169</v>
      </c>
      <c r="E1851" s="188" t="n">
        <v>779133357029.7629</v>
      </c>
      <c r="F1851" s="188" t="n">
        <v>29683327703.0343</v>
      </c>
    </row>
    <row r="1852" ht="15" customHeight="1" s="95">
      <c r="A1852" s="143" t="n">
        <v>45316</v>
      </c>
      <c r="B1852" s="94" t="n">
        <v>2024</v>
      </c>
      <c r="C1852" s="94" t="inlineStr">
        <is>
          <t>2024-Q1</t>
        </is>
      </c>
      <c r="D1852" s="186" t="n">
        <v>40123.6710584715</v>
      </c>
      <c r="E1852" s="188" t="n">
        <v>786928905377.183</v>
      </c>
      <c r="F1852" s="188" t="n">
        <v>22217129215.3856</v>
      </c>
    </row>
    <row r="1853" ht="15" customHeight="1" s="95">
      <c r="A1853" s="143" t="n">
        <v>45317</v>
      </c>
      <c r="B1853" s="94" t="n">
        <v>2024</v>
      </c>
      <c r="C1853" s="94" t="inlineStr">
        <is>
          <t>2024-Q1</t>
        </is>
      </c>
      <c r="D1853" s="186" t="n">
        <v>39938.2864415588</v>
      </c>
      <c r="E1853" s="188" t="n">
        <v>783180536824.566</v>
      </c>
      <c r="F1853" s="188" t="n">
        <v>13376924612.7782</v>
      </c>
    </row>
    <row r="1854" ht="15" customHeight="1" s="95">
      <c r="A1854" s="143" t="n">
        <v>45318</v>
      </c>
      <c r="B1854" s="94" t="n">
        <v>2024</v>
      </c>
      <c r="C1854" s="94" t="inlineStr">
        <is>
          <t>2024-Q1</t>
        </is>
      </c>
      <c r="D1854" s="186" t="n">
        <v>41862.9356109399</v>
      </c>
      <c r="E1854" s="188" t="n">
        <v>820989861818.084</v>
      </c>
      <c r="F1854" s="188" t="n">
        <v>22681602408.5245</v>
      </c>
    </row>
    <row r="1855" ht="15" customHeight="1" s="95">
      <c r="A1855" s="143" t="n">
        <v>45319</v>
      </c>
      <c r="B1855" s="94" t="n">
        <v>2024</v>
      </c>
      <c r="C1855" s="94" t="inlineStr">
        <is>
          <t>2024-Q1</t>
        </is>
      </c>
      <c r="D1855" s="186" t="n">
        <v>42119.6104946431</v>
      </c>
      <c r="E1855" s="188" t="n">
        <v>826254540126.2371</v>
      </c>
      <c r="F1855" s="188" t="n">
        <v>10694258830.3719</v>
      </c>
    </row>
    <row r="1856" ht="15" customHeight="1" s="95">
      <c r="A1856" s="143" t="n">
        <v>45320</v>
      </c>
      <c r="B1856" s="94" t="n">
        <v>2024</v>
      </c>
      <c r="C1856" s="94" t="inlineStr">
        <is>
          <t>2024-Q1</t>
        </is>
      </c>
      <c r="D1856" s="186" t="n">
        <v>42026.5785623215</v>
      </c>
      <c r="E1856" s="188" t="n">
        <v>824240091063.325</v>
      </c>
      <c r="F1856" s="188" t="n">
        <v>13669905344.7839</v>
      </c>
    </row>
    <row r="1857" ht="15" customHeight="1" s="95">
      <c r="A1857" s="143" t="n">
        <v>45321</v>
      </c>
      <c r="B1857" s="94" t="n">
        <v>2024</v>
      </c>
      <c r="C1857" s="94" t="inlineStr">
        <is>
          <t>2024-Q1</t>
        </is>
      </c>
      <c r="D1857" s="186" t="n">
        <v>43267.6092763877</v>
      </c>
      <c r="E1857" s="188" t="n">
        <v>849198976216.473</v>
      </c>
      <c r="F1857" s="188" t="n">
        <v>20680322267.0037</v>
      </c>
    </row>
    <row r="1858" ht="15" customHeight="1" s="95">
      <c r="A1858" s="143" t="n">
        <v>45322</v>
      </c>
      <c r="B1858" s="94" t="n">
        <v>2024</v>
      </c>
      <c r="C1858" s="94" t="inlineStr">
        <is>
          <t>2024-Q1</t>
        </is>
      </c>
      <c r="D1858" s="186" t="n">
        <v>42892.0345301445</v>
      </c>
      <c r="E1858" s="188" t="n">
        <v>839294111912.572</v>
      </c>
      <c r="F1858" s="188" t="n">
        <v>24526664209.3586</v>
      </c>
    </row>
    <row r="1859" ht="15" customHeight="1" s="95">
      <c r="A1859" s="143" t="n">
        <v>45323</v>
      </c>
      <c r="B1859" s="94" t="n">
        <v>2024</v>
      </c>
      <c r="C1859" s="94" t="inlineStr">
        <is>
          <t>2024-Q1</t>
        </is>
      </c>
      <c r="D1859" s="186" t="n">
        <v>42583.2635466342</v>
      </c>
      <c r="E1859" s="188" t="n">
        <v>835421372330.644</v>
      </c>
      <c r="F1859" s="188" t="n">
        <v>22197944957.0785</v>
      </c>
    </row>
    <row r="1860" ht="15" customHeight="1" s="95">
      <c r="A1860" s="143" t="n">
        <v>45324</v>
      </c>
      <c r="B1860" s="94" t="n">
        <v>2024</v>
      </c>
      <c r="C1860" s="94" t="inlineStr">
        <is>
          <t>2024-Q1</t>
        </is>
      </c>
      <c r="D1860" s="186" t="n">
        <v>43069.0434209368</v>
      </c>
      <c r="E1860" s="188" t="n">
        <v>844585195327.6591</v>
      </c>
      <c r="F1860" s="188" t="n">
        <v>22443682768.7222</v>
      </c>
    </row>
    <row r="1861" ht="15" customHeight="1" s="95">
      <c r="A1861" s="143" t="n">
        <v>45325</v>
      </c>
      <c r="B1861" s="94" t="n">
        <v>2024</v>
      </c>
      <c r="C1861" s="94" t="inlineStr">
        <is>
          <t>2024-Q1</t>
        </is>
      </c>
      <c r="D1861" s="186" t="n">
        <v>43170.6585615998</v>
      </c>
      <c r="E1861" s="188" t="n">
        <v>846561992602.431</v>
      </c>
      <c r="F1861" s="188" t="n">
        <v>18624791426.1308</v>
      </c>
    </row>
    <row r="1862" ht="15" customHeight="1" s="95">
      <c r="A1862" s="143" t="n">
        <v>45326</v>
      </c>
      <c r="B1862" s="94" t="n">
        <v>2024</v>
      </c>
      <c r="C1862" s="94" t="inlineStr">
        <is>
          <t>2024-Q1</t>
        </is>
      </c>
      <c r="D1862" s="186" t="n">
        <v>42976.8482999083</v>
      </c>
      <c r="E1862" s="188" t="n">
        <v>842668526994.8</v>
      </c>
      <c r="F1862" s="188" t="n">
        <v>7779819312.31076</v>
      </c>
    </row>
    <row r="1863" ht="15" customHeight="1" s="95">
      <c r="A1863" s="143" t="n">
        <v>45327</v>
      </c>
      <c r="B1863" s="94" t="n">
        <v>2024</v>
      </c>
      <c r="C1863" s="94" t="inlineStr">
        <is>
          <t>2024-Q1</t>
        </is>
      </c>
      <c r="D1863" s="186" t="n">
        <v>42599.3599705598</v>
      </c>
      <c r="E1863" s="188" t="n">
        <v>835416357159.23</v>
      </c>
      <c r="F1863" s="188" t="n">
        <v>11250814654.362</v>
      </c>
    </row>
    <row r="1864" ht="15" customHeight="1" s="95">
      <c r="A1864" s="143" t="n">
        <v>45328</v>
      </c>
      <c r="B1864" s="94" t="n">
        <v>2024</v>
      </c>
      <c r="C1864" s="94" t="inlineStr">
        <is>
          <t>2024-Q1</t>
        </is>
      </c>
      <c r="D1864" s="186" t="n">
        <v>42648.4569211354</v>
      </c>
      <c r="E1864" s="188" t="n">
        <v>836630860392.292</v>
      </c>
      <c r="F1864" s="188" t="n">
        <v>18682275991.6268</v>
      </c>
    </row>
    <row r="1865" ht="15" customHeight="1" s="95">
      <c r="A1865" s="143" t="n">
        <v>45329</v>
      </c>
      <c r="B1865" s="94" t="n">
        <v>2024</v>
      </c>
      <c r="C1865" s="94" t="inlineStr">
        <is>
          <t>2024-Q1</t>
        </is>
      </c>
      <c r="D1865" s="186" t="n">
        <v>43087.7874081429</v>
      </c>
      <c r="E1865" s="188" t="n">
        <v>845393687725.6219</v>
      </c>
      <c r="F1865" s="188" t="n">
        <v>17131113853.2362</v>
      </c>
    </row>
    <row r="1866" ht="15" customHeight="1" s="95">
      <c r="A1866" s="143" t="n">
        <v>45330</v>
      </c>
      <c r="B1866" s="94" t="n">
        <v>2024</v>
      </c>
      <c r="C1866" s="94" t="inlineStr">
        <is>
          <t>2024-Q1</t>
        </is>
      </c>
      <c r="D1866" s="186" t="n">
        <v>44247.4154154793</v>
      </c>
      <c r="E1866" s="188" t="n">
        <v>868672050077.77</v>
      </c>
      <c r="F1866" s="188" t="n">
        <v>21200879624.7354</v>
      </c>
    </row>
    <row r="1867" ht="15" customHeight="1" s="95">
      <c r="A1867" s="143" t="n">
        <v>45331</v>
      </c>
      <c r="B1867" s="94" t="n">
        <v>2024</v>
      </c>
      <c r="C1867" s="94" t="inlineStr">
        <is>
          <t>2024-Q1</t>
        </is>
      </c>
      <c r="D1867" s="186" t="n">
        <v>45338.2711897895</v>
      </c>
      <c r="E1867" s="188" t="n">
        <v>890468166608.4189</v>
      </c>
      <c r="F1867" s="188" t="n">
        <v>27709605138.4986</v>
      </c>
    </row>
    <row r="1868" ht="15" customHeight="1" s="95">
      <c r="A1868" s="143" t="n">
        <v>45332</v>
      </c>
      <c r="B1868" s="94" t="n">
        <v>2024</v>
      </c>
      <c r="C1868" s="94" t="inlineStr">
        <is>
          <t>2024-Q1</t>
        </is>
      </c>
      <c r="D1868" s="186" t="n">
        <v>47143.2429910711</v>
      </c>
      <c r="E1868" s="188" t="n">
        <v>925541926938.615</v>
      </c>
      <c r="F1868" s="188" t="n">
        <v>41993952311.1229</v>
      </c>
    </row>
    <row r="1869" ht="15" customHeight="1" s="95">
      <c r="A1869" s="143" t="n">
        <v>45333</v>
      </c>
      <c r="B1869" s="94" t="n">
        <v>2024</v>
      </c>
      <c r="C1869" s="94" t="inlineStr">
        <is>
          <t>2024-Q1</t>
        </is>
      </c>
      <c r="D1869" s="186" t="n">
        <v>47768.9952512479</v>
      </c>
      <c r="E1869" s="188" t="n">
        <v>938210772985.443</v>
      </c>
      <c r="F1869" s="188" t="n">
        <v>16461159742.3178</v>
      </c>
    </row>
    <row r="1870" ht="15" customHeight="1" s="95">
      <c r="A1870" s="143" t="n">
        <v>45334</v>
      </c>
      <c r="B1870" s="94" t="n">
        <v>2024</v>
      </c>
      <c r="C1870" s="94" t="inlineStr">
        <is>
          <t>2024-Q1</t>
        </is>
      </c>
      <c r="D1870" s="186" t="n">
        <v>48189.8817930399</v>
      </c>
      <c r="E1870" s="188" t="n">
        <v>945579645769.01</v>
      </c>
      <c r="F1870" s="188" t="n">
        <v>13196875460.8467</v>
      </c>
    </row>
    <row r="1871" ht="15" customHeight="1" s="95">
      <c r="A1871" s="143" t="n">
        <v>45335</v>
      </c>
      <c r="B1871" s="94" t="n">
        <v>2024</v>
      </c>
      <c r="C1871" s="94" t="inlineStr">
        <is>
          <t>2024-Q1</t>
        </is>
      </c>
      <c r="D1871" s="186" t="n">
        <v>50050.136094564</v>
      </c>
      <c r="E1871" s="188" t="n">
        <v>981463410832.964</v>
      </c>
      <c r="F1871" s="188" t="n">
        <v>37684440686.7089</v>
      </c>
    </row>
    <row r="1872" ht="15" customHeight="1" s="95">
      <c r="A1872" s="143" t="n">
        <v>45336</v>
      </c>
      <c r="B1872" s="94" t="n">
        <v>2024</v>
      </c>
      <c r="C1872" s="94" t="inlineStr">
        <is>
          <t>2024-Q1</t>
        </is>
      </c>
      <c r="D1872" s="186" t="n">
        <v>49732.1453695535</v>
      </c>
      <c r="E1872" s="188" t="n">
        <v>974585308372.1281</v>
      </c>
      <c r="F1872" s="188" t="n">
        <v>37331081151.0248</v>
      </c>
    </row>
    <row r="1873" ht="15" customHeight="1" s="95">
      <c r="A1873" s="143" t="n">
        <v>45337</v>
      </c>
      <c r="B1873" s="94" t="n">
        <v>2024</v>
      </c>
      <c r="C1873" s="94" t="inlineStr">
        <is>
          <t>2024-Q1</t>
        </is>
      </c>
      <c r="D1873" s="186" t="n">
        <v>51790.1692975264</v>
      </c>
      <c r="E1873" s="188" t="n">
        <v>1017596576729.79</v>
      </c>
      <c r="F1873" s="188" t="n">
        <v>41805076939.809</v>
      </c>
    </row>
    <row r="1874" ht="15" customHeight="1" s="95">
      <c r="A1874" s="143" t="n">
        <v>45338</v>
      </c>
      <c r="B1874" s="94" t="n">
        <v>2024</v>
      </c>
      <c r="C1874" s="94" t="inlineStr">
        <is>
          <t>2024-Q1</t>
        </is>
      </c>
      <c r="D1874" s="186" t="n">
        <v>51958.2302910549</v>
      </c>
      <c r="E1874" s="188" t="n">
        <v>1020725811639.53</v>
      </c>
      <c r="F1874" s="188" t="n">
        <v>31991869491.0567</v>
      </c>
    </row>
    <row r="1875" ht="15" customHeight="1" s="95">
      <c r="A1875" s="143" t="n">
        <v>45339</v>
      </c>
      <c r="B1875" s="94" t="n">
        <v>2024</v>
      </c>
      <c r="C1875" s="94" t="inlineStr">
        <is>
          <t>2024-Q1</t>
        </is>
      </c>
      <c r="D1875" s="186" t="n">
        <v>52166.4343097619</v>
      </c>
      <c r="E1875" s="188" t="n">
        <v>1024019280535.48</v>
      </c>
      <c r="F1875" s="188" t="n">
        <v>24850432117.8966</v>
      </c>
    </row>
    <row r="1876" ht="15" customHeight="1" s="95">
      <c r="A1876" s="143" t="n">
        <v>45340</v>
      </c>
      <c r="B1876" s="94" t="n">
        <v>2024</v>
      </c>
      <c r="C1876" s="94" t="inlineStr">
        <is>
          <t>2024-Q1</t>
        </is>
      </c>
      <c r="D1876" s="186" t="n">
        <v>51684.5174926453</v>
      </c>
      <c r="E1876" s="188" t="n">
        <v>1015778284418.93</v>
      </c>
      <c r="F1876" s="188" t="n">
        <v>19851884283.1572</v>
      </c>
    </row>
    <row r="1877" ht="15" customHeight="1" s="95">
      <c r="A1877" s="143" t="n">
        <v>45341</v>
      </c>
      <c r="B1877" s="94" t="n">
        <v>2024</v>
      </c>
      <c r="C1877" s="94" t="inlineStr">
        <is>
          <t>2024-Q1</t>
        </is>
      </c>
      <c r="D1877" s="186" t="n">
        <v>52138.4857887369</v>
      </c>
      <c r="E1877" s="188" t="n">
        <v>1023586119011.23</v>
      </c>
      <c r="F1877" s="188" t="n">
        <v>17025880430.5659</v>
      </c>
    </row>
    <row r="1878" ht="15" customHeight="1" s="95">
      <c r="A1878" s="143" t="n">
        <v>45342</v>
      </c>
      <c r="B1878" s="94" t="n">
        <v>2024</v>
      </c>
      <c r="C1878" s="94" t="inlineStr">
        <is>
          <t>2024-Q1</t>
        </is>
      </c>
      <c r="D1878" s="186" t="n">
        <v>51764.3131854878</v>
      </c>
      <c r="E1878" s="188" t="n">
        <v>1016146442771.57</v>
      </c>
      <c r="F1878" s="188" t="n">
        <v>22555121071.5591</v>
      </c>
    </row>
    <row r="1879" ht="15" customHeight="1" s="95">
      <c r="A1879" s="143" t="n">
        <v>45343</v>
      </c>
      <c r="B1879" s="94" t="n">
        <v>2024</v>
      </c>
      <c r="C1879" s="94" t="inlineStr">
        <is>
          <t>2024-Q1</t>
        </is>
      </c>
      <c r="D1879" s="186" t="n">
        <v>52286.7937255467</v>
      </c>
      <c r="E1879" s="188" t="n">
        <v>1026424315285.75</v>
      </c>
      <c r="F1879" s="188" t="n">
        <v>34499627551.3193</v>
      </c>
    </row>
    <row r="1880" ht="15" customHeight="1" s="95">
      <c r="A1880" s="143" t="n">
        <v>45344</v>
      </c>
      <c r="B1880" s="94" t="n">
        <v>2024</v>
      </c>
      <c r="C1880" s="94" t="inlineStr">
        <is>
          <t>2024-Q1</t>
        </is>
      </c>
      <c r="D1880" s="186" t="n">
        <v>51842.7567662564</v>
      </c>
      <c r="E1880" s="188" t="n">
        <v>1018869881156.32</v>
      </c>
      <c r="F1880" s="188" t="n">
        <v>30624246621.0974</v>
      </c>
    </row>
    <row r="1881" ht="15" customHeight="1" s="95">
      <c r="A1881" s="143" t="n">
        <v>45345</v>
      </c>
      <c r="B1881" s="94" t="n">
        <v>2024</v>
      </c>
      <c r="C1881" s="94" t="inlineStr">
        <is>
          <t>2024-Q1</t>
        </is>
      </c>
      <c r="D1881" s="186" t="n">
        <v>51319.5001257027</v>
      </c>
      <c r="E1881" s="188" t="n">
        <v>1007314397269.41</v>
      </c>
      <c r="F1881" s="188" t="n">
        <v>23733644208.8086</v>
      </c>
    </row>
    <row r="1882" ht="15" customHeight="1" s="95">
      <c r="A1882" s="143" t="n">
        <v>45346</v>
      </c>
      <c r="B1882" s="94" t="n">
        <v>2024</v>
      </c>
      <c r="C1882" s="94" t="inlineStr">
        <is>
          <t>2024-Q1</t>
        </is>
      </c>
      <c r="D1882" s="186" t="n">
        <v>50841.0810947709</v>
      </c>
      <c r="E1882" s="188" t="n">
        <v>999139504635.63</v>
      </c>
      <c r="F1882" s="188" t="n">
        <v>22637679779.741</v>
      </c>
    </row>
    <row r="1883" ht="15" customHeight="1" s="95">
      <c r="A1883" s="143" t="n">
        <v>45347</v>
      </c>
      <c r="B1883" s="94" t="n">
        <v>2024</v>
      </c>
      <c r="C1883" s="94" t="inlineStr">
        <is>
          <t>2024-Q1</t>
        </is>
      </c>
      <c r="D1883" s="186" t="n">
        <v>51553.0967128312</v>
      </c>
      <c r="E1883" s="188" t="n">
        <v>1012485917140.19</v>
      </c>
      <c r="F1883" s="188" t="n">
        <v>15528276123.5367</v>
      </c>
    </row>
    <row r="1884" ht="15" customHeight="1" s="95">
      <c r="A1884" s="143" t="n">
        <v>45348</v>
      </c>
      <c r="B1884" s="94" t="n">
        <v>2024</v>
      </c>
      <c r="C1884" s="94" t="inlineStr">
        <is>
          <t>2024-Q1</t>
        </is>
      </c>
      <c r="D1884" s="186" t="n">
        <v>51751.8840549346</v>
      </c>
      <c r="E1884" s="188" t="n">
        <v>1016549456019.33</v>
      </c>
      <c r="F1884" s="188" t="n">
        <v>15455098216.4826</v>
      </c>
    </row>
    <row r="1885" ht="15" customHeight="1" s="95">
      <c r="A1885" s="143" t="n">
        <v>45349</v>
      </c>
      <c r="B1885" s="94" t="n">
        <v>2024</v>
      </c>
      <c r="C1885" s="94" t="inlineStr">
        <is>
          <t>2024-Q1</t>
        </is>
      </c>
      <c r="D1885" s="186" t="n">
        <v>54478.191083123</v>
      </c>
      <c r="E1885" s="188" t="n">
        <v>1071049856128.85</v>
      </c>
      <c r="F1885" s="188" t="n">
        <v>35407941475.5679</v>
      </c>
    </row>
    <row r="1886" ht="15" customHeight="1" s="95">
      <c r="A1886" s="143" t="n">
        <v>45350</v>
      </c>
      <c r="B1886" s="94" t="n">
        <v>2024</v>
      </c>
      <c r="C1886" s="94" t="inlineStr">
        <is>
          <t>2024-Q1</t>
        </is>
      </c>
      <c r="D1886" s="186" t="n">
        <v>57003.5267373081</v>
      </c>
      <c r="E1886" s="188" t="n">
        <v>1118963733317.3</v>
      </c>
      <c r="F1886" s="188" t="n">
        <v>51983799587.1939</v>
      </c>
    </row>
    <row r="1887" ht="15" customHeight="1" s="95">
      <c r="A1887" s="143" t="n">
        <v>45351</v>
      </c>
      <c r="B1887" s="94" t="n">
        <v>2024</v>
      </c>
      <c r="C1887" s="94" t="inlineStr">
        <is>
          <t>2024-Q1</t>
        </is>
      </c>
      <c r="D1887" s="186" t="n">
        <v>62558.5820241931</v>
      </c>
      <c r="E1887" s="188" t="n">
        <v>1225273849241.7</v>
      </c>
      <c r="F1887" s="188" t="n">
        <v>87218855804.0162</v>
      </c>
    </row>
    <row r="1888" ht="15" customHeight="1" s="95">
      <c r="A1888" s="143" t="n">
        <v>45352</v>
      </c>
      <c r="B1888" s="94" t="n">
        <v>2024</v>
      </c>
      <c r="C1888" s="94" t="inlineStr">
        <is>
          <t>2024-Q1</t>
        </is>
      </c>
      <c r="D1888" s="186" t="n">
        <v>61298.2168611016</v>
      </c>
      <c r="E1888" s="188" t="n">
        <v>1206725326872.14</v>
      </c>
      <c r="F1888" s="188" t="n">
        <v>67692687247.3639</v>
      </c>
    </row>
    <row r="1889" ht="15" customHeight="1" s="95">
      <c r="A1889" s="143" t="n">
        <v>45353</v>
      </c>
      <c r="B1889" s="94" t="n">
        <v>2024</v>
      </c>
      <c r="C1889" s="94" t="inlineStr">
        <is>
          <t>2024-Q1</t>
        </is>
      </c>
      <c r="D1889" s="186" t="n">
        <v>62426.6405291919</v>
      </c>
      <c r="E1889" s="188" t="n">
        <v>1227712629022.18</v>
      </c>
      <c r="F1889" s="188" t="n">
        <v>36699193361.1554</v>
      </c>
    </row>
    <row r="1890" ht="15" customHeight="1" s="95">
      <c r="A1890" s="143" t="n">
        <v>45354</v>
      </c>
      <c r="B1890" s="94" t="n">
        <v>2024</v>
      </c>
      <c r="C1890" s="94" t="inlineStr">
        <is>
          <t>2024-Q1</t>
        </is>
      </c>
      <c r="D1890" s="186" t="n">
        <v>62067.8668021218</v>
      </c>
      <c r="E1890" s="188" t="n">
        <v>1219383305483.5</v>
      </c>
      <c r="F1890" s="188" t="n">
        <v>25198213831.2524</v>
      </c>
    </row>
    <row r="1891" ht="15" customHeight="1" s="95">
      <c r="A1891" s="143" t="n">
        <v>45355</v>
      </c>
      <c r="B1891" s="94" t="n">
        <v>2024</v>
      </c>
      <c r="C1891" s="94" t="inlineStr">
        <is>
          <t>2024-Q1</t>
        </is>
      </c>
      <c r="D1891" s="186" t="n">
        <v>63053.1054390642</v>
      </c>
      <c r="E1891" s="188" t="n">
        <v>1236312176673.45</v>
      </c>
      <c r="F1891" s="188" t="n">
        <v>27108369390.4435</v>
      </c>
    </row>
    <row r="1892" ht="15" customHeight="1" s="95">
      <c r="A1892" s="143" t="n">
        <v>45356</v>
      </c>
      <c r="B1892" s="94" t="n">
        <v>2024</v>
      </c>
      <c r="C1892" s="94" t="inlineStr">
        <is>
          <t>2024-Q1</t>
        </is>
      </c>
      <c r="D1892" s="186" t="n">
        <v>68186.6459343215</v>
      </c>
      <c r="E1892" s="188" t="n">
        <v>1333913436699.17</v>
      </c>
      <c r="F1892" s="188" t="n">
        <v>74551714626.1156</v>
      </c>
    </row>
    <row r="1893" ht="15" customHeight="1" s="95">
      <c r="A1893" s="143" t="n">
        <v>45357</v>
      </c>
      <c r="B1893" s="94" t="n">
        <v>2024</v>
      </c>
      <c r="C1893" s="94" t="inlineStr">
        <is>
          <t>2024-Q1</t>
        </is>
      </c>
      <c r="D1893" s="186" t="n">
        <v>64291.5365575695</v>
      </c>
      <c r="E1893" s="188" t="n">
        <v>1264870242318.6</v>
      </c>
      <c r="F1893" s="188" t="n">
        <v>96403762012.6606</v>
      </c>
    </row>
    <row r="1894" ht="15" customHeight="1" s="95">
      <c r="A1894" s="143" t="n">
        <v>45358</v>
      </c>
      <c r="B1894" s="94" t="n">
        <v>2024</v>
      </c>
      <c r="C1894" s="94" t="inlineStr">
        <is>
          <t>2024-Q1</t>
        </is>
      </c>
      <c r="D1894" s="186" t="n">
        <v>66145.9192785085</v>
      </c>
      <c r="E1894" s="188" t="n">
        <v>1297845751759.6</v>
      </c>
      <c r="F1894" s="188" t="n">
        <v>73151905042.0407</v>
      </c>
    </row>
    <row r="1895" ht="15" customHeight="1" s="95">
      <c r="A1895" s="143" t="n">
        <v>45359</v>
      </c>
      <c r="B1895" s="94" t="n">
        <v>2024</v>
      </c>
      <c r="C1895" s="94" t="inlineStr">
        <is>
          <t>2024-Q1</t>
        </is>
      </c>
      <c r="D1895" s="186" t="n">
        <v>66944.87639053581</v>
      </c>
      <c r="E1895" s="188" t="n">
        <v>1317508010581.08</v>
      </c>
      <c r="F1895" s="188" t="n">
        <v>48853892626.0196</v>
      </c>
    </row>
    <row r="1896" ht="15" customHeight="1" s="95">
      <c r="A1896" s="143" t="n">
        <v>45360</v>
      </c>
      <c r="B1896" s="94" t="n">
        <v>2024</v>
      </c>
      <c r="C1896" s="94" t="inlineStr">
        <is>
          <t>2024-Q1</t>
        </is>
      </c>
      <c r="D1896" s="186" t="n">
        <v>68315.25192078311</v>
      </c>
      <c r="E1896" s="188" t="n">
        <v>1340971395884.52</v>
      </c>
      <c r="F1896" s="188" t="n">
        <v>63346588227.3287</v>
      </c>
    </row>
    <row r="1897" ht="15" customHeight="1" s="95">
      <c r="A1897" s="143" t="n">
        <v>45361</v>
      </c>
      <c r="B1897" s="94" t="n">
        <v>2024</v>
      </c>
      <c r="C1897" s="94" t="inlineStr">
        <is>
          <t>2024-Q1</t>
        </is>
      </c>
      <c r="D1897" s="186" t="n">
        <v>68508.0039626159</v>
      </c>
      <c r="E1897" s="188" t="n">
        <v>1346027264110.5</v>
      </c>
      <c r="F1897" s="188" t="n">
        <v>21359706190.8152</v>
      </c>
    </row>
    <row r="1898" ht="15" customHeight="1" s="95">
      <c r="A1898" s="143" t="n">
        <v>45362</v>
      </c>
      <c r="B1898" s="94" t="n">
        <v>2024</v>
      </c>
      <c r="C1898" s="94" t="inlineStr">
        <is>
          <t>2024-Q1</t>
        </is>
      </c>
      <c r="D1898" s="186" t="n">
        <v>69075.6668819574</v>
      </c>
      <c r="E1898" s="188" t="n">
        <v>1357390358031.54</v>
      </c>
      <c r="F1898" s="188" t="n">
        <v>36660543917.162</v>
      </c>
    </row>
    <row r="1899" ht="15" customHeight="1" s="95">
      <c r="A1899" s="143" t="n">
        <v>45363</v>
      </c>
      <c r="B1899" s="94" t="n">
        <v>2024</v>
      </c>
      <c r="C1899" s="94" t="inlineStr">
        <is>
          <t>2024-Q1</t>
        </is>
      </c>
      <c r="D1899" s="186" t="n">
        <v>72130.5530076568</v>
      </c>
      <c r="E1899" s="188" t="n">
        <v>1417772589113.95</v>
      </c>
      <c r="F1899" s="188" t="n">
        <v>66653067165.9347</v>
      </c>
    </row>
    <row r="1900" ht="15" customHeight="1" s="95">
      <c r="A1900" s="143" t="n">
        <v>45364</v>
      </c>
      <c r="B1900" s="94" t="n">
        <v>2024</v>
      </c>
      <c r="C1900" s="94" t="inlineStr">
        <is>
          <t>2024-Q1</t>
        </is>
      </c>
      <c r="D1900" s="186" t="n">
        <v>71467.17350326059</v>
      </c>
      <c r="E1900" s="188" t="n">
        <v>1403692914139.19</v>
      </c>
      <c r="F1900" s="188" t="n">
        <v>64599341551.273</v>
      </c>
    </row>
    <row r="1901" ht="15" customHeight="1" s="95">
      <c r="A1901" s="143" t="n">
        <v>45365</v>
      </c>
      <c r="B1901" s="94" t="n">
        <v>2024</v>
      </c>
      <c r="C1901" s="94" t="inlineStr">
        <is>
          <t>2024-Q1</t>
        </is>
      </c>
      <c r="D1901" s="186" t="n">
        <v>73097.76702694131</v>
      </c>
      <c r="E1901" s="188" t="n">
        <v>1436631290571.54</v>
      </c>
      <c r="F1901" s="188" t="n">
        <v>51906601043.5367</v>
      </c>
    </row>
    <row r="1902" ht="15" customHeight="1" s="95">
      <c r="A1902" s="143" t="n">
        <v>45366</v>
      </c>
      <c r="B1902" s="94" t="n">
        <v>2024</v>
      </c>
      <c r="C1902" s="94" t="inlineStr">
        <is>
          <t>2024-Q1</t>
        </is>
      </c>
      <c r="D1902" s="186" t="n">
        <v>71420.03180142349</v>
      </c>
      <c r="E1902" s="188" t="n">
        <v>1403843488135.24</v>
      </c>
      <c r="F1902" s="188" t="n">
        <v>63073551321.7475</v>
      </c>
    </row>
    <row r="1903" ht="15" customHeight="1" s="95">
      <c r="A1903" s="143" t="n">
        <v>45367</v>
      </c>
      <c r="B1903" s="94" t="n">
        <v>2024</v>
      </c>
      <c r="C1903" s="94" t="inlineStr">
        <is>
          <t>2024-Q1</t>
        </is>
      </c>
      <c r="D1903" s="186" t="n">
        <v>69497.7631929463</v>
      </c>
      <c r="E1903" s="188" t="n">
        <v>1367669237527.87</v>
      </c>
      <c r="F1903" s="188" t="n">
        <v>81204427005.226</v>
      </c>
    </row>
    <row r="1904" ht="15" customHeight="1" s="95">
      <c r="A1904" s="143" t="n">
        <v>45368</v>
      </c>
      <c r="B1904" s="94" t="n">
        <v>2024</v>
      </c>
      <c r="C1904" s="94" t="inlineStr">
        <is>
          <t>2024-Q1</t>
        </is>
      </c>
      <c r="D1904" s="186" t="n">
        <v>65292.3132933129</v>
      </c>
      <c r="E1904" s="188" t="n">
        <v>1282404282863.46</v>
      </c>
      <c r="F1904" s="188" t="n">
        <v>49265436012.5923</v>
      </c>
    </row>
    <row r="1905" ht="15" customHeight="1" s="95">
      <c r="A1905" s="143" t="n">
        <v>45369</v>
      </c>
      <c r="B1905" s="94" t="n">
        <v>2024</v>
      </c>
      <c r="C1905" s="94" t="inlineStr">
        <is>
          <t>2024-Q1</t>
        </is>
      </c>
      <c r="D1905" s="186" t="n">
        <v>68425.4156564305</v>
      </c>
      <c r="E1905" s="188" t="n">
        <v>1344508983079.86</v>
      </c>
      <c r="F1905" s="188" t="n">
        <v>47190980586.5639</v>
      </c>
    </row>
    <row r="1906" ht="15" customHeight="1" s="95">
      <c r="A1906" s="143" t="n">
        <v>45370</v>
      </c>
      <c r="B1906" s="94" t="n">
        <v>2024</v>
      </c>
      <c r="C1906" s="94" t="inlineStr">
        <is>
          <t>2024-Q1</t>
        </is>
      </c>
      <c r="D1906" s="186" t="n">
        <v>67708.9436093081</v>
      </c>
      <c r="E1906" s="188" t="n">
        <v>1331771923948.04</v>
      </c>
      <c r="F1906" s="188" t="n">
        <v>51101822566.7577</v>
      </c>
    </row>
    <row r="1907" ht="15" customHeight="1" s="95">
      <c r="A1907" s="143" t="n">
        <v>45371</v>
      </c>
      <c r="B1907" s="94" t="n">
        <v>2024</v>
      </c>
      <c r="C1907" s="94" t="inlineStr">
        <is>
          <t>2024-Q1</t>
        </is>
      </c>
      <c r="D1907" s="186" t="n">
        <v>62132.5173787344</v>
      </c>
      <c r="E1907" s="188" t="n">
        <v>1223867418062.4</v>
      </c>
      <c r="F1907" s="188" t="n">
        <v>80179417876.4799</v>
      </c>
    </row>
    <row r="1908" ht="15" customHeight="1" s="95">
      <c r="A1908" s="143" t="n">
        <v>45372</v>
      </c>
      <c r="B1908" s="94" t="n">
        <v>2024</v>
      </c>
      <c r="C1908" s="94" t="inlineStr">
        <is>
          <t>2024-Q1</t>
        </is>
      </c>
      <c r="D1908" s="186" t="n">
        <v>67819.0557068403</v>
      </c>
      <c r="E1908" s="188" t="n">
        <v>1332594162507.52</v>
      </c>
      <c r="F1908" s="188" t="n">
        <v>70836803714.91409</v>
      </c>
    </row>
    <row r="1909" ht="15" customHeight="1" s="95">
      <c r="A1909" s="143" t="n">
        <v>45373</v>
      </c>
      <c r="B1909" s="94" t="n">
        <v>2024</v>
      </c>
      <c r="C1909" s="94" t="inlineStr">
        <is>
          <t>2024-Q1</t>
        </is>
      </c>
      <c r="D1909" s="186" t="n">
        <v>65535.9784484766</v>
      </c>
      <c r="E1909" s="188" t="n">
        <v>1287348061971.42</v>
      </c>
      <c r="F1909" s="188" t="n">
        <v>48393664548.0534</v>
      </c>
    </row>
    <row r="1910" ht="15" customHeight="1" s="95">
      <c r="A1910" s="143" t="n">
        <v>45374</v>
      </c>
      <c r="B1910" s="94" t="n">
        <v>2024</v>
      </c>
      <c r="C1910" s="94" t="inlineStr">
        <is>
          <t>2024-Q1</t>
        </is>
      </c>
      <c r="D1910" s="186" t="n">
        <v>63509.0449652313</v>
      </c>
      <c r="E1910" s="188" t="n">
        <v>1247366367469.28</v>
      </c>
      <c r="F1910" s="188" t="n">
        <v>42436600223.5374</v>
      </c>
    </row>
    <row r="1911" ht="15" customHeight="1" s="95">
      <c r="A1911" s="143" t="n">
        <v>45375</v>
      </c>
      <c r="B1911" s="94" t="n">
        <v>2024</v>
      </c>
      <c r="C1911" s="94" t="inlineStr">
        <is>
          <t>2024-Q1</t>
        </is>
      </c>
      <c r="D1911" s="186" t="n">
        <v>64285.802791022</v>
      </c>
      <c r="E1911" s="188" t="n">
        <v>1264722355270.52</v>
      </c>
      <c r="F1911" s="188" t="n">
        <v>25489933245.6876</v>
      </c>
    </row>
    <row r="1912" ht="15" customHeight="1" s="95">
      <c r="A1912" s="143" t="n">
        <v>45376</v>
      </c>
      <c r="B1912" s="94" t="n">
        <v>2024</v>
      </c>
      <c r="C1912" s="94" t="inlineStr">
        <is>
          <t>2024-Q1</t>
        </is>
      </c>
      <c r="D1912" s="186" t="n">
        <v>67310.9832681011</v>
      </c>
      <c r="E1912" s="188" t="n">
        <v>1323456466317.51</v>
      </c>
      <c r="F1912" s="188" t="n">
        <v>28098318940.4317</v>
      </c>
    </row>
    <row r="1913" ht="15" customHeight="1" s="95">
      <c r="A1913" s="143" t="n">
        <v>45377</v>
      </c>
      <c r="B1913" s="94" t="n">
        <v>2024</v>
      </c>
      <c r="C1913" s="94" t="inlineStr">
        <is>
          <t>2024-Q1</t>
        </is>
      </c>
      <c r="D1913" s="186" t="n">
        <v>69938.94530200239</v>
      </c>
      <c r="E1913" s="188" t="n">
        <v>1371797489739.34</v>
      </c>
      <c r="F1913" s="188" t="n">
        <v>44820310272.6475</v>
      </c>
    </row>
    <row r="1914" ht="15" customHeight="1" s="95">
      <c r="A1914" s="143" t="n">
        <v>45378</v>
      </c>
      <c r="B1914" s="94" t="n">
        <v>2024</v>
      </c>
      <c r="C1914" s="94" t="inlineStr">
        <is>
          <t>2024-Q1</t>
        </is>
      </c>
      <c r="D1914" s="186" t="n">
        <v>70082.05122475979</v>
      </c>
      <c r="E1914" s="188" t="n">
        <v>1375728580463.25</v>
      </c>
      <c r="F1914" s="188" t="n">
        <v>36257324508.5685</v>
      </c>
    </row>
    <row r="1915" ht="15" customHeight="1" s="95">
      <c r="A1915" s="143" t="n">
        <v>45379</v>
      </c>
      <c r="B1915" s="94" t="n">
        <v>2024</v>
      </c>
      <c r="C1915" s="94" t="inlineStr">
        <is>
          <t>2024-Q1</t>
        </is>
      </c>
      <c r="D1915" s="186" t="n">
        <v>69435.75040305209</v>
      </c>
      <c r="E1915" s="188" t="n">
        <v>1360261687784.1</v>
      </c>
      <c r="F1915" s="188" t="n">
        <v>41441040887.8223</v>
      </c>
    </row>
    <row r="1916" ht="15" customHeight="1" s="95">
      <c r="A1916" s="143" t="n">
        <v>45380</v>
      </c>
      <c r="B1916" s="94" t="n">
        <v>2024</v>
      </c>
      <c r="C1916" s="94" t="inlineStr">
        <is>
          <t>2024-Q1</t>
        </is>
      </c>
      <c r="D1916" s="186" t="n">
        <v>70710.1953486331</v>
      </c>
      <c r="E1916" s="188" t="n">
        <v>1390869723348.04</v>
      </c>
      <c r="F1916" s="188" t="n">
        <v>30455289338.4762</v>
      </c>
    </row>
    <row r="1917" ht="15" customHeight="1" s="95">
      <c r="A1917" s="143" t="n">
        <v>45381</v>
      </c>
      <c r="B1917" s="94" t="n">
        <v>2024</v>
      </c>
      <c r="C1917" s="94" t="inlineStr">
        <is>
          <t>2024-Q1</t>
        </is>
      </c>
      <c r="D1917" s="186" t="n">
        <v>69919.0554614861</v>
      </c>
      <c r="E1917" s="188" t="n">
        <v>1374646886107.84</v>
      </c>
      <c r="F1917" s="188" t="n">
        <v>25785951735.4857</v>
      </c>
    </row>
    <row r="1918" ht="15" customHeight="1" s="95">
      <c r="A1918" s="143" t="n">
        <v>45382</v>
      </c>
      <c r="B1918" s="94" t="n">
        <v>2024</v>
      </c>
      <c r="C1918" s="94" t="inlineStr">
        <is>
          <t>2024-Q1</t>
        </is>
      </c>
      <c r="D1918" s="186" t="n">
        <v>69702.3087473573</v>
      </c>
      <c r="E1918" s="188" t="n">
        <v>1370247487960.09</v>
      </c>
      <c r="F1918" s="188" t="n">
        <v>16408802301.8374</v>
      </c>
    </row>
    <row r="1919" ht="15" customHeight="1" s="95">
      <c r="A1919" s="143" t="n">
        <v>45383</v>
      </c>
      <c r="B1919" s="94" t="n">
        <v>2024</v>
      </c>
      <c r="C1919" s="94" t="inlineStr">
        <is>
          <t>2024-Q2</t>
        </is>
      </c>
      <c r="D1919" s="186" t="n">
        <v>71246.95144060149</v>
      </c>
      <c r="E1919" s="188" t="n">
        <v>1401370211582.37</v>
      </c>
      <c r="F1919" s="188" t="n">
        <v>19723005998.215</v>
      </c>
    </row>
    <row r="1920" ht="15" customHeight="1" s="95">
      <c r="A1920" s="143" t="n">
        <v>45384</v>
      </c>
      <c r="B1920" s="94" t="n">
        <v>2024</v>
      </c>
      <c r="C1920" s="94" t="inlineStr">
        <is>
          <t>2024-Q2</t>
        </is>
      </c>
      <c r="D1920" s="186" t="n">
        <v>69785.92503802371</v>
      </c>
      <c r="E1920" s="188" t="n">
        <v>1373784286061.35</v>
      </c>
      <c r="F1920" s="188" t="n">
        <v>36040088988.5387</v>
      </c>
    </row>
    <row r="1921" ht="15" customHeight="1" s="95">
      <c r="A1921" s="143" t="n">
        <v>45385</v>
      </c>
      <c r="B1921" s="94" t="n">
        <v>2024</v>
      </c>
      <c r="C1921" s="94" t="inlineStr">
        <is>
          <t>2024-Q2</t>
        </is>
      </c>
      <c r="D1921" s="186" t="n">
        <v>65440.4192258716</v>
      </c>
      <c r="E1921" s="188" t="n">
        <v>1288360536576.55</v>
      </c>
      <c r="F1921" s="188" t="n">
        <v>45161133992.0907</v>
      </c>
    </row>
    <row r="1922" ht="15" customHeight="1" s="95">
      <c r="A1922" s="143" t="n">
        <v>45386</v>
      </c>
      <c r="B1922" s="94" t="n">
        <v>2024</v>
      </c>
      <c r="C1922" s="94" t="inlineStr">
        <is>
          <t>2024-Q2</t>
        </is>
      </c>
      <c r="D1922" s="186" t="n">
        <v>66123.93853907401</v>
      </c>
      <c r="E1922" s="188" t="n">
        <v>1301670235623.73</v>
      </c>
      <c r="F1922" s="188" t="n">
        <v>35559952961.7973</v>
      </c>
    </row>
    <row r="1923" ht="15" customHeight="1" s="95">
      <c r="A1923" s="143" t="n">
        <v>45387</v>
      </c>
      <c r="B1923" s="94" t="n">
        <v>2024</v>
      </c>
      <c r="C1923" s="94" t="inlineStr">
        <is>
          <t>2024-Q2</t>
        </is>
      </c>
      <c r="D1923" s="186" t="n">
        <v>68542.17715279511</v>
      </c>
      <c r="E1923" s="188" t="n">
        <v>1348455954443.37</v>
      </c>
      <c r="F1923" s="188" t="n">
        <v>37516850709.6381</v>
      </c>
    </row>
    <row r="1924" ht="15" customHeight="1" s="95">
      <c r="A1924" s="143" t="n">
        <v>45388</v>
      </c>
      <c r="B1924" s="94" t="n">
        <v>2024</v>
      </c>
      <c r="C1924" s="94" t="inlineStr">
        <is>
          <t>2024-Q2</t>
        </is>
      </c>
      <c r="D1924" s="186" t="n">
        <v>67978.61023408511</v>
      </c>
      <c r="E1924" s="188" t="n">
        <v>1337452583876.39</v>
      </c>
      <c r="F1924" s="188" t="n">
        <v>35132808695.8045</v>
      </c>
    </row>
    <row r="1925" ht="15" customHeight="1" s="95">
      <c r="A1925" s="143" t="n">
        <v>45389</v>
      </c>
      <c r="B1925" s="94" t="n">
        <v>2024</v>
      </c>
      <c r="C1925" s="94" t="inlineStr">
        <is>
          <t>2024-Q2</t>
        </is>
      </c>
      <c r="D1925" s="186" t="n">
        <v>69000.6499164776</v>
      </c>
      <c r="E1925" s="188" t="n">
        <v>1358548956714.71</v>
      </c>
      <c r="F1925" s="188" t="n">
        <v>19119438138.8508</v>
      </c>
    </row>
    <row r="1926" ht="15" customHeight="1" s="95">
      <c r="A1926" s="143" t="n">
        <v>45390</v>
      </c>
      <c r="B1926" s="94" t="n">
        <v>2024</v>
      </c>
      <c r="C1926" s="94" t="inlineStr">
        <is>
          <t>2024-Q2</t>
        </is>
      </c>
      <c r="D1926" s="186" t="n">
        <v>69401.97360911009</v>
      </c>
      <c r="E1926" s="188" t="n">
        <v>1367272232852.08</v>
      </c>
      <c r="F1926" s="188" t="n">
        <v>17935478429.0102</v>
      </c>
    </row>
    <row r="1927" ht="15" customHeight="1" s="95">
      <c r="A1927" s="143" t="n">
        <v>45391</v>
      </c>
      <c r="B1927" s="94" t="n">
        <v>2024</v>
      </c>
      <c r="C1927" s="94" t="inlineStr">
        <is>
          <t>2024-Q2</t>
        </is>
      </c>
      <c r="D1927" s="186" t="n">
        <v>71624.18486237001</v>
      </c>
      <c r="E1927" s="188" t="n">
        <v>1410324678268.64</v>
      </c>
      <c r="F1927" s="188" t="n">
        <v>33111949671.0211</v>
      </c>
    </row>
    <row r="1928" ht="15" customHeight="1" s="95">
      <c r="A1928" s="143" t="n">
        <v>45392</v>
      </c>
      <c r="B1928" s="94" t="n">
        <v>2024</v>
      </c>
      <c r="C1928" s="94" t="inlineStr">
        <is>
          <t>2024-Q2</t>
        </is>
      </c>
      <c r="D1928" s="186" t="n">
        <v>69158.6438120767</v>
      </c>
      <c r="E1928" s="188" t="n">
        <v>1361830648708.67</v>
      </c>
      <c r="F1928" s="188" t="n">
        <v>36488482038.8591</v>
      </c>
    </row>
    <row r="1929" ht="15" customHeight="1" s="95">
      <c r="A1929" s="143" t="n">
        <v>45393</v>
      </c>
      <c r="B1929" s="94" t="n">
        <v>2024</v>
      </c>
      <c r="C1929" s="94" t="inlineStr">
        <is>
          <t>2024-Q2</t>
        </is>
      </c>
      <c r="D1929" s="186" t="n">
        <v>70527.8899757896</v>
      </c>
      <c r="E1929" s="188" t="n">
        <v>1387722485989.36</v>
      </c>
      <c r="F1929" s="188" t="n">
        <v>38378062633.1314</v>
      </c>
    </row>
    <row r="1930" ht="15" customHeight="1" s="95">
      <c r="A1930" s="143" t="n">
        <v>45394</v>
      </c>
      <c r="B1930" s="94" t="n">
        <v>2024</v>
      </c>
      <c r="C1930" s="94" t="inlineStr">
        <is>
          <t>2024-Q2</t>
        </is>
      </c>
      <c r="D1930" s="186" t="n">
        <v>70106.6641307095</v>
      </c>
      <c r="E1930" s="188" t="n">
        <v>1379324055321.2</v>
      </c>
      <c r="F1930" s="188" t="n">
        <v>30118549149.5105</v>
      </c>
    </row>
    <row r="1931" ht="15" customHeight="1" s="95">
      <c r="A1931" s="143" t="n">
        <v>45395</v>
      </c>
      <c r="B1931" s="94" t="n">
        <v>2024</v>
      </c>
      <c r="C1931" s="94" t="inlineStr">
        <is>
          <t>2024-Q2</t>
        </is>
      </c>
      <c r="D1931" s="186" t="n">
        <v>67252.1050422663</v>
      </c>
      <c r="E1931" s="188" t="n">
        <v>1321648247460.16</v>
      </c>
      <c r="F1931" s="188" t="n">
        <v>43471949726.092</v>
      </c>
    </row>
    <row r="1932" ht="15" customHeight="1" s="95">
      <c r="A1932" s="143" t="n">
        <v>45396</v>
      </c>
      <c r="B1932" s="94" t="n">
        <v>2024</v>
      </c>
      <c r="C1932" s="94" t="inlineStr">
        <is>
          <t>2024-Q2</t>
        </is>
      </c>
      <c r="D1932" s="186" t="n">
        <v>64404.8254890741</v>
      </c>
      <c r="E1932" s="188" t="n">
        <v>1270009515097.33</v>
      </c>
      <c r="F1932" s="188" t="n">
        <v>49214481480.2008</v>
      </c>
    </row>
    <row r="1933" ht="15" customHeight="1" s="95">
      <c r="A1933" s="143" t="n">
        <v>45397</v>
      </c>
      <c r="B1933" s="94" t="n">
        <v>2024</v>
      </c>
      <c r="C1933" s="94" t="inlineStr">
        <is>
          <t>2024-Q2</t>
        </is>
      </c>
      <c r="D1933" s="186" t="n">
        <v>65752.66004728879</v>
      </c>
      <c r="E1933" s="188" t="n">
        <v>1293286386553.4</v>
      </c>
      <c r="F1933" s="188" t="n">
        <v>40292911692.9543</v>
      </c>
    </row>
    <row r="1934" ht="15" customHeight="1" s="95">
      <c r="A1934" s="143" t="n">
        <v>45398</v>
      </c>
      <c r="B1934" s="94" t="n">
        <v>2024</v>
      </c>
      <c r="C1934" s="94" t="inlineStr">
        <is>
          <t>2024-Q2</t>
        </is>
      </c>
      <c r="D1934" s="186" t="n">
        <v>63430.5714573684</v>
      </c>
      <c r="E1934" s="188" t="n">
        <v>1247928896841</v>
      </c>
      <c r="F1934" s="188" t="n">
        <v>42796604938.0342</v>
      </c>
    </row>
    <row r="1935" ht="15" customHeight="1" s="95">
      <c r="A1935" s="143" t="n">
        <v>45399</v>
      </c>
      <c r="B1935" s="94" t="n">
        <v>2024</v>
      </c>
      <c r="C1935" s="94" t="inlineStr">
        <is>
          <t>2024-Q2</t>
        </is>
      </c>
      <c r="D1935" s="186" t="n">
        <v>63720.5015874807</v>
      </c>
      <c r="E1935" s="188" t="n">
        <v>1253670904297.49</v>
      </c>
      <c r="F1935" s="188" t="n">
        <v>42157169474.3952</v>
      </c>
    </row>
    <row r="1936" ht="15" customHeight="1" s="95">
      <c r="A1936" s="143" t="n">
        <v>45400</v>
      </c>
      <c r="B1936" s="94" t="n">
        <v>2024</v>
      </c>
      <c r="C1936" s="94" t="inlineStr">
        <is>
          <t>2024-Q2</t>
        </is>
      </c>
      <c r="D1936" s="186" t="n">
        <v>61328.8979886073</v>
      </c>
      <c r="E1936" s="188" t="n">
        <v>1207185042484.44</v>
      </c>
      <c r="F1936" s="188" t="n">
        <v>41123362075.9353</v>
      </c>
    </row>
    <row r="1937" ht="15" customHeight="1" s="95">
      <c r="A1937" s="143" t="n">
        <v>45401</v>
      </c>
      <c r="B1937" s="94" t="n">
        <v>2024</v>
      </c>
      <c r="C1937" s="94" t="inlineStr">
        <is>
          <t>2024-Q2</t>
        </is>
      </c>
      <c r="D1937" s="186" t="n">
        <v>63461.5926951072</v>
      </c>
      <c r="E1937" s="188" t="n">
        <v>1249565911947.34</v>
      </c>
      <c r="F1937" s="188" t="n">
        <v>35901618166.4232</v>
      </c>
    </row>
    <row r="1938" ht="15" customHeight="1" s="95">
      <c r="A1938" s="143" t="n">
        <v>45402</v>
      </c>
      <c r="B1938" s="94" t="n">
        <v>2024</v>
      </c>
      <c r="C1938" s="94" t="inlineStr">
        <is>
          <t>2024-Q2</t>
        </is>
      </c>
      <c r="D1938" s="186" t="n">
        <v>63988.8184717857</v>
      </c>
      <c r="E1938" s="188" t="n">
        <v>1263308149913.61</v>
      </c>
      <c r="F1938" s="188" t="n">
        <v>52227787323.8176</v>
      </c>
    </row>
    <row r="1939" ht="15" customHeight="1" s="95">
      <c r="A1939" s="143" t="n">
        <v>45403</v>
      </c>
      <c r="B1939" s="94" t="n">
        <v>2024</v>
      </c>
      <c r="C1939" s="94" t="inlineStr">
        <is>
          <t>2024-Q2</t>
        </is>
      </c>
      <c r="D1939" s="186" t="n">
        <v>64894.4186910918</v>
      </c>
      <c r="E1939" s="188" t="n">
        <v>1277940837359.79</v>
      </c>
      <c r="F1939" s="188" t="n">
        <v>16601830590.6875</v>
      </c>
    </row>
    <row r="1940" ht="15" customHeight="1" s="95">
      <c r="A1940" s="143" t="n">
        <v>45404</v>
      </c>
      <c r="B1940" s="94" t="n">
        <v>2024</v>
      </c>
      <c r="C1940" s="94" t="inlineStr">
        <is>
          <t>2024-Q2</t>
        </is>
      </c>
      <c r="D1940" s="186" t="n">
        <v>64936.4207567739</v>
      </c>
      <c r="E1940" s="188" t="n">
        <v>1279763566407.38</v>
      </c>
      <c r="F1940" s="188" t="n">
        <v>19592118541.1897</v>
      </c>
    </row>
    <row r="1941" ht="15" customHeight="1" s="95">
      <c r="A1941" s="143" t="n">
        <v>45405</v>
      </c>
      <c r="B1941" s="94" t="n">
        <v>2024</v>
      </c>
      <c r="C1941" s="94" t="inlineStr">
        <is>
          <t>2024-Q2</t>
        </is>
      </c>
      <c r="D1941" s="186" t="n">
        <v>66841.6668520736</v>
      </c>
      <c r="E1941" s="188" t="n">
        <v>1317058642854.29</v>
      </c>
      <c r="F1941" s="188" t="n">
        <v>27748586313.2061</v>
      </c>
    </row>
    <row r="1942" ht="15" customHeight="1" s="95">
      <c r="A1942" s="143" t="n">
        <v>45406</v>
      </c>
      <c r="B1942" s="94" t="n">
        <v>2024</v>
      </c>
      <c r="C1942" s="94" t="inlineStr">
        <is>
          <t>2024-Q2</t>
        </is>
      </c>
      <c r="D1942" s="186" t="n">
        <v>66406.9524439267</v>
      </c>
      <c r="E1942" s="188" t="n">
        <v>1306843409278.05</v>
      </c>
      <c r="F1942" s="188" t="n">
        <v>23232230785.2018</v>
      </c>
    </row>
    <row r="1943" ht="15" customHeight="1" s="95">
      <c r="A1943" s="143" t="n">
        <v>45407</v>
      </c>
      <c r="B1943" s="94" t="n">
        <v>2024</v>
      </c>
      <c r="C1943" s="94" t="inlineStr">
        <is>
          <t>2024-Q2</t>
        </is>
      </c>
      <c r="D1943" s="186" t="n">
        <v>64279.5181285752</v>
      </c>
      <c r="E1943" s="188" t="n">
        <v>1265541377860.93</v>
      </c>
      <c r="F1943" s="188" t="n">
        <v>30939903322.0259</v>
      </c>
    </row>
    <row r="1944" ht="15" customHeight="1" s="95">
      <c r="A1944" s="143" t="n">
        <v>45408</v>
      </c>
      <c r="B1944" s="94" t="n">
        <v>2024</v>
      </c>
      <c r="C1944" s="94" t="inlineStr">
        <is>
          <t>2024-Q2</t>
        </is>
      </c>
      <c r="D1944" s="186" t="n">
        <v>64486.183359159</v>
      </c>
      <c r="E1944" s="188" t="n">
        <v>1269387456067.62</v>
      </c>
      <c r="F1944" s="188" t="n">
        <v>24705345525.5708</v>
      </c>
    </row>
    <row r="1945" ht="15" customHeight="1" s="95">
      <c r="A1945" s="143" t="n">
        <v>45409</v>
      </c>
      <c r="B1945" s="94" t="n">
        <v>2024</v>
      </c>
      <c r="C1945" s="94" t="inlineStr">
        <is>
          <t>2024-Q2</t>
        </is>
      </c>
      <c r="D1945" s="186" t="n">
        <v>63802.3300492588</v>
      </c>
      <c r="E1945" s="188" t="n">
        <v>1255539337969.47</v>
      </c>
      <c r="F1945" s="188" t="n">
        <v>23302057197.8847</v>
      </c>
    </row>
    <row r="1946" ht="15" customHeight="1" s="95">
      <c r="A1946" s="143" t="n">
        <v>45410</v>
      </c>
      <c r="B1946" s="94" t="n">
        <v>2024</v>
      </c>
      <c r="C1946" s="94" t="inlineStr">
        <is>
          <t>2024-Q2</t>
        </is>
      </c>
      <c r="D1946" s="186" t="n">
        <v>63517.2487434096</v>
      </c>
      <c r="E1946" s="188" t="n">
        <v>1249495302303.49</v>
      </c>
      <c r="F1946" s="188" t="n">
        <v>19190483386.0639</v>
      </c>
    </row>
    <row r="1947" ht="15" customHeight="1" s="95">
      <c r="A1947" s="143" t="n">
        <v>45411</v>
      </c>
      <c r="B1947" s="94" t="n">
        <v>2024</v>
      </c>
      <c r="C1947" s="94" t="inlineStr">
        <is>
          <t>2024-Q2</t>
        </is>
      </c>
      <c r="D1947" s="186" t="n">
        <v>63030.4336166819</v>
      </c>
      <c r="E1947" s="188" t="n">
        <v>1240724751365.88</v>
      </c>
      <c r="F1947" s="188" t="n">
        <v>16180294651.0466</v>
      </c>
    </row>
    <row r="1948" ht="15" customHeight="1" s="95">
      <c r="A1948" s="143" t="n">
        <v>45412</v>
      </c>
      <c r="B1948" s="94" t="n">
        <v>2024</v>
      </c>
      <c r="C1948" s="94" t="inlineStr">
        <is>
          <t>2024-Q2</t>
        </is>
      </c>
      <c r="D1948" s="186" t="n">
        <v>63797.6796358996</v>
      </c>
      <c r="E1948" s="188" t="n">
        <v>1257159131219.06</v>
      </c>
      <c r="F1948" s="188" t="n">
        <v>27242983698.2123</v>
      </c>
    </row>
    <row r="1949" ht="15" customHeight="1" s="95">
      <c r="A1949" s="143" t="n">
        <v>45413</v>
      </c>
      <c r="B1949" s="94" t="n">
        <v>2024</v>
      </c>
      <c r="C1949" s="94" t="inlineStr">
        <is>
          <t>2024-Q2</t>
        </is>
      </c>
      <c r="D1949" s="186" t="n">
        <v>60749.4720921639</v>
      </c>
      <c r="E1949" s="188" t="n">
        <v>1197773959985.88</v>
      </c>
      <c r="F1949" s="188" t="n">
        <v>39533113322.0494</v>
      </c>
    </row>
    <row r="1950" ht="15" customHeight="1" s="95">
      <c r="A1950" s="143" t="n">
        <v>45414</v>
      </c>
      <c r="B1950" s="94" t="n">
        <v>2024</v>
      </c>
      <c r="C1950" s="94" t="inlineStr">
        <is>
          <t>2024-Q2</t>
        </is>
      </c>
      <c r="D1950" s="186" t="n">
        <v>58297.5740753255</v>
      </c>
      <c r="E1950" s="188" t="n">
        <v>1151677489315.15</v>
      </c>
      <c r="F1950" s="188" t="n">
        <v>51109380171.6926</v>
      </c>
    </row>
    <row r="1951" ht="15" customHeight="1" s="95">
      <c r="A1951" s="143" t="n">
        <v>45415</v>
      </c>
      <c r="B1951" s="94" t="n">
        <v>2024</v>
      </c>
      <c r="C1951" s="94" t="inlineStr">
        <is>
          <t>2024-Q2</t>
        </is>
      </c>
      <c r="D1951" s="186" t="n">
        <v>59135.1733607733</v>
      </c>
      <c r="E1951" s="188" t="n">
        <v>1164721402399.17</v>
      </c>
      <c r="F1951" s="188" t="n">
        <v>28255509745.4903</v>
      </c>
    </row>
    <row r="1952" ht="15" customHeight="1" s="95">
      <c r="A1952" s="143" t="n">
        <v>45416</v>
      </c>
      <c r="B1952" s="94" t="n">
        <v>2024</v>
      </c>
      <c r="C1952" s="94" t="inlineStr">
        <is>
          <t>2024-Q2</t>
        </is>
      </c>
      <c r="D1952" s="186" t="n">
        <v>62839.3407356938</v>
      </c>
      <c r="E1952" s="188" t="n">
        <v>1239817041554.72</v>
      </c>
      <c r="F1952" s="188" t="n">
        <v>33591665812.2124</v>
      </c>
    </row>
    <row r="1953" ht="15" customHeight="1" s="95">
      <c r="A1953" s="143" t="n">
        <v>45417</v>
      </c>
      <c r="B1953" s="94" t="n">
        <v>2024</v>
      </c>
      <c r="C1953" s="94" t="inlineStr">
        <is>
          <t>2024-Q2</t>
        </is>
      </c>
      <c r="D1953" s="186" t="n">
        <v>63820.451902925</v>
      </c>
      <c r="E1953" s="188" t="n">
        <v>1257549583083.31</v>
      </c>
      <c r="F1953" s="188" t="n">
        <v>20510614461.4792</v>
      </c>
    </row>
    <row r="1954" ht="15" customHeight="1" s="95">
      <c r="A1954" s="143" t="n">
        <v>45418</v>
      </c>
      <c r="B1954" s="94" t="n">
        <v>2024</v>
      </c>
      <c r="C1954" s="94" t="inlineStr">
        <is>
          <t>2024-Q2</t>
        </is>
      </c>
      <c r="D1954" s="186" t="n">
        <v>64010.0086521089</v>
      </c>
      <c r="E1954" s="188" t="n">
        <v>1259667234461.29</v>
      </c>
      <c r="F1954" s="188" t="n">
        <v>18115695040.202</v>
      </c>
    </row>
    <row r="1955" ht="15" customHeight="1" s="95">
      <c r="A1955" s="143" t="n">
        <v>45419</v>
      </c>
      <c r="B1955" s="94" t="n">
        <v>2024</v>
      </c>
      <c r="C1955" s="94" t="inlineStr">
        <is>
          <t>2024-Q2</t>
        </is>
      </c>
      <c r="D1955" s="186" t="n">
        <v>63172.4812955134</v>
      </c>
      <c r="E1955" s="188" t="n">
        <v>1244417948315.76</v>
      </c>
      <c r="F1955" s="188" t="n">
        <v>17917770174.278</v>
      </c>
    </row>
    <row r="1956" ht="15" customHeight="1" s="95">
      <c r="A1956" s="143" t="n">
        <v>45420</v>
      </c>
      <c r="B1956" s="94" t="n">
        <v>2024</v>
      </c>
      <c r="C1956" s="94" t="inlineStr">
        <is>
          <t>2024-Q2</t>
        </is>
      </c>
      <c r="D1956" s="186" t="n">
        <v>62363.0571917186</v>
      </c>
      <c r="E1956" s="188" t="n">
        <v>1229336706399.35</v>
      </c>
      <c r="F1956" s="188" t="n">
        <v>19925137720.8495</v>
      </c>
    </row>
    <row r="1957" ht="15" customHeight="1" s="95">
      <c r="A1957" s="143" t="n">
        <v>45421</v>
      </c>
      <c r="B1957" s="94" t="n">
        <v>2024</v>
      </c>
      <c r="C1957" s="94" t="inlineStr">
        <is>
          <t>2024-Q2</t>
        </is>
      </c>
      <c r="D1957" s="186" t="n">
        <v>61215.5040087919</v>
      </c>
      <c r="E1957" s="188" t="n">
        <v>1203918522476.54</v>
      </c>
      <c r="F1957" s="188" t="n">
        <v>20303831135.3731</v>
      </c>
    </row>
    <row r="1958" ht="15" customHeight="1" s="95">
      <c r="A1958" s="143" t="n">
        <v>45422</v>
      </c>
      <c r="B1958" s="94" t="n">
        <v>2024</v>
      </c>
      <c r="C1958" s="94" t="inlineStr">
        <is>
          <t>2024-Q2</t>
        </is>
      </c>
      <c r="D1958" s="186" t="n">
        <v>63148.599943097</v>
      </c>
      <c r="E1958" s="188" t="n">
        <v>1240910691253.63</v>
      </c>
      <c r="F1958" s="188" t="n">
        <v>25837724247.5504</v>
      </c>
    </row>
    <row r="1959" ht="15" customHeight="1" s="95">
      <c r="A1959" s="143" t="n">
        <v>45423</v>
      </c>
      <c r="B1959" s="94" t="n">
        <v>2024</v>
      </c>
      <c r="C1959" s="94" t="inlineStr">
        <is>
          <t>2024-Q2</t>
        </is>
      </c>
      <c r="D1959" s="186" t="n">
        <v>60888.2167495716</v>
      </c>
      <c r="E1959" s="188" t="n">
        <v>1199393711200.3</v>
      </c>
      <c r="F1959" s="188" t="n">
        <v>23987518755.4805</v>
      </c>
    </row>
    <row r="1960" ht="15" customHeight="1" s="95">
      <c r="A1960" s="143" t="n">
        <v>45424</v>
      </c>
      <c r="B1960" s="94" t="n">
        <v>2024</v>
      </c>
      <c r="C1960" s="94" t="inlineStr">
        <is>
          <t>2024-Q2</t>
        </is>
      </c>
      <c r="D1960" s="186" t="n">
        <v>60776.9720791721</v>
      </c>
      <c r="E1960" s="188" t="n">
        <v>1197102943502.23</v>
      </c>
      <c r="F1960" s="188" t="n">
        <v>12120618802.0654</v>
      </c>
    </row>
    <row r="1961" ht="15" customHeight="1" s="95">
      <c r="A1961" s="143" t="n">
        <v>45425</v>
      </c>
      <c r="B1961" s="94" t="n">
        <v>2024</v>
      </c>
      <c r="C1961" s="94" t="inlineStr">
        <is>
          <t>2024-Q2</t>
        </is>
      </c>
      <c r="D1961" s="186" t="n">
        <v>61507.0540041214</v>
      </c>
      <c r="E1961" s="188" t="n">
        <v>1211277523448.58</v>
      </c>
      <c r="F1961" s="188" t="n">
        <v>13045696108.9127</v>
      </c>
    </row>
    <row r="1962" ht="15" customHeight="1" s="95">
      <c r="A1962" s="143" t="n">
        <v>45426</v>
      </c>
      <c r="B1962" s="94" t="n">
        <v>2024</v>
      </c>
      <c r="C1962" s="94" t="inlineStr">
        <is>
          <t>2024-Q2</t>
        </is>
      </c>
      <c r="D1962" s="186" t="n">
        <v>62878.7833007293</v>
      </c>
      <c r="E1962" s="188" t="n">
        <v>1238994152713.13</v>
      </c>
      <c r="F1962" s="188" t="n">
        <v>27740460083.6018</v>
      </c>
    </row>
    <row r="1963" ht="15" customHeight="1" s="95">
      <c r="A1963" s="143" t="n">
        <v>45427</v>
      </c>
      <c r="B1963" s="94" t="n">
        <v>2024</v>
      </c>
      <c r="C1963" s="94" t="inlineStr">
        <is>
          <t>2024-Q2</t>
        </is>
      </c>
      <c r="D1963" s="186" t="n">
        <v>61569.1130057734</v>
      </c>
      <c r="E1963" s="188" t="n">
        <v>1212998352772.16</v>
      </c>
      <c r="F1963" s="188" t="n">
        <v>21581895152.3142</v>
      </c>
    </row>
    <row r="1964" ht="15" customHeight="1" s="95">
      <c r="A1964" s="143" t="n">
        <v>45428</v>
      </c>
      <c r="B1964" s="94" t="n">
        <v>2024</v>
      </c>
      <c r="C1964" s="94" t="inlineStr">
        <is>
          <t>2024-Q2</t>
        </is>
      </c>
      <c r="D1964" s="186" t="n">
        <v>66220.51831432831</v>
      </c>
      <c r="E1964" s="188" t="n">
        <v>1307048849176.42</v>
      </c>
      <c r="F1964" s="188" t="n">
        <v>38101793065.1529</v>
      </c>
    </row>
    <row r="1965" ht="15" customHeight="1" s="95">
      <c r="A1965" s="143" t="n">
        <v>45429</v>
      </c>
      <c r="B1965" s="94" t="n">
        <v>2024</v>
      </c>
      <c r="C1965" s="94" t="inlineStr">
        <is>
          <t>2024-Q2</t>
        </is>
      </c>
      <c r="D1965" s="186" t="n">
        <v>65260.8798033462</v>
      </c>
      <c r="E1965" s="188" t="n">
        <v>1286278919684.08</v>
      </c>
      <c r="F1965" s="188" t="n">
        <v>29114585833.3497</v>
      </c>
    </row>
    <row r="1966" ht="15" customHeight="1" s="95">
      <c r="A1966" s="143" t="n">
        <v>45430</v>
      </c>
      <c r="B1966" s="94" t="n">
        <v>2024</v>
      </c>
      <c r="C1966" s="94" t="inlineStr">
        <is>
          <t>2024-Q2</t>
        </is>
      </c>
      <c r="D1966" s="186" t="n">
        <v>67053.12326509559</v>
      </c>
      <c r="E1966" s="188" t="n">
        <v>1319238394090.13</v>
      </c>
      <c r="F1966" s="188" t="n">
        <v>25397793918.9935</v>
      </c>
    </row>
    <row r="1967" ht="15" customHeight="1" s="95">
      <c r="A1967" s="143" t="n">
        <v>45431</v>
      </c>
      <c r="B1967" s="94" t="n">
        <v>2024</v>
      </c>
      <c r="C1967" s="94" t="inlineStr">
        <is>
          <t>2024-Q2</t>
        </is>
      </c>
      <c r="D1967" s="186" t="n">
        <v>66912.618614037</v>
      </c>
      <c r="E1967" s="188" t="n">
        <v>1319928522881.64</v>
      </c>
      <c r="F1967" s="188" t="n">
        <v>13025487675.8451</v>
      </c>
    </row>
    <row r="1968" ht="15" customHeight="1" s="95">
      <c r="A1968" s="143" t="n">
        <v>45432</v>
      </c>
      <c r="B1968" s="94" t="n">
        <v>2024</v>
      </c>
      <c r="C1968" s="94" t="inlineStr">
        <is>
          <t>2024-Q2</t>
        </is>
      </c>
      <c r="D1968" s="186" t="n">
        <v>66252.71259591611</v>
      </c>
      <c r="E1968" s="188" t="n">
        <v>1304727108597.7</v>
      </c>
      <c r="F1968" s="188" t="n">
        <v>9072734600.00922</v>
      </c>
    </row>
    <row r="1969" ht="15" customHeight="1" s="95">
      <c r="A1969" s="143" t="n">
        <v>45433</v>
      </c>
      <c r="B1969" s="94" t="n">
        <v>2024</v>
      </c>
      <c r="C1969" s="94" t="inlineStr">
        <is>
          <t>2024-Q2</t>
        </is>
      </c>
      <c r="D1969" s="186" t="n">
        <v>71430.29700215151</v>
      </c>
      <c r="E1969" s="188" t="n">
        <v>1406288649446.61</v>
      </c>
      <c r="F1969" s="188" t="n">
        <v>35923476641.4359</v>
      </c>
    </row>
    <row r="1970" ht="15" customHeight="1" s="95">
      <c r="A1970" s="143" t="n">
        <v>45434</v>
      </c>
      <c r="B1970" s="94" t="n">
        <v>2024</v>
      </c>
      <c r="C1970" s="94" t="inlineStr">
        <is>
          <t>2024-Q2</t>
        </is>
      </c>
      <c r="D1970" s="186" t="n">
        <v>70189.83581770019</v>
      </c>
      <c r="E1970" s="188" t="n">
        <v>1382275470797.57</v>
      </c>
      <c r="F1970" s="188" t="n">
        <v>41105056578.017</v>
      </c>
    </row>
    <row r="1971" ht="15" customHeight="1" s="95">
      <c r="A1971" s="143" t="n">
        <v>45435</v>
      </c>
      <c r="B1971" s="94" t="n">
        <v>2024</v>
      </c>
      <c r="C1971" s="94" t="inlineStr">
        <is>
          <t>2024-Q2</t>
        </is>
      </c>
      <c r="D1971" s="186" t="n">
        <v>69181.20085677761</v>
      </c>
      <c r="E1971" s="188" t="n">
        <v>1362228629448.75</v>
      </c>
      <c r="F1971" s="188" t="n">
        <v>31059440495.9177</v>
      </c>
    </row>
    <row r="1972" ht="15" customHeight="1" s="95">
      <c r="A1972" s="143" t="n">
        <v>45436</v>
      </c>
      <c r="B1972" s="94" t="n">
        <v>2024</v>
      </c>
      <c r="C1972" s="94" t="inlineStr">
        <is>
          <t>2024-Q2</t>
        </is>
      </c>
      <c r="D1972" s="186" t="n">
        <v>67906.4653427611</v>
      </c>
      <c r="E1972" s="188" t="n">
        <v>1336347300306.38</v>
      </c>
      <c r="F1972" s="188" t="n">
        <v>39235702119.2545</v>
      </c>
    </row>
    <row r="1973" ht="15" customHeight="1" s="95">
      <c r="A1973" s="143" t="n">
        <v>45437</v>
      </c>
      <c r="B1973" s="94" t="n">
        <v>2024</v>
      </c>
      <c r="C1973" s="94" t="inlineStr">
        <is>
          <t>2024-Q2</t>
        </is>
      </c>
      <c r="D1973" s="186" t="n">
        <v>68539.9164655299</v>
      </c>
      <c r="E1973" s="188" t="n">
        <v>1350764328536.37</v>
      </c>
      <c r="F1973" s="188" t="n">
        <v>28127411967.1828</v>
      </c>
    </row>
    <row r="1974" ht="15" customHeight="1" s="95">
      <c r="A1974" s="143" t="n">
        <v>45438</v>
      </c>
      <c r="B1974" s="94" t="n">
        <v>2024</v>
      </c>
      <c r="C1974" s="94" t="inlineStr">
        <is>
          <t>2024-Q2</t>
        </is>
      </c>
      <c r="D1974" s="186" t="n">
        <v>69268.4455897377</v>
      </c>
      <c r="E1974" s="188" t="n">
        <v>1363997851294.82</v>
      </c>
      <c r="F1974" s="188" t="n">
        <v>15929396750.116</v>
      </c>
    </row>
    <row r="1975" ht="15" customHeight="1" s="95">
      <c r="A1975" s="143" t="n">
        <v>45439</v>
      </c>
      <c r="B1975" s="94" t="n">
        <v>2024</v>
      </c>
      <c r="C1975" s="94" t="inlineStr">
        <is>
          <t>2024-Q2</t>
        </is>
      </c>
      <c r="D1975" s="186" t="n">
        <v>68508.831108757</v>
      </c>
      <c r="E1975" s="188" t="n">
        <v>1349351520129.17</v>
      </c>
      <c r="F1975" s="188" t="n">
        <v>11243743771.1479</v>
      </c>
    </row>
    <row r="1976" ht="15" customHeight="1" s="95">
      <c r="A1976" s="143" t="n">
        <v>45440</v>
      </c>
      <c r="B1976" s="94" t="n">
        <v>2024</v>
      </c>
      <c r="C1976" s="94" t="inlineStr">
        <is>
          <t>2024-Q2</t>
        </is>
      </c>
      <c r="D1976" s="186" t="n">
        <v>69367.23871755729</v>
      </c>
      <c r="E1976" s="188" t="n">
        <v>1366931305389.04</v>
      </c>
      <c r="F1976" s="188" t="n">
        <v>18983806932.4643</v>
      </c>
    </row>
    <row r="1977" ht="15" customHeight="1" s="95">
      <c r="A1977" s="143" t="n">
        <v>45441</v>
      </c>
      <c r="B1977" s="94" t="n">
        <v>2024</v>
      </c>
      <c r="C1977" s="94" t="inlineStr">
        <is>
          <t>2024-Q2</t>
        </is>
      </c>
      <c r="D1977" s="186" t="n">
        <v>68316.63588049629</v>
      </c>
      <c r="E1977" s="188" t="n">
        <v>1347542673428.3</v>
      </c>
      <c r="F1977" s="188" t="n">
        <v>31278122196.185</v>
      </c>
    </row>
    <row r="1978" ht="15" customHeight="1" s="95">
      <c r="A1978" s="143" t="n">
        <v>45442</v>
      </c>
      <c r="B1978" s="94" t="n">
        <v>2024</v>
      </c>
      <c r="C1978" s="94" t="inlineStr">
        <is>
          <t>2024-Q2</t>
        </is>
      </c>
      <c r="D1978" s="186" t="n">
        <v>67577.2655899596</v>
      </c>
      <c r="E1978" s="188" t="n">
        <v>1331734029835.33</v>
      </c>
      <c r="F1978" s="188" t="n">
        <v>24320692137.6204</v>
      </c>
    </row>
    <row r="1979" ht="15" customHeight="1" s="95">
      <c r="A1979" s="143" t="n">
        <v>45443</v>
      </c>
      <c r="B1979" s="94" t="n">
        <v>2024</v>
      </c>
      <c r="C1979" s="94" t="inlineStr">
        <is>
          <t>2024-Q2</t>
        </is>
      </c>
      <c r="D1979" s="186" t="n">
        <v>68372.4928843409</v>
      </c>
      <c r="E1979" s="188" t="n">
        <v>1346147846430.12</v>
      </c>
      <c r="F1979" s="188" t="n">
        <v>25344376897.7169</v>
      </c>
    </row>
    <row r="1980" ht="15" customHeight="1" s="95">
      <c r="A1980" s="143" t="n">
        <v>45444</v>
      </c>
      <c r="B1980" s="94" t="n">
        <v>2024</v>
      </c>
      <c r="C1980" s="94" t="inlineStr">
        <is>
          <t>2024-Q2</t>
        </is>
      </c>
      <c r="D1980" s="186" t="n">
        <v>67474.95483698411</v>
      </c>
      <c r="E1980" s="188" t="n">
        <v>1331606411822.82</v>
      </c>
      <c r="F1980" s="188" t="n">
        <v>19685305476.4595</v>
      </c>
    </row>
    <row r="1981" ht="15" customHeight="1" s="95">
      <c r="A1981" s="143" t="n">
        <v>45445</v>
      </c>
      <c r="B1981" s="94" t="n">
        <v>2024</v>
      </c>
      <c r="C1981" s="94" t="inlineStr">
        <is>
          <t>2024-Q2</t>
        </is>
      </c>
      <c r="D1981" s="186" t="n">
        <v>67704.3264181152</v>
      </c>
      <c r="E1981" s="188" t="n">
        <v>1333649555935.35</v>
      </c>
      <c r="F1981" s="188" t="n">
        <v>10724053324.5567</v>
      </c>
    </row>
    <row r="1982" ht="15" customHeight="1" s="95">
      <c r="A1982" s="143" t="n">
        <v>45446</v>
      </c>
      <c r="B1982" s="94" t="n">
        <v>2024</v>
      </c>
      <c r="C1982" s="94" t="inlineStr">
        <is>
          <t>2024-Q2</t>
        </is>
      </c>
      <c r="D1982" s="186" t="n">
        <v>67740.0169022248</v>
      </c>
      <c r="E1982" s="188" t="n">
        <v>1335930570689.71</v>
      </c>
      <c r="F1982" s="188" t="n">
        <v>16137350587.7504</v>
      </c>
    </row>
    <row r="1983" ht="15" customHeight="1" s="95">
      <c r="A1983" s="143" t="n">
        <v>45447</v>
      </c>
      <c r="B1983" s="94" t="n">
        <v>2024</v>
      </c>
      <c r="C1983" s="94" t="inlineStr">
        <is>
          <t>2024-Q2</t>
        </is>
      </c>
      <c r="D1983" s="186" t="n">
        <v>68808.2936859055</v>
      </c>
      <c r="E1983" s="188" t="n">
        <v>1355484820107.09</v>
      </c>
      <c r="F1983" s="188" t="n">
        <v>29862293749.9107</v>
      </c>
    </row>
    <row r="1984" ht="15" customHeight="1" s="95">
      <c r="A1984" s="143" t="n">
        <v>45448</v>
      </c>
      <c r="B1984" s="94" t="n">
        <v>2024</v>
      </c>
      <c r="C1984" s="94" t="inlineStr">
        <is>
          <t>2024-Q2</t>
        </is>
      </c>
      <c r="D1984" s="186" t="n">
        <v>70600.0111667609</v>
      </c>
      <c r="E1984" s="188" t="n">
        <v>1390853496950.44</v>
      </c>
      <c r="F1984" s="188" t="n">
        <v>31561053725.1446</v>
      </c>
    </row>
    <row r="1985" ht="15" customHeight="1" s="95">
      <c r="A1985" s="143" t="n">
        <v>45449</v>
      </c>
      <c r="B1985" s="94" t="n">
        <v>2024</v>
      </c>
      <c r="C1985" s="94" t="inlineStr">
        <is>
          <t>2024-Q2</t>
        </is>
      </c>
      <c r="D1985" s="186" t="n">
        <v>71184.599430592</v>
      </c>
      <c r="E1985" s="188" t="n">
        <v>1400297735227.2</v>
      </c>
      <c r="F1985" s="188" t="n">
        <v>32560403314.9892</v>
      </c>
    </row>
    <row r="1986" ht="15" customHeight="1" s="95">
      <c r="A1986" s="143" t="n">
        <v>45450</v>
      </c>
      <c r="B1986" s="94" t="n">
        <v>2024</v>
      </c>
      <c r="C1986" s="94" t="inlineStr">
        <is>
          <t>2024-Q2</t>
        </is>
      </c>
      <c r="D1986" s="186" t="n">
        <v>70759.58819301429</v>
      </c>
      <c r="E1986" s="188" t="n">
        <v>1394881646977.52</v>
      </c>
      <c r="F1986" s="188" t="n">
        <v>23612879689.561</v>
      </c>
    </row>
    <row r="1987" ht="15" customHeight="1" s="95">
      <c r="A1987" s="143" t="n">
        <v>45451</v>
      </c>
      <c r="B1987" s="94" t="n">
        <v>2024</v>
      </c>
      <c r="C1987" s="94" t="inlineStr">
        <is>
          <t>2024-Q2</t>
        </is>
      </c>
      <c r="D1987" s="186" t="n">
        <v>69325.3623884722</v>
      </c>
      <c r="E1987" s="188" t="n">
        <v>1366366925856.51</v>
      </c>
      <c r="F1987" s="188" t="n">
        <v>18597495569.9116</v>
      </c>
    </row>
    <row r="1988" ht="15" customHeight="1" s="95">
      <c r="A1988" s="143" t="n">
        <v>45452</v>
      </c>
      <c r="B1988" s="94" t="n">
        <v>2024</v>
      </c>
      <c r="C1988" s="94" t="inlineStr">
        <is>
          <t>2024-Q2</t>
        </is>
      </c>
      <c r="D1988" s="186" t="n">
        <v>69315.1041233966</v>
      </c>
      <c r="E1988" s="188" t="n">
        <v>1366065699664.32</v>
      </c>
      <c r="F1988" s="188" t="n">
        <v>10688301508.4762</v>
      </c>
    </row>
    <row r="1989" ht="15" customHeight="1" s="95">
      <c r="A1989" s="143" t="n">
        <v>45453</v>
      </c>
      <c r="B1989" s="94" t="n">
        <v>2024</v>
      </c>
      <c r="C1989" s="94" t="inlineStr">
        <is>
          <t>2024-Q2</t>
        </is>
      </c>
      <c r="D1989" s="186" t="n">
        <v>69654.1607376036</v>
      </c>
      <c r="E1989" s="188" t="n">
        <v>1372556186704.5</v>
      </c>
      <c r="F1989" s="188" t="n">
        <v>10461044041.0802</v>
      </c>
    </row>
    <row r="1990" ht="15" customHeight="1" s="95">
      <c r="A1990" s="143" t="n">
        <v>45454</v>
      </c>
      <c r="B1990" s="94" t="n">
        <v>2024</v>
      </c>
      <c r="C1990" s="94" t="inlineStr">
        <is>
          <t>2024-Q2</t>
        </is>
      </c>
      <c r="D1990" s="186" t="n">
        <v>69493.1776091574</v>
      </c>
      <c r="E1990" s="188" t="n">
        <v>1369378888543.53</v>
      </c>
      <c r="F1990" s="188" t="n">
        <v>19335866773.6752</v>
      </c>
    </row>
    <row r="1991" ht="15" customHeight="1" s="95">
      <c r="A1991" s="143" t="n">
        <v>45455</v>
      </c>
      <c r="B1991" s="94" t="n">
        <v>2024</v>
      </c>
      <c r="C1991" s="94" t="inlineStr">
        <is>
          <t>2024-Q2</t>
        </is>
      </c>
      <c r="D1991" s="186" t="n">
        <v>67329.1523272432</v>
      </c>
      <c r="E1991" s="188" t="n">
        <v>1327665028180.28</v>
      </c>
      <c r="F1991" s="188" t="n">
        <v>38513044382.608</v>
      </c>
    </row>
    <row r="1992" ht="15" customHeight="1" s="95">
      <c r="A1992" s="143" t="n">
        <v>45456</v>
      </c>
      <c r="B1992" s="94" t="n">
        <v>2024</v>
      </c>
      <c r="C1992" s="94" t="inlineStr">
        <is>
          <t>2024-Q2</t>
        </is>
      </c>
      <c r="D1992" s="186" t="n">
        <v>68224.5196750199</v>
      </c>
      <c r="E1992" s="188" t="n">
        <v>1345244310606.69</v>
      </c>
      <c r="F1992" s="188" t="n">
        <v>36027809551.4521</v>
      </c>
    </row>
    <row r="1993" ht="15" customHeight="1" s="95">
      <c r="A1993" s="143" t="n">
        <v>45457</v>
      </c>
      <c r="B1993" s="94" t="n">
        <v>2024</v>
      </c>
      <c r="C1993" s="94" t="inlineStr">
        <is>
          <t>2024-Q2</t>
        </is>
      </c>
      <c r="D1993" s="186" t="n">
        <v>66700.3169656438</v>
      </c>
      <c r="E1993" s="188" t="n">
        <v>1317161415434.7</v>
      </c>
      <c r="F1993" s="188" t="n">
        <v>29654777884.3811</v>
      </c>
    </row>
    <row r="1994" ht="15" customHeight="1" s="95">
      <c r="A1994" s="143" t="n">
        <v>45458</v>
      </c>
      <c r="B1994" s="94" t="n">
        <v>2024</v>
      </c>
      <c r="C1994" s="94" t="inlineStr">
        <is>
          <t>2024-Q2</t>
        </is>
      </c>
      <c r="D1994" s="186" t="n">
        <v>66011.0787371373</v>
      </c>
      <c r="E1994" s="188" t="n">
        <v>1301949410096.35</v>
      </c>
      <c r="F1994" s="188" t="n">
        <v>27966992832.7496</v>
      </c>
    </row>
    <row r="1995" ht="15" customHeight="1" s="95">
      <c r="A1995" s="143" t="n">
        <v>45459</v>
      </c>
      <c r="B1995" s="94" t="n">
        <v>2024</v>
      </c>
      <c r="C1995" s="94" t="inlineStr">
        <is>
          <t>2024-Q2</t>
        </is>
      </c>
      <c r="D1995" s="186" t="n">
        <v>66190.4874891135</v>
      </c>
      <c r="E1995" s="188" t="n">
        <v>1304370314917.98</v>
      </c>
      <c r="F1995" s="188" t="n">
        <v>13472726244.7231</v>
      </c>
    </row>
    <row r="1996" ht="15" customHeight="1" s="95">
      <c r="A1996" s="143" t="n">
        <v>45460</v>
      </c>
      <c r="B1996" s="94" t="n">
        <v>2024</v>
      </c>
      <c r="C1996" s="94" t="inlineStr">
        <is>
          <t>2024-Q2</t>
        </is>
      </c>
      <c r="D1996" s="186" t="n">
        <v>66615.5378213177</v>
      </c>
      <c r="E1996" s="188" t="n">
        <v>1313849391756.98</v>
      </c>
      <c r="F1996" s="188" t="n">
        <v>12650130203.7228</v>
      </c>
    </row>
    <row r="1997" ht="15" customHeight="1" s="95">
      <c r="A1997" s="143" t="n">
        <v>45461</v>
      </c>
      <c r="B1997" s="94" t="n">
        <v>2024</v>
      </c>
      <c r="C1997" s="94" t="inlineStr">
        <is>
          <t>2024-Q2</t>
        </is>
      </c>
      <c r="D1997" s="186" t="n">
        <v>66460.3889790995</v>
      </c>
      <c r="E1997" s="188" t="n">
        <v>1309329377372.77</v>
      </c>
      <c r="F1997" s="188" t="n">
        <v>29409728999.2761</v>
      </c>
    </row>
    <row r="1998" ht="15" customHeight="1" s="95">
      <c r="A1998" s="143" t="n">
        <v>45462</v>
      </c>
      <c r="B1998" s="94" t="n">
        <v>2024</v>
      </c>
      <c r="C1998" s="94" t="inlineStr">
        <is>
          <t>2024-Q2</t>
        </is>
      </c>
      <c r="D1998" s="186" t="n">
        <v>65109.3148121905</v>
      </c>
      <c r="E1998" s="188" t="n">
        <v>1282295865979.07</v>
      </c>
      <c r="F1998" s="188" t="n">
        <v>41386972050.3184</v>
      </c>
    </row>
    <row r="1999" ht="15" customHeight="1" s="95">
      <c r="A1999" s="143" t="n">
        <v>45463</v>
      </c>
      <c r="B1999" s="94" t="n">
        <v>2024</v>
      </c>
      <c r="C1999" s="94" t="inlineStr">
        <is>
          <t>2024-Q2</t>
        </is>
      </c>
      <c r="D1999" s="186" t="n">
        <v>64907.0746076032</v>
      </c>
      <c r="E1999" s="188" t="n">
        <v>1278699763341.07</v>
      </c>
      <c r="F1999" s="188" t="n">
        <v>21680698980.8891</v>
      </c>
    </row>
    <row r="2000" ht="15" customHeight="1" s="95">
      <c r="A2000" s="143" t="n">
        <v>45464</v>
      </c>
      <c r="B2000" s="94" t="n">
        <v>2024</v>
      </c>
      <c r="C2000" s="94" t="inlineStr">
        <is>
          <t>2024-Q2</t>
        </is>
      </c>
      <c r="D2000" s="186" t="n">
        <v>64844.6744179776</v>
      </c>
      <c r="E2000" s="188" t="n">
        <v>1279317116821.38</v>
      </c>
      <c r="F2000" s="188" t="n">
        <v>26001551474.8443</v>
      </c>
    </row>
    <row r="2001" ht="15" customHeight="1" s="95">
      <c r="A2001" s="143" t="n">
        <v>45465</v>
      </c>
      <c r="B2001" s="94" t="n">
        <v>2024</v>
      </c>
      <c r="C2001" s="94" t="inlineStr">
        <is>
          <t>2024-Q2</t>
        </is>
      </c>
      <c r="D2001" s="186" t="n">
        <v>64071.6242847097</v>
      </c>
      <c r="E2001" s="188" t="n">
        <v>1263258746635.29</v>
      </c>
      <c r="F2001" s="188" t="n">
        <v>24694310198.9094</v>
      </c>
    </row>
    <row r="2002" ht="15" customHeight="1" s="95">
      <c r="A2002" s="143" t="n">
        <v>45466</v>
      </c>
      <c r="B2002" s="94" t="n">
        <v>2024</v>
      </c>
      <c r="C2002" s="94" t="inlineStr">
        <is>
          <t>2024-Q2</t>
        </is>
      </c>
      <c r="D2002" s="186" t="n">
        <v>64239.9034881315</v>
      </c>
      <c r="E2002" s="188" t="n">
        <v>1266336092890.87</v>
      </c>
      <c r="F2002" s="188" t="n">
        <v>6340606686.24879</v>
      </c>
    </row>
    <row r="2003" ht="15" customHeight="1" s="95">
      <c r="A2003" s="143" t="n">
        <v>45467</v>
      </c>
      <c r="B2003" s="94" t="n">
        <v>2024</v>
      </c>
      <c r="C2003" s="94" t="inlineStr">
        <is>
          <t>2024-Q2</t>
        </is>
      </c>
      <c r="D2003" s="186" t="n">
        <v>63221.3573843748</v>
      </c>
      <c r="E2003" s="188" t="n">
        <v>1248188877658.23</v>
      </c>
      <c r="F2003" s="188" t="n">
        <v>10748270931.5187</v>
      </c>
    </row>
    <row r="2004" ht="15" customHeight="1" s="95">
      <c r="A2004" s="143" t="n">
        <v>45468</v>
      </c>
      <c r="B2004" s="94" t="n">
        <v>2024</v>
      </c>
      <c r="C2004" s="94" t="inlineStr">
        <is>
          <t>2024-Q2</t>
        </is>
      </c>
      <c r="D2004" s="186" t="n">
        <v>60363.2349752963</v>
      </c>
      <c r="E2004" s="188" t="n">
        <v>1188964670369.41</v>
      </c>
      <c r="F2004" s="188" t="n">
        <v>42036553106.8903</v>
      </c>
    </row>
    <row r="2005" ht="15" customHeight="1" s="95">
      <c r="A2005" s="143" t="n">
        <v>45469</v>
      </c>
      <c r="B2005" s="94" t="n">
        <v>2024</v>
      </c>
      <c r="C2005" s="94" t="inlineStr">
        <is>
          <t>2024-Q2</t>
        </is>
      </c>
      <c r="D2005" s="186" t="n">
        <v>61770.4138700954</v>
      </c>
      <c r="E2005" s="188" t="n">
        <v>1217935012739.81</v>
      </c>
      <c r="F2005" s="188" t="n">
        <v>21105562261.6485</v>
      </c>
    </row>
    <row r="2006" ht="15" customHeight="1" s="95">
      <c r="A2006" s="143" t="n">
        <v>45470</v>
      </c>
      <c r="B2006" s="94" t="n">
        <v>2024</v>
      </c>
      <c r="C2006" s="94" t="inlineStr">
        <is>
          <t>2024-Q2</t>
        </is>
      </c>
      <c r="D2006" s="186" t="n">
        <v>60749.8961940201</v>
      </c>
      <c r="E2006" s="188" t="n">
        <v>1198205485427.56</v>
      </c>
      <c r="F2006" s="188" t="n">
        <v>22908540918.9712</v>
      </c>
    </row>
    <row r="2007" ht="15" customHeight="1" s="95">
      <c r="A2007" s="143" t="n">
        <v>45471</v>
      </c>
      <c r="B2007" s="94" t="n">
        <v>2024</v>
      </c>
      <c r="C2007" s="94" t="inlineStr">
        <is>
          <t>2024-Q2</t>
        </is>
      </c>
      <c r="D2007" s="186" t="n">
        <v>61562.6453255004</v>
      </c>
      <c r="E2007" s="188" t="n">
        <v>1213931985719.8</v>
      </c>
      <c r="F2007" s="188" t="n">
        <v>18855138893.0676</v>
      </c>
    </row>
    <row r="2008" ht="15" customHeight="1" s="95">
      <c r="A2008" s="143" t="n">
        <v>45472</v>
      </c>
      <c r="B2008" s="94" t="n">
        <v>2024</v>
      </c>
      <c r="C2008" s="94" t="inlineStr">
        <is>
          <t>2024-Q2</t>
        </is>
      </c>
      <c r="D2008" s="186" t="n">
        <v>60317.0969794512</v>
      </c>
      <c r="E2008" s="188" t="n">
        <v>1189569860170.94</v>
      </c>
      <c r="F2008" s="188" t="n">
        <v>24399416695.1502</v>
      </c>
    </row>
    <row r="2009" ht="15" customHeight="1" s="95">
      <c r="A2009" s="143" t="n">
        <v>45473</v>
      </c>
      <c r="B2009" s="94" t="n">
        <v>2024</v>
      </c>
      <c r="C2009" s="94" t="inlineStr">
        <is>
          <t>2024-Q2</t>
        </is>
      </c>
      <c r="D2009" s="186" t="n">
        <v>60864.4431619343</v>
      </c>
      <c r="E2009" s="188" t="n">
        <v>1199792912680.84</v>
      </c>
      <c r="F2009" s="188" t="n">
        <v>11435110883.8868</v>
      </c>
    </row>
    <row r="2010" ht="15" customHeight="1" s="95">
      <c r="A2010" s="143" t="n">
        <v>45474</v>
      </c>
      <c r="B2010" s="94" t="n">
        <v>2024</v>
      </c>
      <c r="C2010" s="94" t="inlineStr">
        <is>
          <t>2024-Q3</t>
        </is>
      </c>
      <c r="D2010" s="186" t="n">
        <v>62734.3938394547</v>
      </c>
      <c r="E2010" s="188" t="n">
        <v>1236676710888.48</v>
      </c>
      <c r="F2010" s="188" t="n">
        <v>17373592048.1205</v>
      </c>
    </row>
    <row r="2011" ht="15" customHeight="1" s="95">
      <c r="A2011" s="143" t="n">
        <v>45475</v>
      </c>
      <c r="B2011" s="94" t="n">
        <v>2024</v>
      </c>
      <c r="C2011" s="94" t="inlineStr">
        <is>
          <t>2024-Q3</t>
        </is>
      </c>
      <c r="D2011" s="186" t="n">
        <v>62819.8222692185</v>
      </c>
      <c r="E2011" s="188" t="n">
        <v>1238799172479.87</v>
      </c>
      <c r="F2011" s="188" t="n">
        <v>25573074910.6897</v>
      </c>
    </row>
    <row r="2012" ht="15" customHeight="1" s="95">
      <c r="A2012" s="143" t="n">
        <v>45476</v>
      </c>
      <c r="B2012" s="94" t="n">
        <v>2024</v>
      </c>
      <c r="C2012" s="94" t="inlineStr">
        <is>
          <t>2024-Q3</t>
        </is>
      </c>
      <c r="D2012" s="186" t="n">
        <v>62042.5650371006</v>
      </c>
      <c r="E2012" s="188" t="n">
        <v>1222901857941.06</v>
      </c>
      <c r="F2012" s="188" t="n">
        <v>18100530101.6894</v>
      </c>
    </row>
    <row r="2013" ht="15" customHeight="1" s="95">
      <c r="A2013" s="143" t="n">
        <v>45477</v>
      </c>
      <c r="B2013" s="94" t="n">
        <v>2024</v>
      </c>
      <c r="C2013" s="94" t="inlineStr">
        <is>
          <t>2024-Q3</t>
        </is>
      </c>
      <c r="D2013" s="186" t="n">
        <v>60244.6807643309</v>
      </c>
      <c r="E2013" s="188" t="n">
        <v>1186937170314.93</v>
      </c>
      <c r="F2013" s="188" t="n">
        <v>30348692427.0244</v>
      </c>
    </row>
    <row r="2014" ht="15" customHeight="1" s="95">
      <c r="A2014" s="143" t="n">
        <v>45478</v>
      </c>
      <c r="B2014" s="94" t="n">
        <v>2024</v>
      </c>
      <c r="C2014" s="94" t="inlineStr">
        <is>
          <t>2024-Q3</t>
        </is>
      </c>
      <c r="D2014" s="186" t="n">
        <v>57189.1741240864</v>
      </c>
      <c r="E2014" s="188" t="n">
        <v>1130121668991.05</v>
      </c>
      <c r="F2014" s="188" t="n">
        <v>43112005394.9312</v>
      </c>
    </row>
    <row r="2015" ht="15" customHeight="1" s="95">
      <c r="A2015" s="143" t="n">
        <v>45479</v>
      </c>
      <c r="B2015" s="94" t="n">
        <v>2024</v>
      </c>
      <c r="C2015" s="94" t="inlineStr">
        <is>
          <t>2024-Q3</t>
        </is>
      </c>
      <c r="D2015" s="186" t="n">
        <v>56739.862851072</v>
      </c>
      <c r="E2015" s="188" t="n">
        <v>1118490666778.46</v>
      </c>
      <c r="F2015" s="188" t="n">
        <v>60081357583.2773</v>
      </c>
    </row>
    <row r="2016" ht="15" customHeight="1" s="95">
      <c r="A2016" s="143" t="n">
        <v>45480</v>
      </c>
      <c r="B2016" s="94" t="n">
        <v>2024</v>
      </c>
      <c r="C2016" s="94" t="inlineStr">
        <is>
          <t>2024-Q3</t>
        </is>
      </c>
      <c r="D2016" s="186" t="n">
        <v>58230.4841542266</v>
      </c>
      <c r="E2016" s="188" t="n">
        <v>1147176330416.14</v>
      </c>
      <c r="F2016" s="188" t="n">
        <v>21293913670.92</v>
      </c>
    </row>
    <row r="2017" ht="15" customHeight="1" s="95">
      <c r="A2017" s="143" t="n">
        <v>45481</v>
      </c>
      <c r="B2017" s="94" t="n">
        <v>2024</v>
      </c>
      <c r="C2017" s="94" t="inlineStr">
        <is>
          <t>2024-Q3</t>
        </is>
      </c>
      <c r="D2017" s="186" t="n">
        <v>55880.3753776708</v>
      </c>
      <c r="E2017" s="188" t="n">
        <v>1100452083927.7</v>
      </c>
      <c r="F2017" s="188" t="n">
        <v>20211914621.3264</v>
      </c>
    </row>
    <row r="2018" ht="15" customHeight="1" s="95">
      <c r="A2018" s="143" t="n">
        <v>45482</v>
      </c>
      <c r="B2018" s="94" t="n">
        <v>2024</v>
      </c>
      <c r="C2018" s="94" t="inlineStr">
        <is>
          <t>2024-Q3</t>
        </is>
      </c>
      <c r="D2018" s="186" t="n">
        <v>56665.1407335203</v>
      </c>
      <c r="E2018" s="188" t="n">
        <v>1117615464651.69</v>
      </c>
      <c r="F2018" s="188" t="n">
        <v>41614266908.3047</v>
      </c>
    </row>
    <row r="2019" ht="15" customHeight="1" s="95">
      <c r="A2019" s="143" t="n">
        <v>45483</v>
      </c>
      <c r="B2019" s="94" t="n">
        <v>2024</v>
      </c>
      <c r="C2019" s="94" t="inlineStr">
        <is>
          <t>2024-Q3</t>
        </is>
      </c>
      <c r="D2019" s="186" t="n">
        <v>57988.303512084</v>
      </c>
      <c r="E2019" s="188" t="n">
        <v>1144794688186.96</v>
      </c>
      <c r="F2019" s="188" t="n">
        <v>28413854577.2628</v>
      </c>
    </row>
    <row r="2020" ht="15" customHeight="1" s="95">
      <c r="A2020" s="143" t="n">
        <v>45484</v>
      </c>
      <c r="B2020" s="94" t="n">
        <v>2024</v>
      </c>
      <c r="C2020" s="94" t="inlineStr">
        <is>
          <t>2024-Q3</t>
        </is>
      </c>
      <c r="D2020" s="186" t="n">
        <v>57704.2022844629</v>
      </c>
      <c r="E2020" s="188" t="n">
        <v>1139350681822.59</v>
      </c>
      <c r="F2020" s="188" t="n">
        <v>25987656347.2786</v>
      </c>
    </row>
    <row r="2021" ht="15" customHeight="1" s="95">
      <c r="A2021" s="143" t="n">
        <v>45485</v>
      </c>
      <c r="B2021" s="94" t="n">
        <v>2024</v>
      </c>
      <c r="C2021" s="94" t="inlineStr">
        <is>
          <t>2024-Q3</t>
        </is>
      </c>
      <c r="D2021" s="186" t="n">
        <v>57388.1924791667</v>
      </c>
      <c r="E2021" s="188" t="n">
        <v>1130276546536.14</v>
      </c>
      <c r="F2021" s="188" t="n">
        <v>29196653598.7527</v>
      </c>
    </row>
    <row r="2022" ht="15" customHeight="1" s="95">
      <c r="A2022" s="143" t="n">
        <v>45486</v>
      </c>
      <c r="B2022" s="94" t="n">
        <v>2024</v>
      </c>
      <c r="C2022" s="94" t="inlineStr">
        <is>
          <t>2024-Q3</t>
        </is>
      </c>
      <c r="D2022" s="186" t="n">
        <v>57899.2889574959</v>
      </c>
      <c r="E2022" s="188" t="n">
        <v>1141567375406.19</v>
      </c>
      <c r="F2022" s="188" t="n">
        <v>25504482306.199</v>
      </c>
    </row>
    <row r="2023" ht="15" customHeight="1" s="95">
      <c r="A2023" s="143" t="n">
        <v>45487</v>
      </c>
      <c r="B2023" s="94" t="n">
        <v>2024</v>
      </c>
      <c r="C2023" s="94" t="inlineStr">
        <is>
          <t>2024-Q3</t>
        </is>
      </c>
      <c r="D2023" s="186" t="n">
        <v>59152.7191388729</v>
      </c>
      <c r="E2023" s="188" t="n">
        <v>1168371787725.71</v>
      </c>
      <c r="F2023" s="188" t="n">
        <v>16765547593.2433</v>
      </c>
    </row>
    <row r="2024" ht="15" customHeight="1" s="95">
      <c r="A2024" s="143" t="n">
        <v>45488</v>
      </c>
      <c r="B2024" s="94" t="n">
        <v>2024</v>
      </c>
      <c r="C2024" s="94" t="inlineStr">
        <is>
          <t>2024-Q3</t>
        </is>
      </c>
      <c r="D2024" s="186" t="n">
        <v>60942.3277399629</v>
      </c>
      <c r="E2024" s="188" t="n">
        <v>1204059167828.7</v>
      </c>
      <c r="F2024" s="188" t="n">
        <v>21295520563.6544</v>
      </c>
    </row>
    <row r="2025" ht="15" customHeight="1" s="95">
      <c r="A2025" s="143" t="n">
        <v>45489</v>
      </c>
      <c r="B2025" s="94" t="n">
        <v>2024</v>
      </c>
      <c r="C2025" s="94" t="inlineStr">
        <is>
          <t>2024-Q3</t>
        </is>
      </c>
      <c r="D2025" s="186" t="n">
        <v>64835.4897332157</v>
      </c>
      <c r="E2025" s="188" t="n">
        <v>1277806993830.52</v>
      </c>
      <c r="F2025" s="188" t="n">
        <v>37810068492.8625</v>
      </c>
    </row>
    <row r="2026" ht="15" customHeight="1" s="95">
      <c r="A2026" s="143" t="n">
        <v>45490</v>
      </c>
      <c r="B2026" s="94" t="n">
        <v>2024</v>
      </c>
      <c r="C2026" s="94" t="inlineStr">
        <is>
          <t>2024-Q3</t>
        </is>
      </c>
      <c r="D2026" s="186" t="n">
        <v>65162.2362523435</v>
      </c>
      <c r="E2026" s="188" t="n">
        <v>1284899538175.18</v>
      </c>
      <c r="F2026" s="188" t="n">
        <v>40914441633.0958</v>
      </c>
    </row>
    <row r="2027" ht="15" customHeight="1" s="95">
      <c r="A2027" s="143" t="n">
        <v>45491</v>
      </c>
      <c r="B2027" s="94" t="n">
        <v>2024</v>
      </c>
      <c r="C2027" s="94" t="inlineStr">
        <is>
          <t>2024-Q3</t>
        </is>
      </c>
      <c r="D2027" s="186" t="n">
        <v>64136.3138436069</v>
      </c>
      <c r="E2027" s="188" t="n">
        <v>1266016458007.35</v>
      </c>
      <c r="F2027" s="188" t="n">
        <v>33459451713.5934</v>
      </c>
    </row>
    <row r="2028" ht="15" customHeight="1" s="95">
      <c r="A2028" s="143" t="n">
        <v>45492</v>
      </c>
      <c r="B2028" s="94" t="n">
        <v>2024</v>
      </c>
      <c r="C2028" s="94" t="inlineStr">
        <is>
          <t>2024-Q3</t>
        </is>
      </c>
      <c r="D2028" s="186" t="n">
        <v>63959.5690080938</v>
      </c>
      <c r="E2028" s="188" t="n">
        <v>1261456293182.26</v>
      </c>
      <c r="F2028" s="188" t="n">
        <v>25976148878.6322</v>
      </c>
    </row>
    <row r="2029" ht="15" customHeight="1" s="95">
      <c r="A2029" s="143" t="n">
        <v>45493</v>
      </c>
      <c r="B2029" s="94" t="n">
        <v>2024</v>
      </c>
      <c r="C2029" s="94" t="inlineStr">
        <is>
          <t>2024-Q3</t>
        </is>
      </c>
      <c r="D2029" s="186" t="n">
        <v>66689.54880734959</v>
      </c>
      <c r="E2029" s="188" t="n">
        <v>1316147398343.72</v>
      </c>
      <c r="F2029" s="188" t="n">
        <v>36994610752.2304</v>
      </c>
    </row>
    <row r="2030" ht="15" customHeight="1" s="95">
      <c r="A2030" s="143" t="n">
        <v>45494</v>
      </c>
      <c r="B2030" s="94" t="n">
        <v>2024</v>
      </c>
      <c r="C2030" s="94" t="inlineStr">
        <is>
          <t>2024-Q3</t>
        </is>
      </c>
      <c r="D2030" s="186" t="n">
        <v>67206.0647061489</v>
      </c>
      <c r="E2030" s="188" t="n">
        <v>1325658979468</v>
      </c>
      <c r="F2030" s="188" t="n">
        <v>17353396168.0416</v>
      </c>
    </row>
    <row r="2031" ht="15" customHeight="1" s="95">
      <c r="A2031" s="143" t="n">
        <v>45495</v>
      </c>
      <c r="B2031" s="94" t="n">
        <v>2024</v>
      </c>
      <c r="C2031" s="94" t="inlineStr">
        <is>
          <t>2024-Q3</t>
        </is>
      </c>
      <c r="D2031" s="186" t="n">
        <v>68088.1399632453</v>
      </c>
      <c r="E2031" s="188" t="n">
        <v>1343346742483.08</v>
      </c>
      <c r="F2031" s="188" t="n">
        <v>27078771827.952</v>
      </c>
    </row>
    <row r="2032" ht="15" customHeight="1" s="95">
      <c r="A2032" s="143" t="n">
        <v>45496</v>
      </c>
      <c r="B2032" s="94" t="n">
        <v>2024</v>
      </c>
      <c r="C2032" s="94" t="inlineStr">
        <is>
          <t>2024-Q3</t>
        </is>
      </c>
      <c r="D2032" s="186" t="n">
        <v>67607.71339918869</v>
      </c>
      <c r="E2032" s="188" t="n">
        <v>1333201881091.78</v>
      </c>
      <c r="F2032" s="188" t="n">
        <v>43157593651.8031</v>
      </c>
    </row>
    <row r="2033" ht="15" customHeight="1" s="95">
      <c r="A2033" s="143" t="n">
        <v>45497</v>
      </c>
      <c r="B2033" s="94" t="n">
        <v>2024</v>
      </c>
      <c r="C2033" s="94" t="inlineStr">
        <is>
          <t>2024-Q3</t>
        </is>
      </c>
      <c r="D2033" s="186" t="n">
        <v>65942.4174652284</v>
      </c>
      <c r="E2033" s="188" t="n">
        <v>1300963591115.54</v>
      </c>
      <c r="F2033" s="188" t="n">
        <v>36100536095.1887</v>
      </c>
    </row>
    <row r="2034" ht="15" customHeight="1" s="95">
      <c r="A2034" s="143" t="n">
        <v>45498</v>
      </c>
      <c r="B2034" s="94" t="n">
        <v>2024</v>
      </c>
      <c r="C2034" s="94" t="inlineStr">
        <is>
          <t>2024-Q3</t>
        </is>
      </c>
      <c r="D2034" s="186" t="n">
        <v>65403.5351302253</v>
      </c>
      <c r="E2034" s="188" t="n">
        <v>1290447066028.32</v>
      </c>
      <c r="F2034" s="188" t="n">
        <v>28680123269.7154</v>
      </c>
    </row>
    <row r="2035" ht="15" customHeight="1" s="95">
      <c r="A2035" s="143" t="n">
        <v>45499</v>
      </c>
      <c r="B2035" s="94" t="n">
        <v>2024</v>
      </c>
      <c r="C2035" s="94" t="inlineStr">
        <is>
          <t>2024-Q3</t>
        </is>
      </c>
      <c r="D2035" s="186" t="n">
        <v>65749.9636196533</v>
      </c>
      <c r="E2035" s="188" t="n">
        <v>1297125144853.14</v>
      </c>
      <c r="F2035" s="188" t="n">
        <v>35836896135.5429</v>
      </c>
    </row>
    <row r="2036" ht="15" customHeight="1" s="95">
      <c r="A2036" s="143" t="n">
        <v>45500</v>
      </c>
      <c r="B2036" s="94" t="n">
        <v>2024</v>
      </c>
      <c r="C2036" s="94" t="inlineStr">
        <is>
          <t>2024-Q3</t>
        </is>
      </c>
      <c r="D2036" s="186" t="n">
        <v>67920.29648570251</v>
      </c>
      <c r="E2036" s="188" t="n">
        <v>1339927966898.6</v>
      </c>
      <c r="F2036" s="188" t="n">
        <v>30821370069.2063</v>
      </c>
    </row>
    <row r="2037" ht="15" customHeight="1" s="95">
      <c r="A2037" s="143" t="n">
        <v>45501</v>
      </c>
      <c r="B2037" s="94" t="n">
        <v>2024</v>
      </c>
      <c r="C2037" s="94" t="inlineStr">
        <is>
          <t>2024-Q3</t>
        </is>
      </c>
      <c r="D2037" s="186" t="n">
        <v>68055.40838968741</v>
      </c>
      <c r="E2037" s="188" t="n">
        <v>1342889431798.83</v>
      </c>
      <c r="F2037" s="188" t="n">
        <v>30976752616.7619</v>
      </c>
    </row>
    <row r="2038" ht="15" customHeight="1" s="95">
      <c r="A2038" s="143" t="n">
        <v>45502</v>
      </c>
      <c r="B2038" s="94" t="n">
        <v>2024</v>
      </c>
      <c r="C2038" s="94" t="inlineStr">
        <is>
          <t>2024-Q3</t>
        </is>
      </c>
      <c r="D2038" s="186" t="n">
        <v>68242.2474440493</v>
      </c>
      <c r="E2038" s="188" t="n">
        <v>1346263382369.56</v>
      </c>
      <c r="F2038" s="188" t="n">
        <v>17175244020.3654</v>
      </c>
    </row>
    <row r="2039" ht="15" customHeight="1" s="95">
      <c r="A2039" s="143" t="n">
        <v>45503</v>
      </c>
      <c r="B2039" s="94" t="n">
        <v>2024</v>
      </c>
      <c r="C2039" s="94" t="inlineStr">
        <is>
          <t>2024-Q3</t>
        </is>
      </c>
      <c r="D2039" s="186" t="n">
        <v>66770.3209184827</v>
      </c>
      <c r="E2039" s="188" t="n">
        <v>1317581413497.26</v>
      </c>
      <c r="F2039" s="188" t="n">
        <v>42529043667.4502</v>
      </c>
    </row>
    <row r="2040" ht="15" customHeight="1" s="95">
      <c r="A2040" s="143" t="n">
        <v>45504</v>
      </c>
      <c r="B2040" s="94" t="n">
        <v>2024</v>
      </c>
      <c r="C2040" s="94" t="inlineStr">
        <is>
          <t>2024-Q3</t>
        </is>
      </c>
      <c r="D2040" s="186" t="n">
        <v>66219.05102486099</v>
      </c>
      <c r="E2040" s="188" t="n">
        <v>1306758338817.99</v>
      </c>
      <c r="F2040" s="188" t="n">
        <v>28892376510.6896</v>
      </c>
    </row>
    <row r="2041" ht="15" customHeight="1" s="95">
      <c r="A2041" s="143" t="n">
        <v>45505</v>
      </c>
      <c r="B2041" s="94" t="n">
        <v>2024</v>
      </c>
      <c r="C2041" s="94" t="inlineStr">
        <is>
          <t>2024-Q3</t>
        </is>
      </c>
      <c r="D2041" s="186" t="n">
        <v>64679.7786470325</v>
      </c>
      <c r="E2041" s="188" t="n">
        <v>1275401473742.05</v>
      </c>
      <c r="F2041" s="188" t="n">
        <v>31403681581.1941</v>
      </c>
    </row>
    <row r="2042" ht="15" customHeight="1" s="95">
      <c r="A2042" s="143" t="n">
        <v>45506</v>
      </c>
      <c r="B2042" s="94" t="n">
        <v>2024</v>
      </c>
      <c r="C2042" s="94" t="inlineStr">
        <is>
          <t>2024-Q3</t>
        </is>
      </c>
      <c r="D2042" s="186" t="n">
        <v>65357.5296076744</v>
      </c>
      <c r="E2042" s="188" t="n">
        <v>1289157073527.53</v>
      </c>
      <c r="F2042" s="188" t="n">
        <v>38911302447.6091</v>
      </c>
    </row>
    <row r="2043" ht="15" customHeight="1" s="95">
      <c r="A2043" s="143" t="n">
        <v>45507</v>
      </c>
      <c r="B2043" s="94" t="n">
        <v>2024</v>
      </c>
      <c r="C2043" s="94" t="inlineStr">
        <is>
          <t>2024-Q3</t>
        </is>
      </c>
      <c r="D2043" s="186" t="n">
        <v>61407.2954739745</v>
      </c>
      <c r="E2043" s="188" t="n">
        <v>1211854070245.47</v>
      </c>
      <c r="F2043" s="188" t="n">
        <v>39004321616.3716</v>
      </c>
    </row>
    <row r="2044" ht="15" customHeight="1" s="95">
      <c r="A2044" s="143" t="n">
        <v>45508</v>
      </c>
      <c r="B2044" s="94" t="n">
        <v>2024</v>
      </c>
      <c r="C2044" s="94" t="inlineStr">
        <is>
          <t>2024-Q3</t>
        </is>
      </c>
      <c r="D2044" s="186" t="n">
        <v>60738.7449250574</v>
      </c>
      <c r="E2044" s="188" t="n">
        <v>1197962170718.77</v>
      </c>
      <c r="F2044" s="188" t="n">
        <v>32885545023.7127</v>
      </c>
    </row>
    <row r="2045" ht="15" customHeight="1" s="95">
      <c r="A2045" s="143" t="n">
        <v>45509</v>
      </c>
      <c r="B2045" s="94" t="n">
        <v>2024</v>
      </c>
      <c r="C2045" s="94" t="inlineStr">
        <is>
          <t>2024-Q3</t>
        </is>
      </c>
      <c r="D2045" s="186" t="n">
        <v>58006.2065866867</v>
      </c>
      <c r="E2045" s="188" t="n">
        <v>1147854905921.64</v>
      </c>
      <c r="F2045" s="188" t="n">
        <v>33664501541.4511</v>
      </c>
    </row>
    <row r="2046" ht="15" customHeight="1" s="95">
      <c r="A2046" s="143" t="n">
        <v>45510</v>
      </c>
      <c r="B2046" s="94" t="n">
        <v>2024</v>
      </c>
      <c r="C2046" s="94" t="inlineStr">
        <is>
          <t>2024-Q3</t>
        </is>
      </c>
      <c r="D2046" s="186" t="n">
        <v>53956.2618415974</v>
      </c>
      <c r="E2046" s="188" t="n">
        <v>1064889039013.83</v>
      </c>
      <c r="F2046" s="188" t="n">
        <v>120245972389.372</v>
      </c>
    </row>
    <row r="2047" ht="15" customHeight="1" s="95">
      <c r="A2047" s="143" t="n">
        <v>45511</v>
      </c>
      <c r="B2047" s="94" t="n">
        <v>2024</v>
      </c>
      <c r="C2047" s="94" t="inlineStr">
        <is>
          <t>2024-Q3</t>
        </is>
      </c>
      <c r="D2047" s="186" t="n">
        <v>55959.8410739936</v>
      </c>
      <c r="E2047" s="188" t="n">
        <v>1104019419316.69</v>
      </c>
      <c r="F2047" s="188" t="n">
        <v>52620100833.4709</v>
      </c>
    </row>
    <row r="2048" ht="15" customHeight="1" s="95">
      <c r="A2048" s="143" t="n">
        <v>45512</v>
      </c>
      <c r="B2048" s="94" t="n">
        <v>2024</v>
      </c>
      <c r="C2048" s="94" t="inlineStr">
        <is>
          <t>2024-Q3</t>
        </is>
      </c>
      <c r="D2048" s="186" t="n">
        <v>55099.9518114674</v>
      </c>
      <c r="E2048" s="188" t="n">
        <v>1088566703585.43</v>
      </c>
      <c r="F2048" s="188" t="n">
        <v>41605918903.4117</v>
      </c>
    </row>
    <row r="2049" ht="15" customHeight="1" s="95">
      <c r="A2049" s="143" t="n">
        <v>45513</v>
      </c>
      <c r="B2049" s="94" t="n">
        <v>2024</v>
      </c>
      <c r="C2049" s="94" t="inlineStr">
        <is>
          <t>2024-Q3</t>
        </is>
      </c>
      <c r="D2049" s="186" t="n">
        <v>61859.0315990416</v>
      </c>
      <c r="E2049" s="188" t="n">
        <v>1218342891278.61</v>
      </c>
      <c r="F2049" s="188" t="n">
        <v>49201548320.2907</v>
      </c>
    </row>
    <row r="2050" ht="15" customHeight="1" s="95">
      <c r="A2050" s="143" t="n">
        <v>45514</v>
      </c>
      <c r="B2050" s="94" t="n">
        <v>2024</v>
      </c>
      <c r="C2050" s="94" t="inlineStr">
        <is>
          <t>2024-Q3</t>
        </is>
      </c>
      <c r="D2050" s="186" t="n">
        <v>60912.5885333508</v>
      </c>
      <c r="E2050" s="188" t="n">
        <v>1198300504959.25</v>
      </c>
      <c r="F2050" s="188" t="n">
        <v>33804208928.4794</v>
      </c>
    </row>
    <row r="2051" ht="15" customHeight="1" s="95">
      <c r="A2051" s="143" t="n">
        <v>45515</v>
      </c>
      <c r="B2051" s="94" t="n">
        <v>2024</v>
      </c>
      <c r="C2051" s="94" t="inlineStr">
        <is>
          <t>2024-Q3</t>
        </is>
      </c>
      <c r="D2051" s="186" t="n">
        <v>60887.708616415</v>
      </c>
      <c r="E2051" s="188" t="n">
        <v>1201818989571.28</v>
      </c>
      <c r="F2051" s="188" t="n">
        <v>13418919090.1973</v>
      </c>
    </row>
    <row r="2052" ht="15" customHeight="1" s="95">
      <c r="A2052" s="143" t="n">
        <v>45516</v>
      </c>
      <c r="B2052" s="94" t="n">
        <v>2024</v>
      </c>
      <c r="C2052" s="94" t="inlineStr">
        <is>
          <t>2024-Q3</t>
        </is>
      </c>
      <c r="D2052" s="186" t="n">
        <v>58804.2344999261</v>
      </c>
      <c r="E2052" s="188" t="n">
        <v>1159146815397.62</v>
      </c>
      <c r="F2052" s="188" t="n">
        <v>21715994493.4569</v>
      </c>
    </row>
    <row r="2053" ht="15" customHeight="1" s="95">
      <c r="A2053" s="143" t="n">
        <v>45517</v>
      </c>
      <c r="B2053" s="94" t="n">
        <v>2024</v>
      </c>
      <c r="C2053" s="94" t="inlineStr">
        <is>
          <t>2024-Q3</t>
        </is>
      </c>
      <c r="D2053" s="186" t="n">
        <v>59350.074332707</v>
      </c>
      <c r="E2053" s="188" t="n">
        <v>1171441797233.89</v>
      </c>
      <c r="F2053" s="188" t="n">
        <v>39403296385.8434</v>
      </c>
    </row>
    <row r="2054" ht="15" customHeight="1" s="95">
      <c r="A2054" s="143" t="n">
        <v>45518</v>
      </c>
      <c r="B2054" s="94" t="n">
        <v>2024</v>
      </c>
      <c r="C2054" s="94" t="inlineStr">
        <is>
          <t>2024-Q3</t>
        </is>
      </c>
      <c r="D2054" s="186" t="n">
        <v>60601.2231778973</v>
      </c>
      <c r="E2054" s="188" t="n">
        <v>1195798013190.85</v>
      </c>
      <c r="F2054" s="188" t="n">
        <v>31955576195.2463</v>
      </c>
    </row>
    <row r="2055" ht="15" customHeight="1" s="95">
      <c r="A2055" s="143" t="n">
        <v>45519</v>
      </c>
      <c r="B2055" s="94" t="n">
        <v>2024</v>
      </c>
      <c r="C2055" s="94" t="inlineStr">
        <is>
          <t>2024-Q3</t>
        </is>
      </c>
      <c r="D2055" s="186" t="n">
        <v>58739.1938223102</v>
      </c>
      <c r="E2055" s="188" t="n">
        <v>1159479277227.75</v>
      </c>
      <c r="F2055" s="188" t="n">
        <v>28079911397.673</v>
      </c>
    </row>
    <row r="2056" ht="15" customHeight="1" s="95">
      <c r="A2056" s="143" t="n">
        <v>45520</v>
      </c>
      <c r="B2056" s="94" t="n">
        <v>2024</v>
      </c>
      <c r="C2056" s="94" t="inlineStr">
        <is>
          <t>2024-Q3</t>
        </is>
      </c>
      <c r="D2056" s="186" t="n">
        <v>57624.1169285219</v>
      </c>
      <c r="E2056" s="188" t="n">
        <v>1137141836825.87</v>
      </c>
      <c r="F2056" s="188" t="n">
        <v>33490251842.3816</v>
      </c>
    </row>
    <row r="2057" ht="15" customHeight="1" s="95">
      <c r="A2057" s="143" t="n">
        <v>45521</v>
      </c>
      <c r="B2057" s="94" t="n">
        <v>2024</v>
      </c>
      <c r="C2057" s="94" t="inlineStr">
        <is>
          <t>2024-Q3</t>
        </is>
      </c>
      <c r="D2057" s="186" t="n">
        <v>58881.9257915122</v>
      </c>
      <c r="E2057" s="188" t="n">
        <v>1162716063850.11</v>
      </c>
      <c r="F2057" s="188" t="n">
        <v>30368238897.2072</v>
      </c>
    </row>
    <row r="2058" ht="15" customHeight="1" s="95">
      <c r="A2058" s="143" t="n">
        <v>45522</v>
      </c>
      <c r="B2058" s="94" t="n">
        <v>2024</v>
      </c>
      <c r="C2058" s="94" t="inlineStr">
        <is>
          <t>2024-Q3</t>
        </is>
      </c>
      <c r="D2058" s="186" t="n">
        <v>59430.7916344587</v>
      </c>
      <c r="E2058" s="188" t="n">
        <v>1173270497431.17</v>
      </c>
      <c r="F2058" s="188" t="n">
        <v>12467437134.0558</v>
      </c>
    </row>
    <row r="2059" ht="15" customHeight="1" s="95">
      <c r="A2059" s="143" t="n">
        <v>45523</v>
      </c>
      <c r="B2059" s="94" t="n">
        <v>2024</v>
      </c>
      <c r="C2059" s="94" t="inlineStr">
        <is>
          <t>2024-Q3</t>
        </is>
      </c>
      <c r="D2059" s="186" t="n">
        <v>58438.2937426854</v>
      </c>
      <c r="E2059" s="188" t="n">
        <v>1156217205294.16</v>
      </c>
      <c r="F2059" s="188" t="n">
        <v>17656027563.725</v>
      </c>
    </row>
    <row r="2060" ht="15" customHeight="1" s="95">
      <c r="A2060" s="143" t="n">
        <v>45524</v>
      </c>
      <c r="B2060" s="94" t="n">
        <v>2024</v>
      </c>
      <c r="C2060" s="94" t="inlineStr">
        <is>
          <t>2024-Q3</t>
        </is>
      </c>
      <c r="D2060" s="186" t="n">
        <v>59574.9458129409</v>
      </c>
      <c r="E2060" s="188" t="n">
        <v>1176063402361.82</v>
      </c>
      <c r="F2060" s="188" t="n">
        <v>24031330179.259</v>
      </c>
    </row>
    <row r="2061" ht="15" customHeight="1" s="95">
      <c r="A2061" s="143" t="n">
        <v>45525</v>
      </c>
      <c r="B2061" s="94" t="n">
        <v>2024</v>
      </c>
      <c r="C2061" s="94" t="inlineStr">
        <is>
          <t>2024-Q3</t>
        </is>
      </c>
      <c r="D2061" s="186" t="n">
        <v>59060.1261007414</v>
      </c>
      <c r="E2061" s="188" t="n">
        <v>1166088863323.09</v>
      </c>
      <c r="F2061" s="188" t="n">
        <v>31470716090.6191</v>
      </c>
    </row>
    <row r="2062" ht="15" customHeight="1" s="95">
      <c r="A2062" s="143" t="n">
        <v>45526</v>
      </c>
      <c r="B2062" s="94" t="n">
        <v>2024</v>
      </c>
      <c r="C2062" s="94" t="inlineStr">
        <is>
          <t>2024-Q3</t>
        </is>
      </c>
      <c r="D2062" s="186" t="n">
        <v>61144.6876286661</v>
      </c>
      <c r="E2062" s="188" t="n">
        <v>1207099049402.51</v>
      </c>
      <c r="F2062" s="188" t="n">
        <v>32960965010.6081</v>
      </c>
    </row>
    <row r="2063" ht="15" customHeight="1" s="95">
      <c r="A2063" s="143" t="n">
        <v>45527</v>
      </c>
      <c r="B2063" s="94" t="n">
        <v>2024</v>
      </c>
      <c r="C2063" s="94" t="inlineStr">
        <is>
          <t>2024-Q3</t>
        </is>
      </c>
      <c r="D2063" s="186" t="n">
        <v>60387.5406232136</v>
      </c>
      <c r="E2063" s="188" t="n">
        <v>1192308382713.84</v>
      </c>
      <c r="F2063" s="188" t="n">
        <v>28170302505.8474</v>
      </c>
    </row>
    <row r="2064" ht="15" customHeight="1" s="95">
      <c r="A2064" s="143" t="n">
        <v>45528</v>
      </c>
      <c r="B2064" s="94" t="n">
        <v>2024</v>
      </c>
      <c r="C2064" s="94" t="inlineStr">
        <is>
          <t>2024-Q3</t>
        </is>
      </c>
      <c r="D2064" s="186" t="n">
        <v>64049.6856155558</v>
      </c>
      <c r="E2064" s="188" t="n">
        <v>1261916434075.02</v>
      </c>
      <c r="F2064" s="188" t="n">
        <v>45038665759.4213</v>
      </c>
    </row>
    <row r="2065" ht="15" customHeight="1" s="95">
      <c r="A2065" s="143" t="n">
        <v>45529</v>
      </c>
      <c r="B2065" s="94" t="n">
        <v>2024</v>
      </c>
      <c r="C2065" s="94" t="inlineStr">
        <is>
          <t>2024-Q3</t>
        </is>
      </c>
      <c r="D2065" s="186" t="n">
        <v>64157.1606134782</v>
      </c>
      <c r="E2065" s="188" t="n">
        <v>1264961887998.98</v>
      </c>
      <c r="F2065" s="188" t="n">
        <v>22029153446.3544</v>
      </c>
    </row>
    <row r="2066" ht="15" customHeight="1" s="95">
      <c r="A2066" s="143" t="n">
        <v>45530</v>
      </c>
      <c r="B2066" s="94" t="n">
        <v>2024</v>
      </c>
      <c r="C2066" s="94" t="inlineStr">
        <is>
          <t>2024-Q3</t>
        </is>
      </c>
      <c r="D2066" s="186" t="n">
        <v>64265.8163127286</v>
      </c>
      <c r="E2066" s="188" t="n">
        <v>1269291077270.11</v>
      </c>
      <c r="F2066" s="188" t="n">
        <v>17875230147.0443</v>
      </c>
    </row>
    <row r="2067" ht="15" customHeight="1" s="95">
      <c r="A2067" s="143" t="n">
        <v>45531</v>
      </c>
      <c r="B2067" s="94" t="n">
        <v>2024</v>
      </c>
      <c r="C2067" s="94" t="inlineStr">
        <is>
          <t>2024-Q3</t>
        </is>
      </c>
      <c r="D2067" s="186" t="n">
        <v>62922.5863467627</v>
      </c>
      <c r="E2067" s="188" t="n">
        <v>1242487823611.26</v>
      </c>
      <c r="F2067" s="188" t="n">
        <v>17894692681.0918</v>
      </c>
    </row>
    <row r="2068" ht="15" customHeight="1" s="95">
      <c r="A2068" s="143" t="n">
        <v>45532</v>
      </c>
      <c r="B2068" s="94" t="n">
        <v>2024</v>
      </c>
      <c r="C2068" s="94" t="inlineStr">
        <is>
          <t>2024-Q3</t>
        </is>
      </c>
      <c r="D2068" s="186" t="n">
        <v>59526.560879591</v>
      </c>
      <c r="E2068" s="188" t="n">
        <v>1176762244308.07</v>
      </c>
      <c r="F2068" s="188" t="n">
        <v>38131727427.9179</v>
      </c>
    </row>
    <row r="2069" ht="15" customHeight="1" s="95">
      <c r="A2069" s="143" t="n">
        <v>45533</v>
      </c>
      <c r="B2069" s="94" t="n">
        <v>2024</v>
      </c>
      <c r="C2069" s="94" t="inlineStr">
        <is>
          <t>2024-Q3</t>
        </is>
      </c>
      <c r="D2069" s="186" t="n">
        <v>59015.2963388794</v>
      </c>
      <c r="E2069" s="188" t="n">
        <v>1166032395735.95</v>
      </c>
      <c r="F2069" s="188" t="n">
        <v>42018989572.4279</v>
      </c>
    </row>
    <row r="2070" ht="15" customHeight="1" s="95">
      <c r="A2070" s="143" t="n">
        <v>45534</v>
      </c>
      <c r="B2070" s="94" t="n">
        <v>2024</v>
      </c>
      <c r="C2070" s="94" t="inlineStr">
        <is>
          <t>2024-Q3</t>
        </is>
      </c>
      <c r="D2070" s="186" t="n">
        <v>59351.5794909728</v>
      </c>
      <c r="E2070" s="188" t="n">
        <v>1171762256043.92</v>
      </c>
      <c r="F2070" s="188" t="n">
        <v>32563333956.9861</v>
      </c>
    </row>
    <row r="2071" ht="15" customHeight="1" s="95">
      <c r="A2071" s="143" t="n">
        <v>45535</v>
      </c>
      <c r="B2071" s="94" t="n">
        <v>2024</v>
      </c>
      <c r="C2071" s="94" t="inlineStr">
        <is>
          <t>2024-Q3</t>
        </is>
      </c>
      <c r="D2071" s="186" t="n">
        <v>59156.2460364636</v>
      </c>
      <c r="E2071" s="188" t="n">
        <v>1168247205700.97</v>
      </c>
      <c r="F2071" s="188" t="n">
        <v>44038496614.9476</v>
      </c>
    </row>
    <row r="2072" ht="15" customHeight="1" s="95">
      <c r="A2072" s="143" t="n">
        <v>45536</v>
      </c>
      <c r="B2072" s="94" t="n">
        <v>2024</v>
      </c>
      <c r="C2072" s="94" t="inlineStr">
        <is>
          <t>2024-Q3</t>
        </is>
      </c>
      <c r="D2072" s="186" t="n">
        <v>58960.2365866459</v>
      </c>
      <c r="E2072" s="188" t="n">
        <v>1164278309271.26</v>
      </c>
      <c r="F2072" s="188" t="n">
        <v>11399086336.3033</v>
      </c>
    </row>
    <row r="2073" ht="15" customHeight="1" s="95">
      <c r="A2073" s="143" t="n">
        <v>45537</v>
      </c>
      <c r="B2073" s="94" t="n">
        <v>2024</v>
      </c>
      <c r="C2073" s="94" t="inlineStr">
        <is>
          <t>2024-Q3</t>
        </is>
      </c>
      <c r="D2073" s="186" t="n">
        <v>57357.7161728225</v>
      </c>
      <c r="E2073" s="188" t="n">
        <v>1133133027660.62</v>
      </c>
      <c r="F2073" s="188" t="n">
        <v>25465621877.9705</v>
      </c>
    </row>
    <row r="2074" ht="15" customHeight="1" s="95">
      <c r="A2074" s="143" t="n">
        <v>45538</v>
      </c>
      <c r="B2074" s="94" t="n">
        <v>2024</v>
      </c>
      <c r="C2074" s="94" t="inlineStr">
        <is>
          <t>2024-Q3</t>
        </is>
      </c>
      <c r="D2074" s="186" t="n">
        <v>59108.7323586369</v>
      </c>
      <c r="E2074" s="188" t="n">
        <v>1168410293915.98</v>
      </c>
      <c r="F2074" s="188" t="n">
        <v>28012782290.9663</v>
      </c>
    </row>
    <row r="2075" ht="15" customHeight="1" s="95">
      <c r="A2075" s="143" t="n">
        <v>45539</v>
      </c>
      <c r="B2075" s="94" t="n">
        <v>2024</v>
      </c>
      <c r="C2075" s="94" t="inlineStr">
        <is>
          <t>2024-Q3</t>
        </is>
      </c>
      <c r="D2075" s="186" t="n">
        <v>57504.5385862204</v>
      </c>
      <c r="E2075" s="188" t="n">
        <v>1137361604370.58</v>
      </c>
      <c r="F2075" s="188" t="n">
        <v>26829983370.3586</v>
      </c>
    </row>
    <row r="2076" ht="15" customHeight="1" s="95">
      <c r="A2076" s="143" t="n">
        <v>45540</v>
      </c>
      <c r="B2076" s="94" t="n">
        <v>2024</v>
      </c>
      <c r="C2076" s="94" t="inlineStr">
        <is>
          <t>2024-Q3</t>
        </is>
      </c>
      <c r="D2076" s="186" t="n">
        <v>57987.8460141007</v>
      </c>
      <c r="E2076" s="188" t="n">
        <v>1144983177152.22</v>
      </c>
      <c r="F2076" s="188" t="n">
        <v>37550380696.7459</v>
      </c>
    </row>
    <row r="2077" ht="15" customHeight="1" s="95">
      <c r="A2077" s="143" t="n">
        <v>45541</v>
      </c>
      <c r="B2077" s="94" t="n">
        <v>2024</v>
      </c>
      <c r="C2077" s="94" t="inlineStr">
        <is>
          <t>2024-Q3</t>
        </is>
      </c>
      <c r="D2077" s="186" t="n">
        <v>56132.4047320886</v>
      </c>
      <c r="E2077" s="188" t="n">
        <v>1109212553022.42</v>
      </c>
      <c r="F2077" s="188" t="n">
        <v>30005773445.6937</v>
      </c>
    </row>
    <row r="2078" ht="15" customHeight="1" s="95">
      <c r="A2078" s="143" t="n">
        <v>45542</v>
      </c>
      <c r="B2078" s="94" t="n">
        <v>2024</v>
      </c>
      <c r="C2078" s="94" t="inlineStr">
        <is>
          <t>2024-Q3</t>
        </is>
      </c>
      <c r="D2078" s="186" t="n">
        <v>53923.3561107191</v>
      </c>
      <c r="E2078" s="188" t="n">
        <v>1065462041080.52</v>
      </c>
      <c r="F2078" s="188" t="n">
        <v>50260816556.8167</v>
      </c>
    </row>
    <row r="2079" ht="15" customHeight="1" s="95">
      <c r="A2079" s="143" t="n">
        <v>45543</v>
      </c>
      <c r="B2079" s="94" t="n">
        <v>2024</v>
      </c>
      <c r="C2079" s="94" t="inlineStr">
        <is>
          <t>2024-Q3</t>
        </is>
      </c>
      <c r="D2079" s="186" t="n">
        <v>54150.9383589072</v>
      </c>
      <c r="E2079" s="188" t="n">
        <v>1068954727890.2</v>
      </c>
      <c r="F2079" s="188" t="n">
        <v>17048448412.0071</v>
      </c>
    </row>
    <row r="2080" ht="15" customHeight="1" s="95">
      <c r="A2080" s="143" t="n">
        <v>45544</v>
      </c>
      <c r="B2080" s="94" t="n">
        <v>2024</v>
      </c>
      <c r="C2080" s="94" t="inlineStr">
        <is>
          <t>2024-Q3</t>
        </is>
      </c>
      <c r="D2080" s="186" t="n">
        <v>54792.4075576858</v>
      </c>
      <c r="E2080" s="188" t="n">
        <v>1085390277573.52</v>
      </c>
      <c r="F2080" s="188" t="n">
        <v>18644823662.2343</v>
      </c>
    </row>
    <row r="2081" ht="15" customHeight="1" s="95">
      <c r="A2081" s="143" t="n">
        <v>45545</v>
      </c>
      <c r="B2081" s="94" t="n">
        <v>2024</v>
      </c>
      <c r="C2081" s="94" t="inlineStr">
        <is>
          <t>2024-Q3</t>
        </is>
      </c>
      <c r="D2081" s="186" t="n">
        <v>57049.1187511433</v>
      </c>
      <c r="E2081" s="188" t="n">
        <v>1126840069631.81</v>
      </c>
      <c r="F2081" s="188" t="n">
        <v>35655419448.0705</v>
      </c>
    </row>
    <row r="2082" ht="15" customHeight="1" s="95">
      <c r="A2082" s="143" t="n">
        <v>45546</v>
      </c>
      <c r="B2082" s="94" t="n">
        <v>2024</v>
      </c>
      <c r="C2082" s="94" t="inlineStr">
        <is>
          <t>2024-Q3</t>
        </is>
      </c>
      <c r="D2082" s="186" t="n">
        <v>57624.1617833614</v>
      </c>
      <c r="E2082" s="188" t="n">
        <v>1137928777838.53</v>
      </c>
      <c r="F2082" s="188" t="n">
        <v>29676093302.307</v>
      </c>
    </row>
    <row r="2083" ht="15" customHeight="1" s="95">
      <c r="A2083" s="143" t="n">
        <v>45547</v>
      </c>
      <c r="B2083" s="94" t="n">
        <v>2024</v>
      </c>
      <c r="C2083" s="94" t="inlineStr">
        <is>
          <t>2024-Q3</t>
        </is>
      </c>
      <c r="D2083" s="186" t="n">
        <v>57381.7644450005</v>
      </c>
      <c r="E2083" s="188" t="n">
        <v>1134292554478.85</v>
      </c>
      <c r="F2083" s="188" t="n">
        <v>37765652735.2964</v>
      </c>
    </row>
    <row r="2084" ht="15" customHeight="1" s="95">
      <c r="A2084" s="143" t="n">
        <v>45548</v>
      </c>
      <c r="B2084" s="94" t="n">
        <v>2024</v>
      </c>
      <c r="C2084" s="94" t="inlineStr">
        <is>
          <t>2024-Q3</t>
        </is>
      </c>
      <c r="D2084" s="186" t="n">
        <v>58106.9512298153</v>
      </c>
      <c r="E2084" s="188" t="n">
        <v>1148469900814.25</v>
      </c>
      <c r="F2084" s="188" t="n">
        <v>34177859933.0234</v>
      </c>
    </row>
    <row r="2085" ht="15" customHeight="1" s="95">
      <c r="A2085" s="143" t="n">
        <v>45549</v>
      </c>
      <c r="B2085" s="94" t="n">
        <v>2024</v>
      </c>
      <c r="C2085" s="94" t="inlineStr">
        <is>
          <t>2024-Q3</t>
        </is>
      </c>
      <c r="D2085" s="186" t="n">
        <v>60620.6274729575</v>
      </c>
      <c r="E2085" s="188" t="n">
        <v>1197832322916.01</v>
      </c>
      <c r="F2085" s="188" t="n">
        <v>31919740723.7603</v>
      </c>
    </row>
    <row r="2086" ht="15" customHeight="1" s="95">
      <c r="A2086" s="143" t="n">
        <v>45550</v>
      </c>
      <c r="B2086" s="94" t="n">
        <v>2024</v>
      </c>
      <c r="C2086" s="94" t="inlineStr">
        <is>
          <t>2024-Q3</t>
        </is>
      </c>
      <c r="D2086" s="186" t="n">
        <v>60003.2994008304</v>
      </c>
      <c r="E2086" s="188" t="n">
        <v>1185255944124.85</v>
      </c>
      <c r="F2086" s="188" t="n">
        <v>15800120841.1668</v>
      </c>
    </row>
    <row r="2087" ht="15" customHeight="1" s="95">
      <c r="A2087" s="143" t="n">
        <v>45551</v>
      </c>
      <c r="B2087" s="94" t="n">
        <v>2024</v>
      </c>
      <c r="C2087" s="94" t="inlineStr">
        <is>
          <t>2024-Q3</t>
        </is>
      </c>
      <c r="D2087" s="186" t="n">
        <v>59214.8022680181</v>
      </c>
      <c r="E2087" s="188" t="n">
        <v>1169677517083.06</v>
      </c>
      <c r="F2087" s="188" t="n">
        <v>17289597542.8668</v>
      </c>
    </row>
    <row r="2088" ht="15" customHeight="1" s="95">
      <c r="A2088" s="143" t="n">
        <v>45552</v>
      </c>
      <c r="B2088" s="94" t="n">
        <v>2024</v>
      </c>
      <c r="C2088" s="94" t="inlineStr">
        <is>
          <t>2024-Q3</t>
        </is>
      </c>
      <c r="D2088" s="186" t="n">
        <v>58211.1232312863</v>
      </c>
      <c r="E2088" s="188" t="n">
        <v>1150499194409.93</v>
      </c>
      <c r="F2088" s="188" t="n">
        <v>32196570894.4021</v>
      </c>
    </row>
    <row r="2089" ht="15" customHeight="1" s="95">
      <c r="A2089" s="143" t="n">
        <v>45553</v>
      </c>
      <c r="B2089" s="94" t="n">
        <v>2024</v>
      </c>
      <c r="C2089" s="94" t="inlineStr">
        <is>
          <t>2024-Q3</t>
        </is>
      </c>
      <c r="D2089" s="186" t="n">
        <v>60317.0319794625</v>
      </c>
      <c r="E2089" s="188" t="n">
        <v>1191818552363.61</v>
      </c>
      <c r="F2089" s="188" t="n">
        <v>34191170117.7826</v>
      </c>
    </row>
    <row r="2090" ht="15" customHeight="1" s="95">
      <c r="A2090" s="143" t="n">
        <v>45554</v>
      </c>
      <c r="B2090" s="94" t="n">
        <v>2024</v>
      </c>
      <c r="C2090" s="94" t="inlineStr">
        <is>
          <t>2024-Q3</t>
        </is>
      </c>
      <c r="D2090" s="186" t="n">
        <v>61440.4120849451</v>
      </c>
      <c r="E2090" s="188" t="n">
        <v>1211837853548.93</v>
      </c>
      <c r="F2090" s="188" t="n">
        <v>40445339415.1129</v>
      </c>
    </row>
    <row r="2091" ht="15" customHeight="1" s="95">
      <c r="A2091" s="143" t="n">
        <v>45555</v>
      </c>
      <c r="B2091" s="94" t="n">
        <v>2024</v>
      </c>
      <c r="C2091" s="94" t="inlineStr">
        <is>
          <t>2024-Q3</t>
        </is>
      </c>
      <c r="D2091" s="186" t="n">
        <v>62966.5293191051</v>
      </c>
      <c r="E2091" s="188" t="n">
        <v>1243871590271.49</v>
      </c>
      <c r="F2091" s="188" t="n">
        <v>41959080716.2877</v>
      </c>
    </row>
    <row r="2092" ht="15" customHeight="1" s="95">
      <c r="A2092" s="143" t="n">
        <v>45556</v>
      </c>
      <c r="B2092" s="94" t="n">
        <v>2024</v>
      </c>
      <c r="C2092" s="94" t="inlineStr">
        <is>
          <t>2024-Q3</t>
        </is>
      </c>
      <c r="D2092" s="186" t="n">
        <v>63128.2245407483</v>
      </c>
      <c r="E2092" s="188" t="n">
        <v>1246475981189.14</v>
      </c>
      <c r="F2092" s="188" t="n">
        <v>35587830476.5334</v>
      </c>
    </row>
    <row r="2093" ht="15" customHeight="1" s="95">
      <c r="A2093" s="143" t="n">
        <v>45557</v>
      </c>
      <c r="B2093" s="94" t="n">
        <v>2024</v>
      </c>
      <c r="C2093" s="94" t="inlineStr">
        <is>
          <t>2024-Q3</t>
        </is>
      </c>
      <c r="D2093" s="186" t="n">
        <v>63403.4023492594</v>
      </c>
      <c r="E2093" s="188" t="n">
        <v>1254104417392.48</v>
      </c>
      <c r="F2093" s="188" t="n">
        <v>12938083115.6593</v>
      </c>
    </row>
    <row r="2094" ht="15" customHeight="1" s="95">
      <c r="A2094" s="143" t="n">
        <v>45558</v>
      </c>
      <c r="B2094" s="94" t="n">
        <v>2024</v>
      </c>
      <c r="C2094" s="94" t="inlineStr">
        <is>
          <t>2024-Q3</t>
        </is>
      </c>
      <c r="D2094" s="186" t="n">
        <v>63582.5995692483</v>
      </c>
      <c r="E2094" s="188" t="n">
        <v>1255899286380.2</v>
      </c>
      <c r="F2094" s="188" t="n">
        <v>20349365412.8167</v>
      </c>
    </row>
    <row r="2095" ht="15" customHeight="1" s="95">
      <c r="A2095" s="143" t="n">
        <v>45559</v>
      </c>
      <c r="B2095" s="94" t="n">
        <v>2024</v>
      </c>
      <c r="C2095" s="94" t="inlineStr">
        <is>
          <t>2024-Q3</t>
        </is>
      </c>
      <c r="D2095" s="186" t="n">
        <v>63327.026544502</v>
      </c>
      <c r="E2095" s="188" t="n">
        <v>1251095079247.04</v>
      </c>
      <c r="F2095" s="188" t="n">
        <v>23998847798.7577</v>
      </c>
    </row>
    <row r="2096" ht="15" customHeight="1" s="95">
      <c r="A2096" s="143" t="n">
        <v>45560</v>
      </c>
      <c r="B2096" s="94" t="n">
        <v>2024</v>
      </c>
      <c r="C2096" s="94" t="inlineStr">
        <is>
          <t>2024-Q3</t>
        </is>
      </c>
      <c r="D2096" s="186" t="n">
        <v>64334.142748761</v>
      </c>
      <c r="E2096" s="188" t="n">
        <v>1271183646356.57</v>
      </c>
      <c r="F2096" s="188" t="n">
        <v>31490984593.7059</v>
      </c>
    </row>
    <row r="2097" ht="15" customHeight="1" s="95">
      <c r="A2097" s="143" t="n">
        <v>45561</v>
      </c>
      <c r="B2097" s="94" t="n">
        <v>2024</v>
      </c>
      <c r="C2097" s="94" t="inlineStr">
        <is>
          <t>2024-Q3</t>
        </is>
      </c>
      <c r="D2097" s="186" t="n">
        <v>63151.8995940134</v>
      </c>
      <c r="E2097" s="188" t="n">
        <v>1245721254991.3</v>
      </c>
      <c r="F2097" s="188" t="n">
        <v>26087643765.7482</v>
      </c>
    </row>
    <row r="2098" ht="15" customHeight="1" s="95">
      <c r="A2098" s="143" t="n">
        <v>45562</v>
      </c>
      <c r="B2098" s="94" t="n">
        <v>2024</v>
      </c>
      <c r="C2098" s="94" t="inlineStr">
        <is>
          <t>2024-Q3</t>
        </is>
      </c>
      <c r="D2098" s="186" t="n">
        <v>65130.7688402323</v>
      </c>
      <c r="E2098" s="188" t="n">
        <v>1287151352432.85</v>
      </c>
      <c r="F2098" s="188" t="n">
        <v>37995568903.9446</v>
      </c>
    </row>
    <row r="2099" ht="15" customHeight="1" s="95">
      <c r="A2099" s="143" t="n">
        <v>45563</v>
      </c>
      <c r="B2099" s="94" t="n">
        <v>2024</v>
      </c>
      <c r="C2099" s="94" t="inlineStr">
        <is>
          <t>2024-Q3</t>
        </is>
      </c>
      <c r="D2099" s="186" t="n">
        <v>65791.00212541741</v>
      </c>
      <c r="E2099" s="188" t="n">
        <v>1299708226182.07</v>
      </c>
      <c r="F2099" s="188" t="n">
        <v>32664917503.9311</v>
      </c>
    </row>
    <row r="2100" ht="15" customHeight="1" s="95">
      <c r="A2100" s="143" t="n">
        <v>45564</v>
      </c>
      <c r="B2100" s="94" t="n">
        <v>2024</v>
      </c>
      <c r="C2100" s="94" t="inlineStr">
        <is>
          <t>2024-Q3</t>
        </is>
      </c>
      <c r="D2100" s="186" t="n">
        <v>65934.1070944136</v>
      </c>
      <c r="E2100" s="188" t="n">
        <v>1303217687717.85</v>
      </c>
      <c r="F2100" s="188" t="n">
        <v>15342911002.8478</v>
      </c>
    </row>
    <row r="2101" ht="15" customHeight="1" s="95">
      <c r="A2101" s="143" t="n">
        <v>45565</v>
      </c>
      <c r="B2101" s="94" t="n">
        <v>2024</v>
      </c>
      <c r="C2101" s="94" t="inlineStr">
        <is>
          <t>2024-Q3</t>
        </is>
      </c>
      <c r="D2101" s="186" t="n">
        <v>65663.6898666234</v>
      </c>
      <c r="E2101" s="188" t="n">
        <v>1297825615076.34</v>
      </c>
      <c r="F2101" s="188" t="n">
        <v>12948707838.9384</v>
      </c>
    </row>
    <row r="2102" ht="15" customHeight="1" s="95">
      <c r="A2102" s="143" t="n">
        <v>45566</v>
      </c>
      <c r="B2102" s="94" t="n">
        <v>2024</v>
      </c>
      <c r="C2102" s="94" t="inlineStr">
        <is>
          <t>2024-Q4</t>
        </is>
      </c>
      <c r="D2102" s="186" t="n">
        <v>63243.2753246438</v>
      </c>
      <c r="E2102" s="188" t="n">
        <v>1249577803402.17</v>
      </c>
      <c r="F2102" s="188" t="n">
        <v>35124446789.2711</v>
      </c>
    </row>
    <row r="2103" ht="15" customHeight="1" s="95">
      <c r="A2103" s="143" t="n">
        <v>45567</v>
      </c>
      <c r="B2103" s="94" t="n">
        <v>2024</v>
      </c>
      <c r="C2103" s="94" t="inlineStr">
        <is>
          <t>2024-Q4</t>
        </is>
      </c>
      <c r="D2103" s="186" t="n">
        <v>60872.6685437255</v>
      </c>
      <c r="E2103" s="188" t="n">
        <v>1202927109017.55</v>
      </c>
      <c r="F2103" s="188" t="n">
        <v>54251488433.9503</v>
      </c>
    </row>
    <row r="2104" ht="15" customHeight="1" s="95">
      <c r="A2104" s="143" t="n">
        <v>45568</v>
      </c>
      <c r="B2104" s="94" t="n">
        <v>2024</v>
      </c>
      <c r="C2104" s="94" t="inlineStr">
        <is>
          <t>2024-Q4</t>
        </is>
      </c>
      <c r="D2104" s="186" t="n">
        <v>60655.5597919685</v>
      </c>
      <c r="E2104" s="188" t="n">
        <v>1198652098493.49</v>
      </c>
      <c r="F2104" s="188" t="n">
        <v>41870731291.8674</v>
      </c>
    </row>
    <row r="2105" ht="15" customHeight="1" s="95">
      <c r="A2105" s="143" t="n">
        <v>45569</v>
      </c>
      <c r="B2105" s="94" t="n">
        <v>2024</v>
      </c>
      <c r="C2105" s="94" t="inlineStr">
        <is>
          <t>2024-Q4</t>
        </is>
      </c>
      <c r="D2105" s="186" t="n">
        <v>60727.863951693</v>
      </c>
      <c r="E2105" s="188" t="n">
        <v>1200491237695.52</v>
      </c>
      <c r="F2105" s="188" t="n">
        <v>37711138441.7623</v>
      </c>
    </row>
    <row r="2106" ht="15" customHeight="1" s="95">
      <c r="A2106" s="143" t="n">
        <v>45570</v>
      </c>
      <c r="B2106" s="94" t="n">
        <v>2024</v>
      </c>
      <c r="C2106" s="94" t="inlineStr">
        <is>
          <t>2024-Q4</t>
        </is>
      </c>
      <c r="D2106" s="186" t="n">
        <v>62103.0104728325</v>
      </c>
      <c r="E2106" s="188" t="n">
        <v>1226663492771.04</v>
      </c>
      <c r="F2106" s="188" t="n">
        <v>30349059838.6846</v>
      </c>
    </row>
    <row r="2107" ht="15" customHeight="1" s="95">
      <c r="A2107" s="143" t="n">
        <v>45571</v>
      </c>
      <c r="B2107" s="94" t="n">
        <v>2024</v>
      </c>
      <c r="C2107" s="94" t="inlineStr">
        <is>
          <t>2024-Q4</t>
        </is>
      </c>
      <c r="D2107" s="186" t="n">
        <v>62091.932585194</v>
      </c>
      <c r="E2107" s="188" t="n">
        <v>1226761949791.16</v>
      </c>
      <c r="F2107" s="188" t="n">
        <v>11095453162.9907</v>
      </c>
    </row>
    <row r="2108" ht="15" customHeight="1" s="95">
      <c r="A2108" s="143" t="n">
        <v>45572</v>
      </c>
      <c r="B2108" s="94" t="n">
        <v>2024</v>
      </c>
      <c r="C2108" s="94" t="inlineStr">
        <is>
          <t>2024-Q4</t>
        </is>
      </c>
      <c r="D2108" s="186" t="n">
        <v>62811.7997281127</v>
      </c>
      <c r="E2108" s="188" t="n">
        <v>1241834324867.66</v>
      </c>
      <c r="F2108" s="188" t="n">
        <v>14592422860.6854</v>
      </c>
    </row>
    <row r="2109" ht="15" customHeight="1" s="95">
      <c r="A2109" s="143" t="n">
        <v>45573</v>
      </c>
      <c r="B2109" s="94" t="n">
        <v>2024</v>
      </c>
      <c r="C2109" s="94" t="inlineStr">
        <is>
          <t>2024-Q4</t>
        </is>
      </c>
      <c r="D2109" s="186" t="n">
        <v>62287.3901051068</v>
      </c>
      <c r="E2109" s="188" t="n">
        <v>1231091696620.1</v>
      </c>
      <c r="F2109" s="188" t="n">
        <v>33878876147.3025</v>
      </c>
    </row>
    <row r="2110" ht="15" customHeight="1" s="95">
      <c r="A2110" s="143" t="n">
        <v>45574</v>
      </c>
      <c r="B2110" s="94" t="n">
        <v>2024</v>
      </c>
      <c r="C2110" s="94" t="inlineStr">
        <is>
          <t>2024-Q4</t>
        </is>
      </c>
      <c r="D2110" s="186" t="n">
        <v>62185.2304237276</v>
      </c>
      <c r="E2110" s="188" t="n">
        <v>1229717180592.44</v>
      </c>
      <c r="F2110" s="188" t="n">
        <v>28626429276.5538</v>
      </c>
    </row>
    <row r="2111" ht="15" customHeight="1" s="95">
      <c r="A2111" s="143" t="n">
        <v>45575</v>
      </c>
      <c r="B2111" s="94" t="n">
        <v>2024</v>
      </c>
      <c r="C2111" s="94" t="inlineStr">
        <is>
          <t>2024-Q4</t>
        </is>
      </c>
      <c r="D2111" s="186" t="n">
        <v>60597.1504561828</v>
      </c>
      <c r="E2111" s="188" t="n">
        <v>1197736450280.41</v>
      </c>
      <c r="F2111" s="188" t="n">
        <v>28530748117.8988</v>
      </c>
    </row>
    <row r="2112" ht="15" customHeight="1" s="95">
      <c r="A2112" s="143" t="n">
        <v>45576</v>
      </c>
      <c r="B2112" s="94" t="n">
        <v>2024</v>
      </c>
      <c r="C2112" s="94" t="inlineStr">
        <is>
          <t>2024-Q4</t>
        </is>
      </c>
      <c r="D2112" s="186" t="n">
        <v>60195.1807377245</v>
      </c>
      <c r="E2112" s="188" t="n">
        <v>1189691671375.15</v>
      </c>
      <c r="F2112" s="188" t="n">
        <v>29481971885.6497</v>
      </c>
    </row>
    <row r="2113" ht="15" customHeight="1" s="95">
      <c r="A2113" s="143" t="n">
        <v>45577</v>
      </c>
      <c r="B2113" s="94" t="n">
        <v>2024</v>
      </c>
      <c r="C2113" s="94" t="inlineStr">
        <is>
          <t>2024-Q4</t>
        </is>
      </c>
      <c r="D2113" s="186" t="n">
        <v>62392.3404829316</v>
      </c>
      <c r="E2113" s="188" t="n">
        <v>1233357176570.33</v>
      </c>
      <c r="F2113" s="188" t="n">
        <v>32008659336.4826</v>
      </c>
    </row>
    <row r="2114" ht="15" customHeight="1" s="95">
      <c r="A2114" s="143" t="n">
        <v>45578</v>
      </c>
      <c r="B2114" s="94" t="n">
        <v>2024</v>
      </c>
      <c r="C2114" s="94" t="inlineStr">
        <is>
          <t>2024-Q4</t>
        </is>
      </c>
      <c r="D2114" s="186" t="n">
        <v>63207.7706212756</v>
      </c>
      <c r="E2114" s="188" t="n">
        <v>1249002272717.23</v>
      </c>
      <c r="F2114" s="188" t="n">
        <v>17665963646.4171</v>
      </c>
    </row>
    <row r="2115" ht="15" customHeight="1" s="95">
      <c r="A2115" s="143" t="n">
        <v>45579</v>
      </c>
      <c r="B2115" s="94" t="n">
        <v>2024</v>
      </c>
      <c r="C2115" s="94" t="inlineStr">
        <is>
          <t>2024-Q4</t>
        </is>
      </c>
      <c r="D2115" s="186" t="n">
        <v>62829.5336860889</v>
      </c>
      <c r="E2115" s="188" t="n">
        <v>1241241970951.03</v>
      </c>
      <c r="F2115" s="188" t="n">
        <v>16784552979.0605</v>
      </c>
    </row>
    <row r="2116" ht="15" customHeight="1" s="95">
      <c r="A2116" s="143" t="n">
        <v>45580</v>
      </c>
      <c r="B2116" s="94" t="n">
        <v>2024</v>
      </c>
      <c r="C2116" s="94" t="inlineStr">
        <is>
          <t>2024-Q4</t>
        </is>
      </c>
      <c r="D2116" s="186" t="n">
        <v>66049.9949270802</v>
      </c>
      <c r="E2116" s="188" t="n">
        <v>1306085613997.8</v>
      </c>
      <c r="F2116" s="188" t="n">
        <v>46553796134.146</v>
      </c>
    </row>
    <row r="2117" ht="15" customHeight="1" s="95">
      <c r="A2117" s="143" t="n">
        <v>45581</v>
      </c>
      <c r="B2117" s="94" t="n">
        <v>2024</v>
      </c>
      <c r="C2117" s="94" t="inlineStr">
        <is>
          <t>2024-Q4</t>
        </is>
      </c>
      <c r="D2117" s="186" t="n">
        <v>66962.2199449679</v>
      </c>
      <c r="E2117" s="188" t="n">
        <v>1323774576161.62</v>
      </c>
      <c r="F2117" s="188" t="n">
        <v>51797932876.8281</v>
      </c>
    </row>
    <row r="2118" ht="15" customHeight="1" s="95">
      <c r="A2118" s="143" t="n">
        <v>45582</v>
      </c>
      <c r="B2118" s="94" t="n">
        <v>2024</v>
      </c>
      <c r="C2118" s="94" t="inlineStr">
        <is>
          <t>2024-Q4</t>
        </is>
      </c>
      <c r="D2118" s="186" t="n">
        <v>67647.5441476687</v>
      </c>
      <c r="E2118" s="188" t="n">
        <v>1337304399194.89</v>
      </c>
      <c r="F2118" s="188" t="n">
        <v>40640495380.1959</v>
      </c>
    </row>
    <row r="2119" ht="15" customHeight="1" s="95">
      <c r="A2119" s="143" t="n">
        <v>45583</v>
      </c>
      <c r="B2119" s="94" t="n">
        <v>2024</v>
      </c>
      <c r="C2119" s="94" t="inlineStr">
        <is>
          <t>2024-Q4</t>
        </is>
      </c>
      <c r="D2119" s="186" t="n">
        <v>67328.1052700299</v>
      </c>
      <c r="E2119" s="188" t="n">
        <v>1330387728623.82</v>
      </c>
      <c r="F2119" s="188" t="n">
        <v>34512072357.9209</v>
      </c>
    </row>
    <row r="2120" ht="15" customHeight="1" s="95">
      <c r="A2120" s="143" t="n">
        <v>45584</v>
      </c>
      <c r="B2120" s="94" t="n">
        <v>2024</v>
      </c>
      <c r="C2120" s="94" t="inlineStr">
        <is>
          <t>2024-Q4</t>
        </is>
      </c>
      <c r="D2120" s="186" t="n">
        <v>68465.61920668741</v>
      </c>
      <c r="E2120" s="188" t="n">
        <v>1353541799303.49</v>
      </c>
      <c r="F2120" s="188" t="n">
        <v>39984956633.228</v>
      </c>
    </row>
    <row r="2121" ht="15" customHeight="1" s="95">
      <c r="A2121" s="143" t="n">
        <v>45585</v>
      </c>
      <c r="B2121" s="94" t="n">
        <v>2024</v>
      </c>
      <c r="C2121" s="94" t="inlineStr">
        <is>
          <t>2024-Q4</t>
        </is>
      </c>
      <c r="D2121" s="186" t="n">
        <v>68388.8712896527</v>
      </c>
      <c r="E2121" s="188" t="n">
        <v>1351942347611.2</v>
      </c>
      <c r="F2121" s="188" t="n">
        <v>14110889435.4526</v>
      </c>
    </row>
    <row r="2122" ht="15" customHeight="1" s="95">
      <c r="A2122" s="143" t="n">
        <v>45586</v>
      </c>
      <c r="B2122" s="94" t="n">
        <v>2024</v>
      </c>
      <c r="C2122" s="94" t="inlineStr">
        <is>
          <t>2024-Q4</t>
        </is>
      </c>
      <c r="D2122" s="186" t="n">
        <v>68962.8291804569</v>
      </c>
      <c r="E2122" s="188" t="n">
        <v>1362381684459.91</v>
      </c>
      <c r="F2122" s="188" t="n">
        <v>17253863432.787</v>
      </c>
    </row>
    <row r="2123" ht="15" customHeight="1" s="95">
      <c r="A2123" s="143" t="n">
        <v>45587</v>
      </c>
      <c r="B2123" s="94" t="n">
        <v>2024</v>
      </c>
      <c r="C2123" s="94" t="inlineStr">
        <is>
          <t>2024-Q4</t>
        </is>
      </c>
      <c r="D2123" s="186" t="n">
        <v>67394.85775735621</v>
      </c>
      <c r="E2123" s="188" t="n">
        <v>1332326858574.45</v>
      </c>
      <c r="F2123" s="188" t="n">
        <v>40485496091.9501</v>
      </c>
    </row>
    <row r="2124" ht="15" customHeight="1" s="95">
      <c r="A2124" s="143" t="n">
        <v>45588</v>
      </c>
      <c r="B2124" s="94" t="n">
        <v>2024</v>
      </c>
      <c r="C2124" s="94" t="inlineStr">
        <is>
          <t>2024-Q4</t>
        </is>
      </c>
      <c r="D2124" s="186" t="n">
        <v>67351.047935125</v>
      </c>
      <c r="E2124" s="188" t="n">
        <v>1331426858508.4</v>
      </c>
      <c r="F2124" s="188" t="n">
        <v>31398389967.3811</v>
      </c>
    </row>
    <row r="2125" ht="15" customHeight="1" s="95">
      <c r="A2125" s="143" t="n">
        <v>45589</v>
      </c>
      <c r="B2125" s="94" t="n">
        <v>2024</v>
      </c>
      <c r="C2125" s="94" t="inlineStr">
        <is>
          <t>2024-Q4</t>
        </is>
      </c>
      <c r="D2125" s="186" t="n">
        <v>66683.96806542311</v>
      </c>
      <c r="E2125" s="188" t="n">
        <v>1318285437546.28</v>
      </c>
      <c r="F2125" s="188" t="n">
        <v>32676918488.059</v>
      </c>
    </row>
    <row r="2126" ht="15" customHeight="1" s="95">
      <c r="A2126" s="143" t="n">
        <v>45590</v>
      </c>
      <c r="B2126" s="94" t="n">
        <v>2024</v>
      </c>
      <c r="C2126" s="94" t="inlineStr">
        <is>
          <t>2024-Q4</t>
        </is>
      </c>
      <c r="D2126" s="186" t="n">
        <v>68214.05205157401</v>
      </c>
      <c r="E2126" s="188" t="n">
        <v>1347888109010.59</v>
      </c>
      <c r="F2126" s="188" t="n">
        <v>35892606570.0355</v>
      </c>
    </row>
    <row r="2127" ht="15" customHeight="1" s="95">
      <c r="A2127" s="143" t="n">
        <v>45591</v>
      </c>
      <c r="B2127" s="94" t="n">
        <v>2024</v>
      </c>
      <c r="C2127" s="94" t="inlineStr">
        <is>
          <t>2024-Q4</t>
        </is>
      </c>
      <c r="D2127" s="186" t="n">
        <v>66585.6653550145</v>
      </c>
      <c r="E2127" s="188" t="n">
        <v>1313975091942.22</v>
      </c>
      <c r="F2127" s="188" t="n">
        <v>48426924850.0534</v>
      </c>
    </row>
    <row r="2128" ht="15" customHeight="1" s="95">
      <c r="A2128" s="143" t="n">
        <v>45592</v>
      </c>
      <c r="B2128" s="94" t="n">
        <v>2024</v>
      </c>
      <c r="C2128" s="94" t="inlineStr">
        <is>
          <t>2024-Q4</t>
        </is>
      </c>
      <c r="D2128" s="186" t="n">
        <v>67018.16501702651</v>
      </c>
      <c r="E2128" s="188" t="n">
        <v>1325192118637.26</v>
      </c>
      <c r="F2128" s="188" t="n">
        <v>21169467789.8927</v>
      </c>
    </row>
    <row r="2129" ht="15" customHeight="1" s="95">
      <c r="A2129" s="143" t="n">
        <v>45593</v>
      </c>
      <c r="B2129" s="94" t="n">
        <v>2024</v>
      </c>
      <c r="C2129" s="94" t="inlineStr">
        <is>
          <t>2024-Q4</t>
        </is>
      </c>
      <c r="D2129" s="186" t="n">
        <v>67938.5541288567</v>
      </c>
      <c r="E2129" s="188" t="n">
        <v>1343350549900.12</v>
      </c>
      <c r="F2129" s="188" t="n">
        <v>16533385730.4342</v>
      </c>
    </row>
    <row r="2130" ht="15" customHeight="1" s="95">
      <c r="A2130" s="143" t="n">
        <v>45594</v>
      </c>
      <c r="B2130" s="94" t="n">
        <v>2024</v>
      </c>
      <c r="C2130" s="94" t="inlineStr">
        <is>
          <t>2024-Q4</t>
        </is>
      </c>
      <c r="D2130" s="186" t="n">
        <v>69845.30453116899</v>
      </c>
      <c r="E2130" s="188" t="n">
        <v>1380874923096.42</v>
      </c>
      <c r="F2130" s="188" t="n">
        <v>41990540384.9655</v>
      </c>
    </row>
    <row r="2131" ht="15" customHeight="1" s="95">
      <c r="A2131" s="143" t="n">
        <v>45595</v>
      </c>
      <c r="B2131" s="94" t="n">
        <v>2024</v>
      </c>
      <c r="C2131" s="94" t="inlineStr">
        <is>
          <t>2024-Q4</t>
        </is>
      </c>
      <c r="D2131" s="186" t="n">
        <v>72781.11308158129</v>
      </c>
      <c r="E2131" s="188" t="n">
        <v>1439310420089.37</v>
      </c>
      <c r="F2131" s="188" t="n">
        <v>65487782004.9701</v>
      </c>
    </row>
    <row r="2132" ht="15" customHeight="1" s="95">
      <c r="A2132" s="143" t="n">
        <v>45596</v>
      </c>
      <c r="B2132" s="94" t="n">
        <v>2024</v>
      </c>
      <c r="C2132" s="94" t="inlineStr">
        <is>
          <t>2024-Q4</t>
        </is>
      </c>
      <c r="D2132" s="186" t="n">
        <v>72342.62171127991</v>
      </c>
      <c r="E2132" s="188" t="n">
        <v>1431085552900.2</v>
      </c>
      <c r="F2132" s="188" t="n">
        <v>43498144313.673</v>
      </c>
    </row>
    <row r="2133" ht="15" customHeight="1" s="95">
      <c r="A2133" s="143" t="n">
        <v>45597</v>
      </c>
      <c r="B2133" s="94" t="n">
        <v>2024</v>
      </c>
      <c r="C2133" s="94" t="inlineStr">
        <is>
          <t>2024-Q4</t>
        </is>
      </c>
      <c r="D2133" s="186" t="n">
        <v>70264.9973557328</v>
      </c>
      <c r="E2133" s="188" t="n">
        <v>1390195908292.93</v>
      </c>
      <c r="F2133" s="188" t="n">
        <v>45907074188.5701</v>
      </c>
    </row>
    <row r="2134" ht="15" customHeight="1" s="95">
      <c r="A2134" s="143" t="n">
        <v>45598</v>
      </c>
      <c r="B2134" s="94" t="n">
        <v>2024</v>
      </c>
      <c r="C2134" s="94" t="inlineStr">
        <is>
          <t>2024-Q4</t>
        </is>
      </c>
      <c r="D2134" s="186" t="n">
        <v>69507.9225639565</v>
      </c>
      <c r="E2134" s="188" t="n">
        <v>1374687306836.93</v>
      </c>
      <c r="F2134" s="188" t="n">
        <v>54863092261.311</v>
      </c>
    </row>
    <row r="2135" ht="15" customHeight="1" s="95">
      <c r="A2135" s="143" t="n">
        <v>45599</v>
      </c>
      <c r="B2135" s="94" t="n">
        <v>2024</v>
      </c>
      <c r="C2135" s="94" t="inlineStr">
        <is>
          <t>2024-Q4</t>
        </is>
      </c>
      <c r="D2135" s="186" t="n">
        <v>69299.1603669941</v>
      </c>
      <c r="E2135" s="188" t="n">
        <v>1370516856365.8</v>
      </c>
      <c r="F2135" s="188" t="n">
        <v>14709379754.966</v>
      </c>
    </row>
    <row r="2136" ht="15" customHeight="1" s="95">
      <c r="A2136" s="143" t="n">
        <v>45600</v>
      </c>
      <c r="B2136" s="94" t="n">
        <v>2024</v>
      </c>
      <c r="C2136" s="94" t="inlineStr">
        <is>
          <t>2024-Q4</t>
        </is>
      </c>
      <c r="D2136" s="186" t="n">
        <v>68803.5062627747</v>
      </c>
      <c r="E2136" s="188" t="n">
        <v>1362302032218.02</v>
      </c>
      <c r="F2136" s="188" t="n">
        <v>37659435506.757</v>
      </c>
    </row>
    <row r="2137" ht="15" customHeight="1" s="95">
      <c r="A2137" s="143" t="n">
        <v>45601</v>
      </c>
      <c r="B2137" s="94" t="n">
        <v>2024</v>
      </c>
      <c r="C2137" s="94" t="inlineStr">
        <is>
          <t>2024-Q4</t>
        </is>
      </c>
      <c r="D2137" s="186" t="n">
        <v>67793.2978270476</v>
      </c>
      <c r="E2137" s="188" t="n">
        <v>1340192510479.96</v>
      </c>
      <c r="F2137" s="188" t="n">
        <v>46183110993.7917</v>
      </c>
    </row>
    <row r="2138" ht="15" customHeight="1" s="95">
      <c r="A2138" s="143" t="n">
        <v>45602</v>
      </c>
      <c r="B2138" s="94" t="n">
        <v>2024</v>
      </c>
      <c r="C2138" s="94" t="inlineStr">
        <is>
          <t>2024-Q4</t>
        </is>
      </c>
      <c r="D2138" s="186" t="n">
        <v>69335.42553133761</v>
      </c>
      <c r="E2138" s="188" t="n">
        <v>1370963795352.7</v>
      </c>
      <c r="F2138" s="188" t="n">
        <v>40025021601.494</v>
      </c>
    </row>
    <row r="2139" ht="15" customHeight="1" s="95">
      <c r="A2139" s="143" t="n">
        <v>45603</v>
      </c>
      <c r="B2139" s="94" t="n">
        <v>2024</v>
      </c>
      <c r="C2139" s="94" t="inlineStr">
        <is>
          <t>2024-Q4</t>
        </is>
      </c>
      <c r="D2139" s="186" t="n">
        <v>75620.8860696319</v>
      </c>
      <c r="E2139" s="188" t="n">
        <v>1496392703840.91</v>
      </c>
      <c r="F2139" s="188" t="n">
        <v>128492534668.239</v>
      </c>
    </row>
    <row r="2140" ht="15" customHeight="1" s="95">
      <c r="A2140" s="143" t="n">
        <v>45604</v>
      </c>
      <c r="B2140" s="94" t="n">
        <v>2024</v>
      </c>
      <c r="C2140" s="94" t="inlineStr">
        <is>
          <t>2024-Q4</t>
        </is>
      </c>
      <c r="D2140" s="186" t="n">
        <v>75987.2417832067</v>
      </c>
      <c r="E2140" s="188" t="n">
        <v>1502620808927.7</v>
      </c>
      <c r="F2140" s="188" t="n">
        <v>66590396087.4524</v>
      </c>
    </row>
    <row r="2141" ht="15" customHeight="1" s="95">
      <c r="A2141" s="143" t="n">
        <v>45605</v>
      </c>
      <c r="B2141" s="94" t="n">
        <v>2024</v>
      </c>
      <c r="C2141" s="94" t="inlineStr">
        <is>
          <t>2024-Q4</t>
        </is>
      </c>
      <c r="D2141" s="186" t="n">
        <v>76550.0213845611</v>
      </c>
      <c r="E2141" s="188" t="n">
        <v>1514048743889.13</v>
      </c>
      <c r="F2141" s="188" t="n">
        <v>50687468387.7204</v>
      </c>
    </row>
    <row r="2142" ht="15" customHeight="1" s="95">
      <c r="A2142" s="143" t="n">
        <v>45606</v>
      </c>
      <c r="B2142" s="94" t="n">
        <v>2024</v>
      </c>
      <c r="C2142" s="94" t="inlineStr">
        <is>
          <t>2024-Q4</t>
        </is>
      </c>
      <c r="D2142" s="186" t="n">
        <v>76630.2263141538</v>
      </c>
      <c r="E2142" s="188" t="n">
        <v>1519470275068.1</v>
      </c>
      <c r="F2142" s="188" t="n">
        <v>31430906055.7961</v>
      </c>
    </row>
    <row r="2143" ht="15" customHeight="1" s="95">
      <c r="A2143" s="143" t="n">
        <v>45607</v>
      </c>
      <c r="B2143" s="94" t="n">
        <v>2024</v>
      </c>
      <c r="C2143" s="94" t="inlineStr">
        <is>
          <t>2024-Q4</t>
        </is>
      </c>
      <c r="D2143" s="186" t="n">
        <v>80466.7165483354</v>
      </c>
      <c r="E2143" s="188" t="n">
        <v>1590846468754.07</v>
      </c>
      <c r="F2143" s="188" t="n">
        <v>93473126207.6787</v>
      </c>
    </row>
    <row r="2144" ht="15" customHeight="1" s="95">
      <c r="A2144" s="143" t="n">
        <v>45608</v>
      </c>
      <c r="B2144" s="94" t="n">
        <v>2024</v>
      </c>
      <c r="C2144" s="94" t="inlineStr">
        <is>
          <t>2024-Q4</t>
        </is>
      </c>
      <c r="D2144" s="186" t="n">
        <v>88637.4200032291</v>
      </c>
      <c r="E2144" s="188" t="n">
        <v>1756619702929.04</v>
      </c>
      <c r="F2144" s="188" t="n">
        <v>133959805308.725</v>
      </c>
    </row>
    <row r="2145" ht="15" customHeight="1" s="95">
      <c r="A2145" s="143" t="n">
        <v>45609</v>
      </c>
      <c r="B2145" s="94" t="n">
        <v>2024</v>
      </c>
      <c r="C2145" s="94" t="inlineStr">
        <is>
          <t>2024-Q4</t>
        </is>
      </c>
      <c r="D2145" s="186" t="n">
        <v>88264.59974582899</v>
      </c>
      <c r="E2145" s="188" t="n">
        <v>1741113172482.12</v>
      </c>
      <c r="F2145" s="188" t="n">
        <v>152356811694.449</v>
      </c>
    </row>
    <row r="2146" ht="15" customHeight="1" s="95">
      <c r="A2146" s="143" t="n">
        <v>45610</v>
      </c>
      <c r="B2146" s="94" t="n">
        <v>2024</v>
      </c>
      <c r="C2146" s="94" t="inlineStr">
        <is>
          <t>2024-Q4</t>
        </is>
      </c>
      <c r="D2146" s="186" t="n">
        <v>90488.1000749785</v>
      </c>
      <c r="E2146" s="188" t="n">
        <v>1790737763695.33</v>
      </c>
      <c r="F2146" s="188" t="n">
        <v>136046309843.606</v>
      </c>
    </row>
    <row r="2147" ht="15" customHeight="1" s="95">
      <c r="A2147" s="143" t="n">
        <v>45611</v>
      </c>
      <c r="B2147" s="94" t="n">
        <v>2024</v>
      </c>
      <c r="C2147" s="94" t="inlineStr">
        <is>
          <t>2024-Q4</t>
        </is>
      </c>
      <c r="D2147" s="186" t="n">
        <v>87407.51273710129</v>
      </c>
      <c r="E2147" s="188" t="n">
        <v>1726797438787.22</v>
      </c>
      <c r="F2147" s="188" t="n">
        <v>99649391847.0836</v>
      </c>
    </row>
    <row r="2148" ht="15" customHeight="1" s="95">
      <c r="A2148" s="143" t="n">
        <v>45612</v>
      </c>
      <c r="B2148" s="94" t="n">
        <v>2024</v>
      </c>
      <c r="C2148" s="94" t="inlineStr">
        <is>
          <t>2024-Q4</t>
        </is>
      </c>
      <c r="D2148" s="186" t="n">
        <v>90947.975094437</v>
      </c>
      <c r="E2148" s="188" t="n">
        <v>1799276211921.93</v>
      </c>
      <c r="F2148" s="188" t="n">
        <v>84382485697.8499</v>
      </c>
    </row>
    <row r="2149" ht="15" customHeight="1" s="95">
      <c r="A2149" s="143" t="n">
        <v>45613</v>
      </c>
      <c r="B2149" s="94" t="n">
        <v>2024</v>
      </c>
      <c r="C2149" s="94" t="inlineStr">
        <is>
          <t>2024-Q4</t>
        </is>
      </c>
      <c r="D2149" s="186" t="n">
        <v>90606.45489380709</v>
      </c>
      <c r="E2149" s="188" t="n">
        <v>1790415769635.49</v>
      </c>
      <c r="F2149" s="188" t="n">
        <v>49255174407.3688</v>
      </c>
    </row>
    <row r="2150" ht="15" customHeight="1" s="95">
      <c r="A2150" s="143" t="n">
        <v>45614</v>
      </c>
      <c r="B2150" s="94" t="n">
        <v>2024</v>
      </c>
      <c r="C2150" s="94" t="inlineStr">
        <is>
          <t>2024-Q4</t>
        </is>
      </c>
      <c r="D2150" s="186" t="n">
        <v>89841.4719413511</v>
      </c>
      <c r="E2150" s="188" t="n">
        <v>1776887033229.91</v>
      </c>
      <c r="F2150" s="188" t="n">
        <v>48556083101.6475</v>
      </c>
    </row>
    <row r="2151" ht="15" customHeight="1" s="95">
      <c r="A2151" s="143" t="n">
        <v>45615</v>
      </c>
      <c r="B2151" s="94" t="n">
        <v>2024</v>
      </c>
      <c r="C2151" s="94" t="inlineStr">
        <is>
          <t>2024-Q4</t>
        </is>
      </c>
      <c r="D2151" s="186" t="n">
        <v>90534.62459650289</v>
      </c>
      <c r="E2151" s="188" t="n">
        <v>1790917617392.44</v>
      </c>
      <c r="F2151" s="188" t="n">
        <v>77391724184.1935</v>
      </c>
    </row>
    <row r="2152" ht="15" customHeight="1" s="95">
      <c r="A2152" s="143" t="n">
        <v>45616</v>
      </c>
      <c r="B2152" s="94" t="n">
        <v>2024</v>
      </c>
      <c r="C2152" s="94" t="inlineStr">
        <is>
          <t>2024-Q4</t>
        </is>
      </c>
      <c r="D2152" s="186" t="n">
        <v>92251.6524073831</v>
      </c>
      <c r="E2152" s="188" t="n">
        <v>1825195454018.5</v>
      </c>
      <c r="F2152" s="188" t="n">
        <v>80493234958.49159</v>
      </c>
    </row>
    <row r="2153" ht="15" customHeight="1" s="95">
      <c r="A2153" s="143" t="n">
        <v>45617</v>
      </c>
      <c r="B2153" s="94" t="n">
        <v>2024</v>
      </c>
      <c r="C2153" s="94" t="inlineStr">
        <is>
          <t>2024-Q4</t>
        </is>
      </c>
      <c r="D2153" s="186" t="n">
        <v>94217.0222963421</v>
      </c>
      <c r="E2153" s="188" t="n">
        <v>1862618759426.15</v>
      </c>
      <c r="F2153" s="188" t="n">
        <v>80747272080.24831</v>
      </c>
    </row>
    <row r="2154" ht="15" customHeight="1" s="95">
      <c r="A2154" s="143" t="n">
        <v>45618</v>
      </c>
      <c r="B2154" s="94" t="n">
        <v>2024</v>
      </c>
      <c r="C2154" s="94" t="inlineStr">
        <is>
          <t>2024-Q4</t>
        </is>
      </c>
      <c r="D2154" s="186" t="n">
        <v>98509.11859102429</v>
      </c>
      <c r="E2154" s="188" t="n">
        <v>1948284556982.05</v>
      </c>
      <c r="F2154" s="188" t="n">
        <v>118163852022.318</v>
      </c>
    </row>
    <row r="2155" ht="15" customHeight="1" s="95">
      <c r="A2155" s="143" t="n">
        <v>45619</v>
      </c>
      <c r="B2155" s="94" t="n">
        <v>2024</v>
      </c>
      <c r="C2155" s="94" t="inlineStr">
        <is>
          <t>2024-Q4</t>
        </is>
      </c>
      <c r="D2155" s="186" t="n">
        <v>98927.494945534</v>
      </c>
      <c r="E2155" s="188" t="n">
        <v>1958091000957.83</v>
      </c>
      <c r="F2155" s="188" t="n">
        <v>85746174563.98599</v>
      </c>
    </row>
    <row r="2156" ht="15" customHeight="1" s="95">
      <c r="A2156" s="143" t="n">
        <v>45620</v>
      </c>
      <c r="B2156" s="94" t="n">
        <v>2024</v>
      </c>
      <c r="C2156" s="94" t="inlineStr">
        <is>
          <t>2024-Q4</t>
        </is>
      </c>
      <c r="D2156" s="186" t="n">
        <v>97679.4638164303</v>
      </c>
      <c r="E2156" s="188" t="n">
        <v>1931255637661.5</v>
      </c>
      <c r="F2156" s="188" t="n">
        <v>47414200206.7034</v>
      </c>
    </row>
    <row r="2157" ht="15" customHeight="1" s="95">
      <c r="A2157" s="143" t="n">
        <v>45621</v>
      </c>
      <c r="B2157" s="94" t="n">
        <v>2024</v>
      </c>
      <c r="C2157" s="94" t="inlineStr">
        <is>
          <t>2024-Q4</t>
        </is>
      </c>
      <c r="D2157" s="186" t="n">
        <v>98015.9355289458</v>
      </c>
      <c r="E2157" s="188" t="n">
        <v>1939446484727.43</v>
      </c>
      <c r="F2157" s="188" t="n">
        <v>50665680246.8678</v>
      </c>
    </row>
    <row r="2158" ht="15" customHeight="1" s="95">
      <c r="A2158" s="143" t="n">
        <v>45622</v>
      </c>
      <c r="B2158" s="94" t="n">
        <v>2024</v>
      </c>
      <c r="C2158" s="94" t="inlineStr">
        <is>
          <t>2024-Q4</t>
        </is>
      </c>
      <c r="D2158" s="186" t="n">
        <v>93004.7009310329</v>
      </c>
      <c r="E2158" s="188" t="n">
        <v>1838788677873.87</v>
      </c>
      <c r="F2158" s="188" t="n">
        <v>89476321216.09351</v>
      </c>
    </row>
    <row r="2159" ht="15" customHeight="1" s="95">
      <c r="A2159" s="143" t="n">
        <v>45623</v>
      </c>
      <c r="B2159" s="94" t="n">
        <v>2024</v>
      </c>
      <c r="C2159" s="94" t="inlineStr">
        <is>
          <t>2024-Q4</t>
        </is>
      </c>
      <c r="D2159" s="186" t="n">
        <v>91931.8307729183</v>
      </c>
      <c r="E2159" s="188" t="n">
        <v>1819990514406.09</v>
      </c>
      <c r="F2159" s="188" t="n">
        <v>97389239315.5295</v>
      </c>
    </row>
    <row r="2160" ht="15" customHeight="1" s="95">
      <c r="A2160" s="143" t="n">
        <v>45624</v>
      </c>
      <c r="B2160" s="94" t="n">
        <v>2024</v>
      </c>
      <c r="C2160" s="94" t="inlineStr">
        <is>
          <t>2024-Q4</t>
        </is>
      </c>
      <c r="D2160" s="186" t="n">
        <v>95981.1805721056</v>
      </c>
      <c r="E2160" s="188" t="n">
        <v>1899088665519.23</v>
      </c>
      <c r="F2160" s="188" t="n">
        <v>81469353259.75</v>
      </c>
    </row>
    <row r="2161" ht="15" customHeight="1" s="95">
      <c r="A2161" s="143" t="n">
        <v>45625</v>
      </c>
      <c r="B2161" s="94" t="n">
        <v>2024</v>
      </c>
      <c r="C2161" s="94" t="inlineStr">
        <is>
          <t>2024-Q4</t>
        </is>
      </c>
      <c r="D2161" s="186" t="n">
        <v>95661.5959581785</v>
      </c>
      <c r="E2161" s="188" t="n">
        <v>1892297852304.72</v>
      </c>
      <c r="F2161" s="188" t="n">
        <v>49067932024.4033</v>
      </c>
    </row>
    <row r="2162" ht="15" customHeight="1" s="95">
      <c r="A2162" s="143" t="n">
        <v>45626</v>
      </c>
      <c r="B2162" s="94" t="n">
        <v>2024</v>
      </c>
      <c r="C2162" s="94" t="inlineStr">
        <is>
          <t>2024-Q4</t>
        </is>
      </c>
      <c r="D2162" s="186" t="n">
        <v>97453.2473451042</v>
      </c>
      <c r="E2162" s="188" t="n">
        <v>1926826079390.24</v>
      </c>
      <c r="F2162" s="188" t="n">
        <v>74670031635.5065</v>
      </c>
    </row>
    <row r="2163" ht="15" customHeight="1" s="95">
      <c r="A2163" s="143" t="n">
        <v>45627</v>
      </c>
      <c r="B2163" s="94" t="n">
        <v>2024</v>
      </c>
      <c r="C2163" s="94" t="inlineStr">
        <is>
          <t>2024-Q4</t>
        </is>
      </c>
      <c r="D2163" s="186" t="n">
        <v>96513.14234698231</v>
      </c>
      <c r="E2163" s="188" t="n">
        <v>1910022814269.89</v>
      </c>
      <c r="F2163" s="188" t="n">
        <v>43580019720.7206</v>
      </c>
    </row>
    <row r="2164" ht="15" customHeight="1" s="95">
      <c r="A2164" s="143" t="n">
        <v>45628</v>
      </c>
      <c r="B2164" s="94" t="n">
        <v>2024</v>
      </c>
      <c r="C2164" s="94" t="inlineStr">
        <is>
          <t>2024-Q4</t>
        </is>
      </c>
      <c r="D2164" s="186" t="n">
        <v>97311.7071908432</v>
      </c>
      <c r="E2164" s="188" t="n">
        <v>1925808416477.51</v>
      </c>
      <c r="F2164" s="188" t="n">
        <v>49147687432.5659</v>
      </c>
    </row>
    <row r="2165" ht="15" customHeight="1" s="95">
      <c r="A2165" s="143" t="n">
        <v>45629</v>
      </c>
      <c r="B2165" s="94" t="n">
        <v>2024</v>
      </c>
      <c r="C2165" s="94" t="inlineStr">
        <is>
          <t>2024-Q4</t>
        </is>
      </c>
      <c r="D2165" s="186" t="n">
        <v>95833.1362300365</v>
      </c>
      <c r="E2165" s="188" t="n">
        <v>1896576914275.52</v>
      </c>
      <c r="F2165" s="188" t="n">
        <v>101019861361.493</v>
      </c>
    </row>
    <row r="2166" ht="15" customHeight="1" s="95">
      <c r="A2166" s="143" t="n">
        <v>45630</v>
      </c>
      <c r="B2166" s="94" t="n">
        <v>2024</v>
      </c>
      <c r="C2166" s="94" t="inlineStr">
        <is>
          <t>2024-Q4</t>
        </is>
      </c>
      <c r="D2166" s="186" t="n">
        <v>96031.6309775983</v>
      </c>
      <c r="E2166" s="188" t="n">
        <v>1900922167493.36</v>
      </c>
      <c r="F2166" s="188" t="n">
        <v>87935752287.97501</v>
      </c>
    </row>
    <row r="2167" ht="15" customHeight="1" s="95">
      <c r="A2167" s="143" t="n">
        <v>45631</v>
      </c>
      <c r="B2167" s="94" t="n">
        <v>2024</v>
      </c>
      <c r="C2167" s="94" t="inlineStr">
        <is>
          <t>2024-Q4</t>
        </is>
      </c>
      <c r="D2167" s="186" t="n">
        <v>98881.4694561823</v>
      </c>
      <c r="E2167" s="188" t="n">
        <v>1957276192604.26</v>
      </c>
      <c r="F2167" s="188" t="n">
        <v>98230784298.0459</v>
      </c>
    </row>
    <row r="2168" ht="15" customHeight="1" s="95">
      <c r="A2168" s="143" t="n">
        <v>45632</v>
      </c>
      <c r="B2168" s="94" t="n">
        <v>2024</v>
      </c>
      <c r="C2168" s="94" t="inlineStr">
        <is>
          <t>2024-Q4</t>
        </is>
      </c>
      <c r="D2168" s="186" t="n">
        <v>97201.50036407739</v>
      </c>
      <c r="E2168" s="188" t="n">
        <v>1920742551503.61</v>
      </c>
      <c r="F2168" s="188" t="n">
        <v>190460293531.538</v>
      </c>
    </row>
    <row r="2169" ht="15" customHeight="1" s="95">
      <c r="A2169" s="143" t="n">
        <v>45633</v>
      </c>
      <c r="B2169" s="94" t="n">
        <v>2024</v>
      </c>
      <c r="C2169" s="94" t="inlineStr">
        <is>
          <t>2024-Q4</t>
        </is>
      </c>
      <c r="D2169" s="186" t="n">
        <v>99973.85150659829</v>
      </c>
      <c r="E2169" s="188" t="n">
        <v>1978389972043.8</v>
      </c>
      <c r="F2169" s="188" t="n">
        <v>115812632020.448</v>
      </c>
    </row>
    <row r="2170" ht="15" customHeight="1" s="95">
      <c r="A2170" s="143" t="n">
        <v>45634</v>
      </c>
      <c r="B2170" s="94" t="n">
        <v>2024</v>
      </c>
      <c r="C2170" s="94" t="inlineStr">
        <is>
          <t>2024-Q4</t>
        </is>
      </c>
      <c r="D2170" s="186" t="n">
        <v>99781.82999198169</v>
      </c>
      <c r="E2170" s="188" t="n">
        <v>1974739091620.75</v>
      </c>
      <c r="F2170" s="188" t="n">
        <v>61061136199.7846</v>
      </c>
    </row>
    <row r="2171" ht="15" customHeight="1" s="95">
      <c r="A2171" s="143" t="n">
        <v>45635</v>
      </c>
      <c r="B2171" s="94" t="n">
        <v>2024</v>
      </c>
      <c r="C2171" s="94" t="inlineStr">
        <is>
          <t>2024-Q4</t>
        </is>
      </c>
      <c r="D2171" s="186" t="n">
        <v>101235.371702532</v>
      </c>
      <c r="E2171" s="188" t="n">
        <v>2003238967638.83</v>
      </c>
      <c r="F2171" s="188" t="n">
        <v>62677764785.0541</v>
      </c>
    </row>
    <row r="2172" ht="15" customHeight="1" s="95">
      <c r="A2172" s="143" t="n">
        <v>45636</v>
      </c>
      <c r="B2172" s="94" t="n">
        <v>2024</v>
      </c>
      <c r="C2172" s="94" t="inlineStr">
        <is>
          <t>2024-Q4</t>
        </is>
      </c>
      <c r="D2172" s="186" t="n">
        <v>97353.9470082089</v>
      </c>
      <c r="E2172" s="188" t="n">
        <v>1926047690157.63</v>
      </c>
      <c r="F2172" s="188" t="n">
        <v>146846843211.517</v>
      </c>
    </row>
    <row r="2173" ht="15" customHeight="1" s="95">
      <c r="A2173" s="143" t="n">
        <v>45637</v>
      </c>
      <c r="B2173" s="94" t="n">
        <v>2024</v>
      </c>
      <c r="C2173" s="94" t="inlineStr">
        <is>
          <t>2024-Q4</t>
        </is>
      </c>
      <c r="D2173" s="186" t="n">
        <v>96649.7144677153</v>
      </c>
      <c r="E2173" s="188" t="n">
        <v>1913115778728.28</v>
      </c>
      <c r="F2173" s="188" t="n">
        <v>125835977742.511</v>
      </c>
    </row>
    <row r="2174" ht="15" customHeight="1" s="95">
      <c r="A2174" s="143" t="n">
        <v>45638</v>
      </c>
      <c r="B2174" s="94" t="n">
        <v>2024</v>
      </c>
      <c r="C2174" s="94" t="inlineStr">
        <is>
          <t>2024-Q4</t>
        </is>
      </c>
      <c r="D2174" s="186" t="n">
        <v>101123.618110337</v>
      </c>
      <c r="E2174" s="188" t="n">
        <v>2001746436338.84</v>
      </c>
      <c r="F2174" s="188" t="n">
        <v>118484957960.768</v>
      </c>
    </row>
    <row r="2175" ht="15" customHeight="1" s="95">
      <c r="A2175" s="143" t="n">
        <v>45639</v>
      </c>
      <c r="B2175" s="94" t="n">
        <v>2024</v>
      </c>
      <c r="C2175" s="94" t="inlineStr">
        <is>
          <t>2024-Q4</t>
        </is>
      </c>
      <c r="D2175" s="186" t="n">
        <v>100000.808365352</v>
      </c>
      <c r="E2175" s="188" t="n">
        <v>1979166149963.31</v>
      </c>
      <c r="F2175" s="188" t="n">
        <v>100092043319.812</v>
      </c>
    </row>
    <row r="2176" ht="15" customHeight="1" s="95">
      <c r="A2176" s="143" t="n">
        <v>45640</v>
      </c>
      <c r="B2176" s="94" t="n">
        <v>2024</v>
      </c>
      <c r="C2176" s="94" t="inlineStr">
        <is>
          <t>2024-Q4</t>
        </is>
      </c>
      <c r="D2176" s="186" t="n">
        <v>101352.229712923</v>
      </c>
      <c r="E2176" s="188" t="n">
        <v>2005406021235.84</v>
      </c>
      <c r="F2176" s="188" t="n">
        <v>78802903278.8596</v>
      </c>
    </row>
    <row r="2177" ht="15" customHeight="1" s="95">
      <c r="A2177" s="143" t="n">
        <v>45641</v>
      </c>
      <c r="B2177" s="94" t="n">
        <v>2024</v>
      </c>
      <c r="C2177" s="94" t="inlineStr">
        <is>
          <t>2024-Q4</t>
        </is>
      </c>
      <c r="D2177" s="186" t="n">
        <v>101367.010645534</v>
      </c>
      <c r="E2177" s="188" t="n">
        <v>2007646386698.87</v>
      </c>
      <c r="F2177" s="188" t="n">
        <v>57321924844.4154</v>
      </c>
    </row>
    <row r="2178" ht="15" customHeight="1" s="95">
      <c r="A2178" s="143" t="n">
        <v>45642</v>
      </c>
      <c r="B2178" s="94" t="n">
        <v>2024</v>
      </c>
      <c r="C2178" s="94" t="inlineStr">
        <is>
          <t>2024-Q4</t>
        </is>
      </c>
      <c r="D2178" s="186" t="n">
        <v>104721.50151809</v>
      </c>
      <c r="E2178" s="188" t="n">
        <v>2075487816560.19</v>
      </c>
      <c r="F2178" s="188" t="n">
        <v>70645074624.5287</v>
      </c>
    </row>
    <row r="2179" ht="15" customHeight="1" s="95">
      <c r="A2179" s="143" t="n">
        <v>45643</v>
      </c>
      <c r="B2179" s="94" t="n">
        <v>2024</v>
      </c>
      <c r="C2179" s="94" t="inlineStr">
        <is>
          <t>2024-Q4</t>
        </is>
      </c>
      <c r="D2179" s="186" t="n">
        <v>106074.107235412</v>
      </c>
      <c r="E2179" s="188" t="n">
        <v>2097460193710.79</v>
      </c>
      <c r="F2179" s="188" t="n">
        <v>115184737759.336</v>
      </c>
    </row>
    <row r="2180" ht="15" customHeight="1" s="95">
      <c r="A2180" s="143" t="n">
        <v>45644</v>
      </c>
      <c r="B2180" s="94" t="n">
        <v>2024</v>
      </c>
      <c r="C2180" s="94" t="inlineStr">
        <is>
          <t>2024-Q4</t>
        </is>
      </c>
      <c r="D2180" s="186" t="n">
        <v>106034.913402645</v>
      </c>
      <c r="E2180" s="188" t="n">
        <v>2100629850064.91</v>
      </c>
      <c r="F2180" s="188" t="n">
        <v>93417826250.1972</v>
      </c>
    </row>
    <row r="2181" ht="15" customHeight="1" s="95">
      <c r="A2181" s="143" t="n">
        <v>45645</v>
      </c>
      <c r="B2181" s="94" t="n">
        <v>2024</v>
      </c>
      <c r="C2181" s="94" t="inlineStr">
        <is>
          <t>2024-Q4</t>
        </is>
      </c>
      <c r="D2181" s="186" t="n">
        <v>100355.57614815</v>
      </c>
      <c r="E2181" s="188" t="n">
        <v>1985284833093.57</v>
      </c>
      <c r="F2181" s="188" t="n">
        <v>113692025885.447</v>
      </c>
    </row>
    <row r="2182" ht="15" customHeight="1" s="95">
      <c r="A2182" s="143" t="n">
        <v>45646</v>
      </c>
      <c r="B2182" s="94" t="n">
        <v>2024</v>
      </c>
      <c r="C2182" s="94" t="inlineStr">
        <is>
          <t>2024-Q4</t>
        </is>
      </c>
      <c r="D2182" s="186" t="n">
        <v>97851.3537707581</v>
      </c>
      <c r="E2182" s="188" t="n">
        <v>1937022229972.21</v>
      </c>
      <c r="F2182" s="188" t="n">
        <v>100611554887.241</v>
      </c>
    </row>
    <row r="2183" ht="15" customHeight="1" s="95">
      <c r="A2183" s="143" t="n">
        <v>45647</v>
      </c>
      <c r="B2183" s="94" t="n">
        <v>2024</v>
      </c>
      <c r="C2183" s="94" t="inlineStr">
        <is>
          <t>2024-Q4</t>
        </is>
      </c>
      <c r="D2183" s="186" t="n">
        <v>97691.4343169265</v>
      </c>
      <c r="E2183" s="188" t="n">
        <v>1932373308116.01</v>
      </c>
      <c r="F2183" s="188" t="n">
        <v>112340864006.628</v>
      </c>
    </row>
    <row r="2184" ht="15" customHeight="1" s="95">
      <c r="A2184" s="143" t="n">
        <v>45648</v>
      </c>
      <c r="B2184" s="94" t="n">
        <v>2024</v>
      </c>
      <c r="C2184" s="94" t="inlineStr">
        <is>
          <t>2024-Q4</t>
        </is>
      </c>
      <c r="D2184" s="186" t="n">
        <v>97202.8249684763</v>
      </c>
      <c r="E2184" s="188" t="n">
        <v>1922768195068.17</v>
      </c>
      <c r="F2184" s="188" t="n">
        <v>53058382639.4885</v>
      </c>
    </row>
    <row r="2185" ht="15" customHeight="1" s="95">
      <c r="A2185" s="143" t="n">
        <v>45649</v>
      </c>
      <c r="B2185" s="94" t="n">
        <v>2024</v>
      </c>
      <c r="C2185" s="94" t="inlineStr">
        <is>
          <t>2024-Q4</t>
        </is>
      </c>
      <c r="D2185" s="186" t="n">
        <v>95094.2739486217</v>
      </c>
      <c r="E2185" s="188" t="n">
        <v>1884599149192.46</v>
      </c>
      <c r="F2185" s="188" t="n">
        <v>44619017105.3695</v>
      </c>
    </row>
    <row r="2186" ht="15" customHeight="1" s="95">
      <c r="A2186" s="143" t="n">
        <v>45650</v>
      </c>
      <c r="B2186" s="94" t="n">
        <v>2024</v>
      </c>
      <c r="C2186" s="94" t="inlineStr">
        <is>
          <t>2024-Q4</t>
        </is>
      </c>
      <c r="D2186" s="186" t="n">
        <v>94644.9108546432</v>
      </c>
      <c r="E2186" s="188" t="n">
        <v>1874912975786.66</v>
      </c>
      <c r="F2186" s="188" t="n">
        <v>64937790292.6113</v>
      </c>
    </row>
    <row r="2187" ht="15" customHeight="1" s="95">
      <c r="A2187" s="143" t="n">
        <v>45651</v>
      </c>
      <c r="B2187" s="94" t="n">
        <v>2024</v>
      </c>
      <c r="C2187" s="94" t="inlineStr">
        <is>
          <t>2024-Q4</t>
        </is>
      </c>
      <c r="D2187" s="186" t="n">
        <v>98695.714007826</v>
      </c>
      <c r="E2187" s="188" t="n">
        <v>1951173788529.12</v>
      </c>
      <c r="F2187" s="188" t="n">
        <v>49169088282.1574</v>
      </c>
    </row>
    <row r="2188" ht="15" customHeight="1" s="95">
      <c r="A2188" s="143" t="n">
        <v>45652</v>
      </c>
      <c r="B2188" s="94" t="n">
        <v>2024</v>
      </c>
      <c r="C2188" s="94" t="inlineStr">
        <is>
          <t>2024-Q4</t>
        </is>
      </c>
      <c r="D2188" s="186" t="n">
        <v>99344.9541736723</v>
      </c>
      <c r="E2188" s="188" t="n">
        <v>1966481159354.12</v>
      </c>
      <c r="F2188" s="188" t="n">
        <v>33963749856.4474</v>
      </c>
    </row>
    <row r="2189" ht="15" customHeight="1" s="95">
      <c r="A2189" s="143" t="n">
        <v>45653</v>
      </c>
      <c r="B2189" s="94" t="n">
        <v>2024</v>
      </c>
      <c r="C2189" s="94" t="inlineStr">
        <is>
          <t>2024-Q4</t>
        </is>
      </c>
      <c r="D2189" s="186" t="n">
        <v>95678.3124456541</v>
      </c>
      <c r="E2189" s="188" t="n">
        <v>1894744251986.11</v>
      </c>
      <c r="F2189" s="188" t="n">
        <v>45049342388.1884</v>
      </c>
    </row>
    <row r="2190" ht="15" customHeight="1" s="95">
      <c r="A2190" s="143" t="n">
        <v>45654</v>
      </c>
      <c r="B2190" s="94" t="n">
        <v>2024</v>
      </c>
      <c r="C2190" s="94" t="inlineStr">
        <is>
          <t>2024-Q4</t>
        </is>
      </c>
      <c r="D2190" s="186" t="n">
        <v>94331.9472705308</v>
      </c>
      <c r="E2190" s="188" t="n">
        <v>1867708753554.92</v>
      </c>
      <c r="F2190" s="188" t="n">
        <v>41498540807.667</v>
      </c>
    </row>
    <row r="2191" ht="15" customHeight="1" s="95">
      <c r="A2191" s="143" t="n">
        <v>45655</v>
      </c>
      <c r="B2191" s="94" t="n">
        <v>2024</v>
      </c>
      <c r="C2191" s="94" t="inlineStr">
        <is>
          <t>2024-Q4</t>
        </is>
      </c>
      <c r="D2191" s="186" t="n">
        <v>95184.61945288601</v>
      </c>
      <c r="E2191" s="188" t="n">
        <v>1885556552231.43</v>
      </c>
      <c r="F2191" s="188" t="n">
        <v>22429850903.9401</v>
      </c>
    </row>
    <row r="2192" ht="15" customHeight="1" s="95">
      <c r="A2192" s="143" t="n">
        <v>45656</v>
      </c>
      <c r="B2192" s="94" t="n">
        <v>2024</v>
      </c>
      <c r="C2192" s="94" t="inlineStr">
        <is>
          <t>2024-Q4</t>
        </is>
      </c>
      <c r="D2192" s="186" t="n">
        <v>93663.4475196407</v>
      </c>
      <c r="E2192" s="188" t="n">
        <v>1854872605738.81</v>
      </c>
      <c r="F2192" s="188" t="n">
        <v>24065314499.5023</v>
      </c>
    </row>
    <row r="2193" ht="15" customHeight="1" s="95">
      <c r="A2193" s="143" t="n">
        <v>45657</v>
      </c>
      <c r="B2193" s="94" t="n">
        <v>2024</v>
      </c>
      <c r="C2193" s="94" t="inlineStr">
        <is>
          <t>2024-Q4</t>
        </is>
      </c>
      <c r="D2193" s="186" t="n">
        <v>92627.2821311328</v>
      </c>
      <c r="E2193" s="188" t="n">
        <v>1833188187477.53</v>
      </c>
      <c r="F2193" s="188" t="n">
        <v>57595164139.4709</v>
      </c>
    </row>
    <row r="2194" ht="15" customHeight="1" s="95">
      <c r="A2194" s="143" t="n">
        <v>45658</v>
      </c>
      <c r="B2194" s="94" t="n">
        <v>2025</v>
      </c>
      <c r="C2194" s="94" t="inlineStr">
        <is>
          <t>2025-Q1</t>
        </is>
      </c>
      <c r="D2194" s="186" t="n">
        <v>93507.8587474149</v>
      </c>
      <c r="E2194" s="188" t="n">
        <v>1851839954625.13</v>
      </c>
      <c r="F2194" s="188" t="n">
        <v>45327464907.7436</v>
      </c>
    </row>
    <row r="2195" ht="15" customHeight="1" s="95">
      <c r="A2195" s="143" t="n">
        <v>45659</v>
      </c>
      <c r="B2195" s="94" t="n">
        <v>2025</v>
      </c>
      <c r="C2195" s="94" t="inlineStr">
        <is>
          <t>2025-Q1</t>
        </is>
      </c>
      <c r="D2195" s="186" t="n">
        <v>94384.1761153871</v>
      </c>
      <c r="E2195" s="188" t="n">
        <v>1869193319140.24</v>
      </c>
      <c r="F2195" s="188" t="n">
        <v>23275007789.4963</v>
      </c>
    </row>
    <row r="2196" ht="15" customHeight="1" s="95">
      <c r="A2196" s="143" t="n">
        <v>45660</v>
      </c>
      <c r="B2196" s="94" t="n">
        <v>2025</v>
      </c>
      <c r="C2196" s="94" t="inlineStr">
        <is>
          <t>2025-Q1</t>
        </is>
      </c>
      <c r="D2196" s="186" t="n">
        <v>96852.14681235079</v>
      </c>
      <c r="E2196" s="188" t="n">
        <v>1917905016063.62</v>
      </c>
      <c r="F2196" s="188" t="n">
        <v>45157338602.6175</v>
      </c>
    </row>
    <row r="2197" ht="15" customHeight="1" s="95">
      <c r="A2197" s="143" t="n">
        <v>45661</v>
      </c>
      <c r="B2197" s="94" t="n">
        <v>2025</v>
      </c>
      <c r="C2197" s="94" t="inlineStr">
        <is>
          <t>2025-Q1</t>
        </is>
      </c>
      <c r="D2197" s="186" t="n">
        <v>98084.3427928075</v>
      </c>
      <c r="E2197" s="188" t="n">
        <v>1942834829349.96</v>
      </c>
      <c r="F2197" s="188" t="n">
        <v>35721645948.1005</v>
      </c>
    </row>
    <row r="2198" ht="15" customHeight="1" s="95">
      <c r="A2198" s="143" t="n">
        <v>45662</v>
      </c>
      <c r="B2198" s="94" t="n">
        <v>2025</v>
      </c>
      <c r="C2198" s="94" t="inlineStr">
        <is>
          <t>2025-Q1</t>
        </is>
      </c>
      <c r="D2198" s="186" t="n">
        <v>98256.7387684993</v>
      </c>
      <c r="E2198" s="188" t="n">
        <v>1946611205641.35</v>
      </c>
      <c r="F2198" s="188" t="n">
        <v>20979035420.9808</v>
      </c>
    </row>
    <row r="2199" ht="15" customHeight="1" s="95">
      <c r="A2199" s="143" t="n">
        <v>45663</v>
      </c>
      <c r="B2199" s="94" t="n">
        <v>2025</v>
      </c>
      <c r="C2199" s="94" t="inlineStr">
        <is>
          <t>2025-Q1</t>
        </is>
      </c>
      <c r="D2199" s="186" t="n">
        <v>98364.5894659984</v>
      </c>
      <c r="E2199" s="188" t="n">
        <v>1948339898718.86</v>
      </c>
      <c r="F2199" s="188" t="n">
        <v>20060293834.7155</v>
      </c>
    </row>
    <row r="2200" ht="15" customHeight="1" s="95">
      <c r="A2200" s="143" t="n">
        <v>45664</v>
      </c>
      <c r="B2200" s="94" t="n">
        <v>2025</v>
      </c>
      <c r="C2200" s="94" t="inlineStr">
        <is>
          <t>2025-Q1</t>
        </is>
      </c>
      <c r="D2200" s="186" t="n">
        <v>102229.394531897</v>
      </c>
      <c r="E2200" s="188" t="n">
        <v>2024825178619.82</v>
      </c>
      <c r="F2200" s="188" t="n">
        <v>46111387334.4617</v>
      </c>
    </row>
    <row r="2201" ht="15" customHeight="1" s="95">
      <c r="A2201" s="143" t="n">
        <v>45665</v>
      </c>
      <c r="B2201" s="94" t="n">
        <v>2025</v>
      </c>
      <c r="C2201" s="94" t="inlineStr">
        <is>
          <t>2025-Q1</t>
        </is>
      </c>
      <c r="D2201" s="186" t="n">
        <v>96952.09886774961</v>
      </c>
      <c r="E2201" s="188" t="n">
        <v>1919133187081.31</v>
      </c>
      <c r="F2201" s="188" t="n">
        <v>60610257147.1541</v>
      </c>
    </row>
    <row r="2202" ht="15" customHeight="1" s="95">
      <c r="A2202" s="143" t="n">
        <v>45666</v>
      </c>
      <c r="B2202" s="94" t="n">
        <v>2025</v>
      </c>
      <c r="C2202" s="94" t="inlineStr">
        <is>
          <t>2025-Q1</t>
        </is>
      </c>
      <c r="D2202" s="186" t="n">
        <v>95016.71440989181</v>
      </c>
      <c r="E2202" s="188" t="n">
        <v>1885313354913.72</v>
      </c>
      <c r="F2202" s="188" t="n">
        <v>65790469838.3439</v>
      </c>
    </row>
    <row r="2203" ht="15" customHeight="1" s="95">
      <c r="A2203" s="143" t="n">
        <v>45667</v>
      </c>
      <c r="B2203" s="94" t="n">
        <v>2025</v>
      </c>
      <c r="C2203" s="94" t="inlineStr">
        <is>
          <t>2025-Q1</t>
        </is>
      </c>
      <c r="D2203" s="186" t="n">
        <v>92376.27578346099</v>
      </c>
      <c r="E2203" s="188" t="n">
        <v>1832933628117.94</v>
      </c>
      <c r="F2203" s="188" t="n">
        <v>65850881574.7618</v>
      </c>
    </row>
    <row r="2204" ht="15" customHeight="1" s="95">
      <c r="A2204" s="143" t="n">
        <v>45668</v>
      </c>
      <c r="B2204" s="94" t="n">
        <v>2025</v>
      </c>
      <c r="C2204" s="94" t="inlineStr">
        <is>
          <t>2025-Q1</t>
        </is>
      </c>
      <c r="D2204" s="186" t="n">
        <v>94736.62674209689</v>
      </c>
      <c r="E2204" s="188" t="n">
        <v>1876836759923.4</v>
      </c>
      <c r="F2204" s="188" t="n">
        <v>63433655716.7571</v>
      </c>
    </row>
    <row r="2205" ht="15" customHeight="1" s="95">
      <c r="A2205" s="143" t="n">
        <v>45669</v>
      </c>
      <c r="B2205" s="94" t="n">
        <v>2025</v>
      </c>
      <c r="C2205" s="94" t="inlineStr">
        <is>
          <t>2025-Q1</t>
        </is>
      </c>
      <c r="D2205" s="186" t="n">
        <v>94559.5516722421</v>
      </c>
      <c r="E2205" s="188" t="n">
        <v>1874286243377.85</v>
      </c>
      <c r="F2205" s="188" t="n">
        <v>17836423168.4163</v>
      </c>
    </row>
    <row r="2206" ht="15" customHeight="1" s="95">
      <c r="A2206" s="143" t="n">
        <v>45670</v>
      </c>
      <c r="B2206" s="94" t="n">
        <v>2025</v>
      </c>
      <c r="C2206" s="94" t="inlineStr">
        <is>
          <t>2025-Q1</t>
        </is>
      </c>
      <c r="D2206" s="186" t="n">
        <v>94454.7708963881</v>
      </c>
      <c r="E2206" s="188" t="n">
        <v>1870314882306.92</v>
      </c>
      <c r="F2206" s="188" t="n">
        <v>19608932595.533</v>
      </c>
    </row>
    <row r="2207" ht="15" customHeight="1" s="95">
      <c r="A2207" s="143" t="n">
        <v>45671</v>
      </c>
      <c r="B2207" s="94" t="n">
        <v>2025</v>
      </c>
      <c r="C2207" s="94" t="inlineStr">
        <is>
          <t>2025-Q1</t>
        </is>
      </c>
      <c r="D2207" s="186" t="n">
        <v>94456.3493746993</v>
      </c>
      <c r="E2207" s="188" t="n">
        <v>1870609367804.82</v>
      </c>
      <c r="F2207" s="188" t="n">
        <v>76328330233.3114</v>
      </c>
    </row>
    <row r="2208" ht="15" customHeight="1" s="95">
      <c r="A2208" s="143" t="n">
        <v>45672</v>
      </c>
      <c r="B2208" s="94" t="n">
        <v>2025</v>
      </c>
      <c r="C2208" s="94" t="inlineStr">
        <is>
          <t>2025-Q1</t>
        </is>
      </c>
      <c r="D2208" s="186" t="n">
        <v>96574.0776879919</v>
      </c>
      <c r="E2208" s="188" t="n">
        <v>1912603332624.11</v>
      </c>
      <c r="F2208" s="188" t="n">
        <v>51241728228.8172</v>
      </c>
    </row>
    <row r="2209" ht="15" customHeight="1" s="95">
      <c r="A2209" s="143" t="n">
        <v>45673</v>
      </c>
      <c r="B2209" s="94" t="n">
        <v>2025</v>
      </c>
      <c r="C2209" s="94" t="inlineStr">
        <is>
          <t>2025-Q1</t>
        </is>
      </c>
      <c r="D2209" s="186" t="n">
        <v>100313.152398284</v>
      </c>
      <c r="E2209" s="188" t="n">
        <v>1986831430651.87</v>
      </c>
      <c r="F2209" s="188" t="n">
        <v>57637319739.5434</v>
      </c>
    </row>
    <row r="2210" ht="15" customHeight="1" s="95">
      <c r="A2210" s="143" t="n">
        <v>45674</v>
      </c>
      <c r="B2210" s="94" t="n">
        <v>2025</v>
      </c>
      <c r="C2210" s="94" t="inlineStr">
        <is>
          <t>2025-Q1</t>
        </is>
      </c>
      <c r="D2210" s="186" t="n">
        <v>100044.579267764</v>
      </c>
      <c r="E2210" s="188" t="n">
        <v>1980935754458.28</v>
      </c>
      <c r="F2210" s="188" t="n">
        <v>50150102497.2729</v>
      </c>
    </row>
    <row r="2211" ht="15" customHeight="1" s="95">
      <c r="A2211" s="143" t="n">
        <v>45675</v>
      </c>
      <c r="B2211" s="94" t="n">
        <v>2025</v>
      </c>
      <c r="C2211" s="94" t="inlineStr">
        <is>
          <t>2025-Q1</t>
        </is>
      </c>
      <c r="D2211" s="186" t="n">
        <v>104160.693584842</v>
      </c>
      <c r="E2211" s="188" t="n">
        <v>2063854663834.08</v>
      </c>
      <c r="F2211" s="188" t="n">
        <v>69135117732.0006</v>
      </c>
    </row>
    <row r="2212" ht="15" customHeight="1" s="95">
      <c r="A2212" s="143" t="n">
        <v>45676</v>
      </c>
      <c r="B2212" s="94" t="n">
        <v>2025</v>
      </c>
      <c r="C2212" s="94" t="inlineStr">
        <is>
          <t>2025-Q1</t>
        </is>
      </c>
      <c r="D2212" s="186" t="n">
        <v>104334.615757244</v>
      </c>
      <c r="E2212" s="188" t="n">
        <v>2067151195362.04</v>
      </c>
      <c r="F2212" s="188" t="n">
        <v>49416447749.1305</v>
      </c>
    </row>
    <row r="2213" ht="15" customHeight="1" s="95">
      <c r="A2213" s="143" t="n">
        <v>45677</v>
      </c>
      <c r="B2213" s="94" t="n">
        <v>2025</v>
      </c>
      <c r="C2213" s="94" t="inlineStr">
        <is>
          <t>2025-Q1</t>
        </is>
      </c>
      <c r="D2213" s="186" t="n">
        <v>101275.337148142</v>
      </c>
      <c r="E2213" s="188" t="n">
        <v>2014842808849.5</v>
      </c>
      <c r="F2213" s="188" t="n">
        <v>72970313683.92329</v>
      </c>
    </row>
    <row r="2214" ht="15" customHeight="1" s="95">
      <c r="A2214" s="143" t="n">
        <v>45678</v>
      </c>
      <c r="B2214" s="94" t="n">
        <v>2025</v>
      </c>
      <c r="C2214" s="94" t="inlineStr">
        <is>
          <t>2025-Q1</t>
        </is>
      </c>
      <c r="D2214" s="186" t="n">
        <v>101764.908601706</v>
      </c>
      <c r="E2214" s="188" t="n">
        <v>2017837068202.14</v>
      </c>
      <c r="F2214" s="188" t="n">
        <v>120158523166.884</v>
      </c>
    </row>
    <row r="2215" ht="15" customHeight="1" s="95">
      <c r="A2215" s="143" t="n">
        <v>45679</v>
      </c>
      <c r="B2215" s="94" t="n">
        <v>2025</v>
      </c>
      <c r="C2215" s="94" t="inlineStr">
        <is>
          <t>2025-Q1</t>
        </is>
      </c>
      <c r="D2215" s="186" t="n">
        <v>106182.236820182</v>
      </c>
      <c r="E2215" s="188" t="n">
        <v>2098829000928.49</v>
      </c>
      <c r="F2215" s="188" t="n">
        <v>95344290057.8965</v>
      </c>
    </row>
    <row r="2216" ht="15" customHeight="1" s="95">
      <c r="A2216" s="143" t="n">
        <v>45680</v>
      </c>
      <c r="B2216" s="94" t="n">
        <v>2025</v>
      </c>
      <c r="C2216" s="94" t="inlineStr">
        <is>
          <t>2025-Q1</t>
        </is>
      </c>
      <c r="D2216" s="186" t="n">
        <v>103673.535095378</v>
      </c>
      <c r="E2216" s="188" t="n">
        <v>2054288661793.98</v>
      </c>
      <c r="F2216" s="188" t="n">
        <v>55030669602.5656</v>
      </c>
    </row>
    <row r="2217" ht="15" customHeight="1" s="95">
      <c r="A2217" s="143" t="n">
        <v>45681</v>
      </c>
      <c r="B2217" s="94" t="n">
        <v>2025</v>
      </c>
      <c r="C2217" s="94" t="inlineStr">
        <is>
          <t>2025-Q1</t>
        </is>
      </c>
      <c r="D2217" s="186" t="n">
        <v>104067.60991207</v>
      </c>
      <c r="E2217" s="188" t="n">
        <v>2062360759045</v>
      </c>
      <c r="F2217" s="188" t="n">
        <v>102455227371.208</v>
      </c>
    </row>
    <row r="2218" ht="15" customHeight="1" s="95">
      <c r="A2218" s="143" t="n">
        <v>45682</v>
      </c>
      <c r="B2218" s="94" t="n">
        <v>2025</v>
      </c>
      <c r="C2218" s="94" t="inlineStr">
        <is>
          <t>2025-Q1</t>
        </is>
      </c>
      <c r="D2218" s="186" t="n">
        <v>104835.19253556</v>
      </c>
      <c r="E2218" s="188" t="n">
        <v>2076156720642.79</v>
      </c>
      <c r="F2218" s="188" t="n">
        <v>51418786362.7815</v>
      </c>
    </row>
    <row r="2219" ht="15" customHeight="1" s="95">
      <c r="A2219" s="143" t="n">
        <v>45683</v>
      </c>
      <c r="B2219" s="94" t="n">
        <v>2025</v>
      </c>
      <c r="C2219" s="94" t="inlineStr">
        <is>
          <t>2025-Q1</t>
        </is>
      </c>
      <c r="D2219" s="186" t="n">
        <v>104796.040777382</v>
      </c>
      <c r="E2219" s="188" t="n">
        <v>2077647817531.34</v>
      </c>
      <c r="F2219" s="188" t="n">
        <v>22740744964.7193</v>
      </c>
    </row>
    <row r="2220" ht="15" customHeight="1" s="95">
      <c r="A2220" s="143" t="n">
        <v>45684</v>
      </c>
      <c r="B2220" s="94" t="n">
        <v>2025</v>
      </c>
      <c r="C2220" s="94" t="inlineStr">
        <is>
          <t>2025-Q1</t>
        </is>
      </c>
      <c r="D2220" s="186" t="n">
        <v>102552.248742802</v>
      </c>
      <c r="E2220" s="188" t="n">
        <v>2036324005947.41</v>
      </c>
      <c r="F2220" s="188" t="n">
        <v>20639818380.2694</v>
      </c>
    </row>
    <row r="2221" ht="15" customHeight="1" s="95">
      <c r="A2221" s="143" t="n">
        <v>45685</v>
      </c>
      <c r="B2221" s="94" t="n">
        <v>2025</v>
      </c>
      <c r="C2221" s="94" t="inlineStr">
        <is>
          <t>2025-Q1</t>
        </is>
      </c>
      <c r="D2221" s="186" t="n">
        <v>101958.469537456</v>
      </c>
      <c r="E2221" s="188" t="n">
        <v>2019295541213.53</v>
      </c>
      <c r="F2221" s="188" t="n">
        <v>93191643783.24741</v>
      </c>
    </row>
    <row r="2222" ht="15" customHeight="1" s="95">
      <c r="A2222" s="143" t="n">
        <v>45686</v>
      </c>
      <c r="B2222" s="94" t="n">
        <v>2025</v>
      </c>
      <c r="C2222" s="94" t="inlineStr">
        <is>
          <t>2025-Q1</t>
        </is>
      </c>
      <c r="D2222" s="186" t="n">
        <v>101313.112644983</v>
      </c>
      <c r="E2222" s="188" t="n">
        <v>2007072201507.53</v>
      </c>
      <c r="F2222" s="188" t="n">
        <v>45780526813.5626</v>
      </c>
    </row>
    <row r="2223" ht="15" customHeight="1" s="95">
      <c r="A2223" s="143" t="n">
        <v>45687</v>
      </c>
      <c r="B2223" s="94" t="n">
        <v>2025</v>
      </c>
      <c r="C2223" s="94" t="inlineStr">
        <is>
          <t>2025-Q1</t>
        </is>
      </c>
      <c r="D2223" s="186" t="n">
        <v>103718.979398136</v>
      </c>
      <c r="E2223" s="188" t="n">
        <v>2056581551171.7</v>
      </c>
      <c r="F2223" s="188" t="n">
        <v>47425401641.5309</v>
      </c>
    </row>
    <row r="2224" ht="15" customHeight="1" s="95">
      <c r="A2224" s="143" t="n">
        <v>45688</v>
      </c>
      <c r="B2224" s="94" t="n">
        <v>2025</v>
      </c>
      <c r="C2224" s="94" t="inlineStr">
        <is>
          <t>2025-Q1</t>
        </is>
      </c>
      <c r="D2224" s="186" t="n">
        <v>104781.51351001</v>
      </c>
      <c r="E2224" s="188" t="n">
        <v>2076760153260.62</v>
      </c>
      <c r="F2224" s="188" t="n">
        <v>42122570869.0343</v>
      </c>
    </row>
    <row r="2225" ht="15" customHeight="1" s="95">
      <c r="A2225" s="143" t="n">
        <v>45689</v>
      </c>
      <c r="B2225" s="94" t="n">
        <v>2025</v>
      </c>
      <c r="C2225" s="94" t="inlineStr">
        <is>
          <t>2025-Q1</t>
        </is>
      </c>
      <c r="D2225" s="186" t="n">
        <v>102382.394097222</v>
      </c>
      <c r="E2225" s="188" t="n">
        <v>2028504133577.49</v>
      </c>
      <c r="F2225" s="188" t="n">
        <v>37187819228.3533</v>
      </c>
    </row>
    <row r="2226" ht="15" customHeight="1" s="95">
      <c r="A2226" s="143" t="n">
        <v>45690</v>
      </c>
      <c r="B2226" s="94" t="n">
        <v>2025</v>
      </c>
      <c r="C2226" s="94" t="inlineStr">
        <is>
          <t>2025-Q1</t>
        </is>
      </c>
      <c r="D2226" s="186" t="n">
        <v>100674.78762545</v>
      </c>
      <c r="E2226" s="188" t="n">
        <v>1996423711261.73</v>
      </c>
      <c r="F2226" s="188" t="n">
        <v>22827776122.4837</v>
      </c>
    </row>
    <row r="2227" ht="15" customHeight="1" s="95">
      <c r="A2227" s="143" t="n">
        <v>45691</v>
      </c>
      <c r="B2227" s="94" t="n">
        <v>2025</v>
      </c>
      <c r="C2227" s="94" t="inlineStr">
        <is>
          <t>2025-Q1</t>
        </is>
      </c>
      <c r="D2227" s="186" t="n">
        <v>97568.31653024881</v>
      </c>
      <c r="E2227" s="188" t="n">
        <v>1933691439792.25</v>
      </c>
      <c r="F2227" s="188" t="n">
        <v>59784234332.212</v>
      </c>
    </row>
    <row r="2228" ht="15" customHeight="1" s="95">
      <c r="A2228" s="143" t="n">
        <v>45692</v>
      </c>
      <c r="B2228" s="94" t="n">
        <v>2025</v>
      </c>
      <c r="C2228" s="94" t="inlineStr">
        <is>
          <t>2025-Q1</t>
        </is>
      </c>
      <c r="D2228" s="186" t="n">
        <v>101466.860665704</v>
      </c>
      <c r="E2228" s="188" t="n">
        <v>2011121374511.88</v>
      </c>
      <c r="F2228" s="188" t="n">
        <v>122163969235.237</v>
      </c>
    </row>
    <row r="2229" ht="15" customHeight="1" s="95">
      <c r="A2229" s="143" t="n">
        <v>45693</v>
      </c>
      <c r="B2229" s="94" t="n">
        <v>2025</v>
      </c>
      <c r="C2229" s="94" t="inlineStr">
        <is>
          <t>2025-Q1</t>
        </is>
      </c>
      <c r="D2229" s="186" t="n">
        <v>98118.43921664471</v>
      </c>
      <c r="E2229" s="188" t="n">
        <v>1943535291172.16</v>
      </c>
      <c r="F2229" s="188" t="n">
        <v>73196693057.98109</v>
      </c>
    </row>
    <row r="2230" ht="15" customHeight="1" s="95">
      <c r="A2230" s="143" t="n">
        <v>45694</v>
      </c>
      <c r="B2230" s="94" t="n">
        <v>2025</v>
      </c>
      <c r="C2230" s="94" t="inlineStr">
        <is>
          <t>2025-Q1</t>
        </is>
      </c>
      <c r="D2230" s="186" t="n">
        <v>96582.88682919049</v>
      </c>
      <c r="E2230" s="188" t="n">
        <v>1912584628590.31</v>
      </c>
      <c r="F2230" s="188" t="n">
        <v>48848958931.7923</v>
      </c>
    </row>
    <row r="2231" ht="15" customHeight="1" s="95">
      <c r="A2231" s="143" t="n">
        <v>45695</v>
      </c>
      <c r="B2231" s="94" t="n">
        <v>2025</v>
      </c>
      <c r="C2231" s="94" t="inlineStr">
        <is>
          <t>2025-Q1</t>
        </is>
      </c>
      <c r="D2231" s="186" t="n">
        <v>96635.4187533221</v>
      </c>
      <c r="E2231" s="188" t="n">
        <v>1915093756057.56</v>
      </c>
      <c r="F2231" s="188" t="n">
        <v>44462180396.1725</v>
      </c>
    </row>
    <row r="2232" ht="15" customHeight="1" s="95">
      <c r="A2232" s="143" t="n">
        <v>45696</v>
      </c>
      <c r="B2232" s="94" t="n">
        <v>2025</v>
      </c>
      <c r="C2232" s="94" t="inlineStr">
        <is>
          <t>2025-Q1</t>
        </is>
      </c>
      <c r="D2232" s="186" t="n">
        <v>96558.4563096667</v>
      </c>
      <c r="E2232" s="188" t="n">
        <v>1911296376425.36</v>
      </c>
      <c r="F2232" s="188" t="n">
        <v>57077722340.2242</v>
      </c>
    </row>
    <row r="2233" ht="15" customHeight="1" s="95">
      <c r="A2233" s="143" t="n">
        <v>45697</v>
      </c>
      <c r="B2233" s="94" t="n">
        <v>2025</v>
      </c>
      <c r="C2233" s="94" t="inlineStr">
        <is>
          <t>2025-Q1</t>
        </is>
      </c>
      <c r="D2233" s="186" t="n">
        <v>96558.23762501089</v>
      </c>
      <c r="E2233" s="188" t="n">
        <v>1914211835440.12</v>
      </c>
      <c r="F2233" s="188" t="n">
        <v>20760850644.846</v>
      </c>
    </row>
    <row r="2234" ht="15" customHeight="1" s="95">
      <c r="A2234" s="143" t="n">
        <v>45698</v>
      </c>
      <c r="B2234" s="94" t="n">
        <v>2025</v>
      </c>
      <c r="C2234" s="94" t="inlineStr">
        <is>
          <t>2025-Q1</t>
        </is>
      </c>
      <c r="D2234" s="186" t="n">
        <v>96548.57865379591</v>
      </c>
      <c r="E2234" s="188" t="n">
        <v>1913068773356.08</v>
      </c>
      <c r="F2234" s="188" t="n">
        <v>25457107581.052</v>
      </c>
    </row>
    <row r="2235" ht="15" customHeight="1" s="95">
      <c r="A2235" s="143" t="n">
        <v>45699</v>
      </c>
      <c r="B2235" s="94" t="n">
        <v>2025</v>
      </c>
      <c r="C2235" s="94" t="inlineStr">
        <is>
          <t>2025-Q1</t>
        </is>
      </c>
      <c r="D2235" s="186" t="n">
        <v>97399.981613832</v>
      </c>
      <c r="E2235" s="188" t="n">
        <v>1930742951090.37</v>
      </c>
      <c r="F2235" s="188" t="n">
        <v>37054987393.5779</v>
      </c>
    </row>
    <row r="2236" ht="15" customHeight="1" s="95">
      <c r="A2236" s="143" t="n">
        <v>45700</v>
      </c>
      <c r="B2236" s="94" t="n">
        <v>2025</v>
      </c>
      <c r="C2236" s="94" t="inlineStr">
        <is>
          <t>2025-Q1</t>
        </is>
      </c>
      <c r="D2236" s="186" t="n">
        <v>95739.9773707924</v>
      </c>
      <c r="E2236" s="188" t="n">
        <v>1898788887978.33</v>
      </c>
      <c r="F2236" s="188" t="n">
        <v>36454577154.5622</v>
      </c>
    </row>
    <row r="2237" ht="15" customHeight="1" s="95">
      <c r="A2237" s="143" t="n">
        <v>45701</v>
      </c>
      <c r="B2237" s="94" t="n">
        <v>2025</v>
      </c>
      <c r="C2237" s="94" t="inlineStr">
        <is>
          <t>2025-Q1</t>
        </is>
      </c>
      <c r="D2237" s="186" t="n">
        <v>97836.1885612748</v>
      </c>
      <c r="E2237" s="188" t="n">
        <v>1936842454814</v>
      </c>
      <c r="F2237" s="188" t="n">
        <v>47115618235.1905</v>
      </c>
    </row>
    <row r="2238" ht="15" customHeight="1" s="95">
      <c r="A2238" s="143" t="n">
        <v>45702</v>
      </c>
      <c r="B2238" s="94" t="n">
        <v>2025</v>
      </c>
      <c r="C2238" s="94" t="inlineStr">
        <is>
          <t>2025-Q1</t>
        </is>
      </c>
      <c r="D2238" s="186" t="n">
        <v>96561.6639990985</v>
      </c>
      <c r="E2238" s="188" t="n">
        <v>1914315097486.39</v>
      </c>
      <c r="F2238" s="188" t="n">
        <v>29084371910.6906</v>
      </c>
    </row>
    <row r="2239" ht="15" customHeight="1" s="95">
      <c r="A2239" s="143" t="n">
        <v>45703</v>
      </c>
      <c r="B2239" s="94" t="n">
        <v>2025</v>
      </c>
      <c r="C2239" s="94" t="inlineStr">
        <is>
          <t>2025-Q1</t>
        </is>
      </c>
      <c r="D2239" s="186" t="n">
        <v>97488.48148536459</v>
      </c>
      <c r="E2239" s="188" t="n">
        <v>1931656846871.49</v>
      </c>
      <c r="F2239" s="188" t="n">
        <v>32289906944.9286</v>
      </c>
    </row>
    <row r="2240" ht="15" customHeight="1" s="95">
      <c r="A2240" s="143" t="n">
        <v>45704</v>
      </c>
      <c r="B2240" s="94" t="n">
        <v>2025</v>
      </c>
      <c r="C2240" s="94" t="inlineStr">
        <is>
          <t>2025-Q1</t>
        </is>
      </c>
      <c r="D2240" s="186" t="n">
        <v>97569.95169430471</v>
      </c>
      <c r="E2240" s="188" t="n">
        <v>1934308378710.29</v>
      </c>
      <c r="F2240" s="188" t="n">
        <v>14215311318.3463</v>
      </c>
    </row>
    <row r="2241" ht="15" customHeight="1" s="95">
      <c r="A2241" s="143" t="n">
        <v>45705</v>
      </c>
      <c r="B2241" s="94" t="n">
        <v>2025</v>
      </c>
      <c r="C2241" s="94" t="inlineStr">
        <is>
          <t>2025-Q1</t>
        </is>
      </c>
      <c r="D2241" s="186" t="n">
        <v>96149.3484548204</v>
      </c>
      <c r="E2241" s="188" t="n">
        <v>1905012222220.37</v>
      </c>
      <c r="F2241" s="188" t="n">
        <v>13634794998.7393</v>
      </c>
    </row>
    <row r="2242" ht="15" customHeight="1" s="95">
      <c r="A2242" s="143" t="n">
        <v>45706</v>
      </c>
      <c r="B2242" s="94" t="n">
        <v>2025</v>
      </c>
      <c r="C2242" s="94" t="inlineStr">
        <is>
          <t>2025-Q1</t>
        </is>
      </c>
      <c r="D2242" s="186" t="n">
        <v>95776.1572385272</v>
      </c>
      <c r="E2242" s="188" t="n">
        <v>1898997753781.95</v>
      </c>
      <c r="F2242" s="188" t="n">
        <v>25324374113.0816</v>
      </c>
    </row>
    <row r="2243" ht="15" customHeight="1" s="95">
      <c r="A2243" s="143" t="n">
        <v>45707</v>
      </c>
      <c r="B2243" s="94" t="n">
        <v>2025</v>
      </c>
      <c r="C2243" s="94" t="inlineStr">
        <is>
          <t>2025-Q1</t>
        </is>
      </c>
      <c r="D2243" s="186" t="n">
        <v>95495.8915329929</v>
      </c>
      <c r="E2243" s="188" t="n">
        <v>1892702154844.51</v>
      </c>
      <c r="F2243" s="188" t="n">
        <v>38311133144.7294</v>
      </c>
    </row>
    <row r="2244" ht="15" customHeight="1" s="95">
      <c r="A2244" s="143" t="n">
        <v>45708</v>
      </c>
      <c r="B2244" s="94" t="n">
        <v>2025</v>
      </c>
      <c r="C2244" s="94" t="inlineStr">
        <is>
          <t>2025-Q1</t>
        </is>
      </c>
      <c r="D2244" s="186" t="n">
        <v>96554.8715625929</v>
      </c>
      <c r="E2244" s="188" t="n">
        <v>1914337919659.55</v>
      </c>
      <c r="F2244" s="188" t="n">
        <v>27703222487.3896</v>
      </c>
    </row>
    <row r="2245" ht="15" customHeight="1" s="95">
      <c r="A2245" s="143" t="n">
        <v>45709</v>
      </c>
      <c r="B2245" s="94" t="n">
        <v>2025</v>
      </c>
      <c r="C2245" s="94" t="inlineStr">
        <is>
          <t>2025-Q1</t>
        </is>
      </c>
      <c r="D2245" s="186" t="n">
        <v>98384.3173824031</v>
      </c>
      <c r="E2245" s="188" t="n">
        <v>1950376106325.32</v>
      </c>
      <c r="F2245" s="188" t="n">
        <v>24175261969.8127</v>
      </c>
    </row>
    <row r="2246" ht="15" customHeight="1" s="95">
      <c r="A2246" s="143" t="n">
        <v>45710</v>
      </c>
      <c r="B2246" s="94" t="n">
        <v>2025</v>
      </c>
      <c r="C2246" s="94" t="inlineStr">
        <is>
          <t>2025-Q1</t>
        </is>
      </c>
      <c r="D2246" s="186" t="n">
        <v>96135.1554130529</v>
      </c>
      <c r="E2246" s="188" t="n">
        <v>1906058197506.38</v>
      </c>
      <c r="F2246" s="188" t="n">
        <v>42477472950.9216</v>
      </c>
    </row>
    <row r="2247" ht="15" customHeight="1" s="95">
      <c r="A2247" s="143" t="n">
        <v>45711</v>
      </c>
      <c r="B2247" s="94" t="n">
        <v>2025</v>
      </c>
      <c r="C2247" s="94" t="inlineStr">
        <is>
          <t>2025-Q1</t>
        </is>
      </c>
      <c r="D2247" s="186" t="n">
        <v>96564.15414290239</v>
      </c>
      <c r="E2247" s="188" t="n">
        <v>1915260330870.8</v>
      </c>
      <c r="F2247" s="188" t="n">
        <v>18464415570.7621</v>
      </c>
    </row>
    <row r="2248" ht="15" customHeight="1" s="95">
      <c r="A2248" s="143" t="n">
        <v>45712</v>
      </c>
      <c r="B2248" s="94" t="n">
        <v>2025</v>
      </c>
      <c r="C2248" s="94" t="inlineStr">
        <is>
          <t>2025-Q1</t>
        </is>
      </c>
      <c r="D2248" s="186" t="n">
        <v>96327.46309127841</v>
      </c>
      <c r="E2248" s="188" t="n">
        <v>1909625674815.48</v>
      </c>
      <c r="F2248" s="188" t="n">
        <v>16643044374.9834</v>
      </c>
    </row>
    <row r="2249" ht="15" customHeight="1" s="95">
      <c r="A2249" s="143" t="n">
        <v>45713</v>
      </c>
      <c r="B2249" s="94" t="n">
        <v>2025</v>
      </c>
      <c r="C2249" s="94" t="inlineStr">
        <is>
          <t>2025-Q1</t>
        </is>
      </c>
      <c r="D2249" s="186" t="n">
        <v>91396.76686930269</v>
      </c>
      <c r="E2249" s="188" t="n">
        <v>1814176779160.44</v>
      </c>
      <c r="F2249" s="188" t="n">
        <v>45539703844.3878</v>
      </c>
    </row>
    <row r="2250" ht="15" customHeight="1" s="95">
      <c r="A2250" s="143" t="n">
        <v>45714</v>
      </c>
      <c r="B2250" s="94" t="n">
        <v>2025</v>
      </c>
      <c r="C2250" s="94" t="inlineStr">
        <is>
          <t>2025-Q1</t>
        </is>
      </c>
      <c r="D2250" s="186" t="n">
        <v>88755.7693356979</v>
      </c>
      <c r="E2250" s="188" t="n">
        <v>1759750360550.33</v>
      </c>
      <c r="F2250" s="188" t="n">
        <v>96742453402.5629</v>
      </c>
    </row>
    <row r="2251" ht="15" customHeight="1" s="95">
      <c r="A2251" s="143" t="n">
        <v>45715</v>
      </c>
      <c r="B2251" s="94" t="n">
        <v>2025</v>
      </c>
      <c r="C2251" s="94" t="inlineStr">
        <is>
          <t>2025-Q1</t>
        </is>
      </c>
      <c r="D2251" s="186" t="n">
        <v>83900.1149652484</v>
      </c>
      <c r="E2251" s="188" t="n">
        <v>1664314955447.75</v>
      </c>
      <c r="F2251" s="188" t="n">
        <v>69277430795.6866</v>
      </c>
    </row>
    <row r="2252" ht="15" customHeight="1" s="95">
      <c r="A2252" s="143" t="n">
        <v>45716</v>
      </c>
      <c r="B2252" s="94" t="n">
        <v>2025</v>
      </c>
      <c r="C2252" s="94" t="inlineStr">
        <is>
          <t>2025-Q1</t>
        </is>
      </c>
      <c r="D2252" s="186" t="n">
        <v>84709.14477847971</v>
      </c>
      <c r="E2252" s="188" t="n">
        <v>1679555320077.21</v>
      </c>
      <c r="F2252" s="188" t="n">
        <v>81960688217.7038</v>
      </c>
    </row>
    <row r="2253" ht="15" customHeight="1" s="95">
      <c r="A2253" s="143" t="n">
        <v>45717</v>
      </c>
      <c r="B2253" s="94" t="n">
        <v>2025</v>
      </c>
      <c r="C2253" s="94" t="inlineStr">
        <is>
          <t>2025-Q1</t>
        </is>
      </c>
      <c r="D2253" s="186" t="n">
        <v>84441.9012237131</v>
      </c>
      <c r="E2253" s="188" t="n">
        <v>1674754437110.34</v>
      </c>
      <c r="F2253" s="188" t="n">
        <v>80695237175.0737</v>
      </c>
    </row>
    <row r="2254" ht="15" customHeight="1" s="95">
      <c r="A2254" s="143" t="n">
        <v>45718</v>
      </c>
      <c r="B2254" s="94" t="n">
        <v>2025</v>
      </c>
      <c r="C2254" s="94" t="inlineStr">
        <is>
          <t>2025-Q1</t>
        </is>
      </c>
      <c r="D2254" s="186" t="n">
        <v>86005.2562968102</v>
      </c>
      <c r="E2254" s="188" t="n">
        <v>1705564098300.82</v>
      </c>
      <c r="F2254" s="188" t="n">
        <v>30634474722.6359</v>
      </c>
    </row>
    <row r="2255" ht="15" customHeight="1" s="95">
      <c r="A2255" s="143" t="n">
        <v>45719</v>
      </c>
      <c r="B2255" s="94" t="n">
        <v>2025</v>
      </c>
      <c r="C2255" s="94" t="inlineStr">
        <is>
          <t>2025-Q1</t>
        </is>
      </c>
      <c r="D2255" s="186" t="n">
        <v>94261.5328653844</v>
      </c>
      <c r="E2255" s="188" t="n">
        <v>1868321705444.49</v>
      </c>
      <c r="F2255" s="188" t="n">
        <v>61859112550.8099</v>
      </c>
    </row>
    <row r="2256" ht="15" customHeight="1" s="95">
      <c r="A2256" s="143" t="n">
        <v>45720</v>
      </c>
      <c r="B2256" s="94" t="n">
        <v>2025</v>
      </c>
      <c r="C2256" s="94" t="inlineStr">
        <is>
          <t>2025-Q1</t>
        </is>
      </c>
      <c r="D2256" s="186" t="n">
        <v>86124.71418722181</v>
      </c>
      <c r="E2256" s="188" t="n">
        <v>1708198960874.34</v>
      </c>
      <c r="F2256" s="188" t="n">
        <v>68715362745.4567</v>
      </c>
    </row>
    <row r="2257" ht="15" customHeight="1" s="95">
      <c r="A2257" s="143" t="n">
        <v>45721</v>
      </c>
      <c r="B2257" s="94" t="n">
        <v>2025</v>
      </c>
      <c r="C2257" s="94" t="inlineStr">
        <is>
          <t>2025-Q1</t>
        </is>
      </c>
      <c r="D2257" s="186" t="n">
        <v>87310.80531078301</v>
      </c>
      <c r="E2257" s="188" t="n">
        <v>1731441668069.65</v>
      </c>
      <c r="F2257" s="188" t="n">
        <v>65863356680.4241</v>
      </c>
    </row>
    <row r="2258" ht="15" customHeight="1" s="95">
      <c r="A2258" s="143" t="n">
        <v>45722</v>
      </c>
      <c r="B2258" s="94" t="n">
        <v>2025</v>
      </c>
      <c r="C2258" s="94" t="inlineStr">
        <is>
          <t>2025-Q1</t>
        </is>
      </c>
      <c r="D2258" s="186" t="n">
        <v>90604.0809852364</v>
      </c>
      <c r="E2258" s="188" t="n">
        <v>1797706868227.53</v>
      </c>
      <c r="F2258" s="188" t="n">
        <v>51606642859.8141</v>
      </c>
    </row>
    <row r="2259" ht="15" customHeight="1" s="95">
      <c r="A2259" s="143" t="n">
        <v>45723</v>
      </c>
      <c r="B2259" s="94" t="n">
        <v>2025</v>
      </c>
      <c r="C2259" s="94" t="inlineStr">
        <is>
          <t>2025-Q1</t>
        </is>
      </c>
      <c r="D2259" s="186" t="n">
        <v>90001.4008760704</v>
      </c>
      <c r="E2259" s="188" t="n">
        <v>1782785866811.65</v>
      </c>
      <c r="F2259" s="188" t="n">
        <v>47555759124.6471</v>
      </c>
    </row>
    <row r="2260" ht="15" customHeight="1" s="95">
      <c r="A2260" s="143" t="n">
        <v>45724</v>
      </c>
      <c r="B2260" s="94" t="n">
        <v>2025</v>
      </c>
      <c r="C2260" s="94" t="inlineStr">
        <is>
          <t>2025-Q1</t>
        </is>
      </c>
      <c r="D2260" s="186" t="n">
        <v>86773.33597555369</v>
      </c>
      <c r="E2260" s="188" t="n">
        <v>1720436931689.28</v>
      </c>
      <c r="F2260" s="188" t="n">
        <v>63216440874.7325</v>
      </c>
    </row>
    <row r="2261" ht="15" customHeight="1" s="95">
      <c r="A2261" s="143" t="n">
        <v>45725</v>
      </c>
      <c r="B2261" s="94" t="n">
        <v>2025</v>
      </c>
      <c r="C2261" s="94" t="inlineStr">
        <is>
          <t>2025-Q1</t>
        </is>
      </c>
      <c r="D2261" s="186" t="n">
        <v>86142.98335864321</v>
      </c>
      <c r="E2261" s="188" t="n">
        <v>1708605516770.23</v>
      </c>
      <c r="F2261" s="188" t="n">
        <v>18809360803.3713</v>
      </c>
    </row>
    <row r="2262" ht="15" customHeight="1" s="95">
      <c r="A2262" s="143" t="n">
        <v>45726</v>
      </c>
      <c r="B2262" s="94" t="n">
        <v>2025</v>
      </c>
      <c r="C2262" s="94" t="inlineStr">
        <is>
          <t>2025-Q1</t>
        </is>
      </c>
      <c r="D2262" s="186" t="n">
        <v>80751.138933009</v>
      </c>
      <c r="E2262" s="188" t="n">
        <v>1602073794580.03</v>
      </c>
      <c r="F2262" s="188" t="n">
        <v>32013406240.5175</v>
      </c>
    </row>
    <row r="2263" ht="15" customHeight="1" s="95">
      <c r="A2263" s="143" t="n">
        <v>45727</v>
      </c>
      <c r="B2263" s="94" t="n">
        <v>2025</v>
      </c>
      <c r="C2263" s="94" t="inlineStr">
        <is>
          <t>2025-Q1</t>
        </is>
      </c>
      <c r="D2263" s="186" t="n">
        <v>78783.9405793426</v>
      </c>
      <c r="E2263" s="188" t="n">
        <v>1563547150147.73</v>
      </c>
      <c r="F2263" s="188" t="n">
        <v>49983692766.2275</v>
      </c>
    </row>
    <row r="2264" ht="15" customHeight="1" s="95">
      <c r="A2264" s="143" t="n">
        <v>45728</v>
      </c>
      <c r="B2264" s="94" t="n">
        <v>2025</v>
      </c>
      <c r="C2264" s="94" t="inlineStr">
        <is>
          <t>2025-Q1</t>
        </is>
      </c>
      <c r="D2264" s="186" t="n">
        <v>82799.10802920529</v>
      </c>
      <c r="E2264" s="188" t="n">
        <v>1642997419531.61</v>
      </c>
      <c r="F2264" s="188" t="n">
        <v>56404462275.0831</v>
      </c>
    </row>
    <row r="2265" ht="15" customHeight="1" s="95">
      <c r="A2265" s="143" t="n">
        <v>45729</v>
      </c>
      <c r="B2265" s="94" t="n">
        <v>2025</v>
      </c>
      <c r="C2265" s="94" t="inlineStr">
        <is>
          <t>2025-Q1</t>
        </is>
      </c>
      <c r="D2265" s="186" t="n">
        <v>83884.2457882899</v>
      </c>
      <c r="E2265" s="188" t="n">
        <v>1662502658717.54</v>
      </c>
      <c r="F2265" s="188" t="n">
        <v>41782186208.5907</v>
      </c>
    </row>
    <row r="2266" ht="15" customHeight="1" s="95">
      <c r="A2266" s="143" t="n">
        <v>45730</v>
      </c>
      <c r="B2266" s="94" t="n">
        <v>2025</v>
      </c>
      <c r="C2266" s="94" t="inlineStr">
        <is>
          <t>2025-Q1</t>
        </is>
      </c>
      <c r="D2266" s="186" t="n">
        <v>81098.9005243623</v>
      </c>
      <c r="E2266" s="188" t="n">
        <v>1608477373718.19</v>
      </c>
      <c r="F2266" s="188" t="n">
        <v>32583592654.8827</v>
      </c>
    </row>
    <row r="2267" ht="15" customHeight="1" s="95">
      <c r="A2267" s="143" t="n">
        <v>45731</v>
      </c>
      <c r="B2267" s="94" t="n">
        <v>2025</v>
      </c>
      <c r="C2267" s="94" t="inlineStr">
        <is>
          <t>2025-Q1</t>
        </is>
      </c>
      <c r="D2267" s="186" t="n">
        <v>83971.70916064629</v>
      </c>
      <c r="E2267" s="188" t="n">
        <v>1665725559905.82</v>
      </c>
      <c r="F2267" s="188" t="n">
        <v>28571483950.0747</v>
      </c>
    </row>
    <row r="2268" ht="15" customHeight="1" s="95">
      <c r="A2268" s="143" t="n">
        <v>45732</v>
      </c>
      <c r="B2268" s="94" t="n">
        <v>2025</v>
      </c>
      <c r="C2268" s="94" t="inlineStr">
        <is>
          <t>2025-Q1</t>
        </is>
      </c>
      <c r="D2268" s="186" t="n">
        <v>84391.69087647169</v>
      </c>
      <c r="E2268" s="188" t="n">
        <v>1674173293916.47</v>
      </c>
      <c r="F2268" s="188" t="n">
        <v>10761796127.3125</v>
      </c>
    </row>
    <row r="2269" ht="15" customHeight="1" s="95">
      <c r="A2269" s="143" t="n">
        <v>45733</v>
      </c>
      <c r="B2269" s="94" t="n">
        <v>2025</v>
      </c>
      <c r="C2269" s="94" t="inlineStr">
        <is>
          <t>2025-Q1</t>
        </is>
      </c>
      <c r="D2269" s="186" t="n">
        <v>82610.61750343921</v>
      </c>
      <c r="E2269" s="188" t="n">
        <v>1638672153483.72</v>
      </c>
      <c r="F2269" s="188" t="n">
        <v>21638031633.1188</v>
      </c>
    </row>
    <row r="2270" ht="15" customHeight="1" s="95">
      <c r="A2270" s="143" t="n">
        <v>45734</v>
      </c>
      <c r="B2270" s="94" t="n">
        <v>2025</v>
      </c>
      <c r="C2270" s="94" t="inlineStr">
        <is>
          <t>2025-Q1</t>
        </is>
      </c>
      <c r="D2270" s="186" t="n">
        <v>84075.3655969447</v>
      </c>
      <c r="E2270" s="188" t="n">
        <v>1667799227887.44</v>
      </c>
      <c r="F2270" s="188" t="n">
        <v>19659366246.5969</v>
      </c>
    </row>
    <row r="2271" ht="15" customHeight="1" s="95">
      <c r="A2271" s="143" t="n">
        <v>45735</v>
      </c>
      <c r="B2271" s="94" t="n">
        <v>2025</v>
      </c>
      <c r="C2271" s="94" t="inlineStr">
        <is>
          <t>2025-Q1</t>
        </is>
      </c>
      <c r="D2271" s="186" t="n">
        <v>82780.03048688269</v>
      </c>
      <c r="E2271" s="188" t="n">
        <v>1642578274105.81</v>
      </c>
      <c r="F2271" s="188" t="n">
        <v>24557570268.8528</v>
      </c>
    </row>
    <row r="2272" ht="15" customHeight="1" s="95">
      <c r="A2272" s="143" t="n">
        <v>45736</v>
      </c>
      <c r="B2272" s="94" t="n">
        <v>2025</v>
      </c>
      <c r="C2272" s="94" t="inlineStr">
        <is>
          <t>2025-Q1</t>
        </is>
      </c>
      <c r="D2272" s="186" t="n">
        <v>86815.441094707</v>
      </c>
      <c r="E2272" s="188" t="n">
        <v>1721565138141.28</v>
      </c>
      <c r="F2272" s="188" t="n">
        <v>33871216993.3047</v>
      </c>
    </row>
    <row r="2273" ht="15" customHeight="1" s="95">
      <c r="A2273" s="143" t="n">
        <v>45737</v>
      </c>
      <c r="B2273" s="94" t="n">
        <v>2025</v>
      </c>
      <c r="C2273" s="94" t="inlineStr">
        <is>
          <t>2025-Q1</t>
        </is>
      </c>
      <c r="D2273" s="186" t="n">
        <v>84270.8435896623</v>
      </c>
      <c r="E2273" s="188" t="n">
        <v>1672550706502.82</v>
      </c>
      <c r="F2273" s="188" t="n">
        <v>27579127651.0666</v>
      </c>
    </row>
    <row r="2274" ht="15" customHeight="1" s="95">
      <c r="A2274" s="143" t="n">
        <v>45738</v>
      </c>
      <c r="B2274" s="94" t="n">
        <v>2025</v>
      </c>
      <c r="C2274" s="94" t="inlineStr">
        <is>
          <t>2025-Q1</t>
        </is>
      </c>
      <c r="D2274" s="186" t="n">
        <v>84009.532917822</v>
      </c>
      <c r="E2274" s="188" t="n">
        <v>1666749159154.29</v>
      </c>
      <c r="F2274" s="188" t="n">
        <v>18091004975.9191</v>
      </c>
    </row>
    <row r="2275" ht="15" customHeight="1" s="95">
      <c r="A2275" s="143" t="n">
        <v>45739</v>
      </c>
      <c r="B2275" s="94" t="n">
        <v>2025</v>
      </c>
      <c r="C2275" s="94" t="inlineStr">
        <is>
          <t>2025-Q1</t>
        </is>
      </c>
      <c r="D2275" s="186" t="n">
        <v>83793.30854192549</v>
      </c>
      <c r="E2275" s="188" t="n">
        <v>1662574363663.65</v>
      </c>
      <c r="F2275" s="188" t="n">
        <v>7771134681.98292</v>
      </c>
    </row>
    <row r="2276" ht="15" customHeight="1" s="95">
      <c r="A2276" s="143" t="n">
        <v>45740</v>
      </c>
      <c r="B2276" s="94" t="n">
        <v>2025</v>
      </c>
      <c r="C2276" s="94" t="inlineStr">
        <is>
          <t>2025-Q1</t>
        </is>
      </c>
      <c r="D2276" s="186" t="n">
        <v>85787.7091490177</v>
      </c>
      <c r="E2276" s="188" t="n">
        <v>1702009594329.45</v>
      </c>
      <c r="F2276" s="188" t="n">
        <v>12617587530.6197</v>
      </c>
    </row>
    <row r="2277" ht="15" customHeight="1" s="95">
      <c r="A2277" s="143" t="n">
        <v>45741</v>
      </c>
      <c r="B2277" s="94" t="n">
        <v>2025</v>
      </c>
      <c r="C2277" s="94" t="inlineStr">
        <is>
          <t>2025-Q1</t>
        </is>
      </c>
      <c r="D2277" s="186" t="n">
        <v>87327.72969669091</v>
      </c>
      <c r="E2277" s="188" t="n">
        <v>1732715331970.13</v>
      </c>
      <c r="F2277" s="188" t="n">
        <v>27270889835.1835</v>
      </c>
    </row>
    <row r="2278" ht="15" customHeight="1" s="95">
      <c r="A2278" s="143" t="n">
        <v>45742</v>
      </c>
      <c r="B2278" s="94" t="n">
        <v>2025</v>
      </c>
      <c r="C2278" s="94" t="inlineStr">
        <is>
          <t>2025-Q1</t>
        </is>
      </c>
      <c r="D2278" s="186" t="n">
        <v>87520.5839153056</v>
      </c>
      <c r="E2278" s="188" t="n">
        <v>1735368473904.49</v>
      </c>
      <c r="F2278" s="188" t="n">
        <v>30351832942.7056</v>
      </c>
    </row>
    <row r="2279" ht="15" customHeight="1" s="95">
      <c r="A2279" s="143" t="n">
        <v>45743</v>
      </c>
      <c r="B2279" s="94" t="n">
        <v>2025</v>
      </c>
      <c r="C2279" s="94" t="inlineStr">
        <is>
          <t>2025-Q1</t>
        </is>
      </c>
      <c r="D2279" s="186" t="n">
        <v>86960.8555491039</v>
      </c>
      <c r="E2279" s="188" t="n">
        <v>1724854479045.67</v>
      </c>
      <c r="F2279" s="188" t="n">
        <v>25522877558.7006</v>
      </c>
    </row>
    <row r="2280" ht="15" customHeight="1" s="95">
      <c r="A2280" s="143" t="n">
        <v>45744</v>
      </c>
      <c r="B2280" s="94" t="n">
        <v>2025</v>
      </c>
      <c r="C2280" s="94" t="inlineStr">
        <is>
          <t>2025-Q1</t>
        </is>
      </c>
      <c r="D2280" s="186" t="n">
        <v>87227.27158032369</v>
      </c>
      <c r="E2280" s="188" t="n">
        <v>1729729987159.48</v>
      </c>
      <c r="F2280" s="188" t="n">
        <v>24620445368.4895</v>
      </c>
    </row>
    <row r="2281" ht="15" customHeight="1" s="95">
      <c r="A2281" s="143" t="n">
        <v>45745</v>
      </c>
      <c r="B2281" s="94" t="n">
        <v>2025</v>
      </c>
      <c r="C2281" s="94" t="inlineStr">
        <is>
          <t>2025-Q1</t>
        </is>
      </c>
      <c r="D2281" s="186" t="n">
        <v>84359.4691550601</v>
      </c>
      <c r="E2281" s="188" t="n">
        <v>1673182800974.1</v>
      </c>
      <c r="F2281" s="188" t="n">
        <v>31674486232.0973</v>
      </c>
    </row>
    <row r="2282" ht="15" customHeight="1" s="95">
      <c r="A2282" s="143" t="n">
        <v>45746</v>
      </c>
      <c r="B2282" s="94" t="n">
        <v>2025</v>
      </c>
      <c r="C2282" s="94" t="inlineStr">
        <is>
          <t>2025-Q1</t>
        </is>
      </c>
      <c r="D2282" s="186" t="n">
        <v>82679.1725538505</v>
      </c>
      <c r="E2282" s="188" t="n">
        <v>1640665503855.14</v>
      </c>
      <c r="F2282" s="188" t="n">
        <v>16837439419.9244</v>
      </c>
    </row>
    <row r="2283" ht="15" customHeight="1" s="95">
      <c r="A2283" s="143" t="n">
        <v>45747</v>
      </c>
      <c r="B2283" s="94" t="n">
        <v>2025</v>
      </c>
      <c r="C2283" s="94" t="inlineStr">
        <is>
          <t>2025-Q1</t>
        </is>
      </c>
      <c r="D2283" s="186" t="n">
        <v>82356.3811118376</v>
      </c>
      <c r="E2283" s="188" t="n">
        <v>1633996304187.26</v>
      </c>
      <c r="F2283" s="188" t="n">
        <v>13428975108.0707</v>
      </c>
    </row>
    <row r="2284" ht="15" customHeight="1" s="95">
      <c r="A2284" s="143" t="n">
        <v>45748</v>
      </c>
      <c r="B2284" s="94" t="n">
        <v>2025</v>
      </c>
      <c r="C2284" s="94" t="inlineStr">
        <is>
          <t>2025-Q2</t>
        </is>
      </c>
      <c r="D2284" s="186" t="n">
        <v>82514.0936539785</v>
      </c>
      <c r="E2284" s="188" t="n">
        <v>1635076581047.35</v>
      </c>
      <c r="F2284" s="188" t="n">
        <v>30326148749.9154</v>
      </c>
    </row>
    <row r="2285" ht="15" customHeight="1" s="95">
      <c r="A2285" s="143" t="n">
        <v>45749</v>
      </c>
      <c r="B2285" s="94" t="n">
        <v>2025</v>
      </c>
      <c r="C2285" s="94" t="inlineStr">
        <is>
          <t>2025-Q2</t>
        </is>
      </c>
      <c r="D2285" s="186" t="n">
        <v>85237.5876052852</v>
      </c>
      <c r="E2285" s="188" t="n">
        <v>1690602036035.04</v>
      </c>
      <c r="F2285" s="188" t="n">
        <v>29172899851.7348</v>
      </c>
    </row>
    <row r="2286" ht="15" customHeight="1" s="95">
      <c r="A2286" s="143" t="n">
        <v>45750</v>
      </c>
      <c r="B2286" s="94" t="n">
        <v>2025</v>
      </c>
      <c r="C2286" s="94" t="inlineStr">
        <is>
          <t>2025-Q2</t>
        </is>
      </c>
      <c r="D2286" s="186" t="n">
        <v>82526.4221526433</v>
      </c>
      <c r="E2286" s="188" t="n">
        <v>1637358764747.38</v>
      </c>
      <c r="F2286" s="188" t="n">
        <v>46332905657.776</v>
      </c>
    </row>
    <row r="2287" ht="15" customHeight="1" s="95">
      <c r="A2287" s="143" t="n">
        <v>45751</v>
      </c>
      <c r="B2287" s="94" t="n">
        <v>2025</v>
      </c>
      <c r="C2287" s="94" t="inlineStr">
        <is>
          <t>2025-Q2</t>
        </is>
      </c>
      <c r="D2287" s="186" t="n">
        <v>83163.9875738772</v>
      </c>
      <c r="E2287" s="188" t="n">
        <v>1652537223074.96</v>
      </c>
      <c r="F2287" s="188" t="n">
        <v>36594464539.1466</v>
      </c>
    </row>
    <row r="2288" ht="15" customHeight="1" s="95">
      <c r="A2288" s="143" t="n">
        <v>45752</v>
      </c>
      <c r="B2288" s="94" t="n">
        <v>2025</v>
      </c>
      <c r="C2288" s="94" t="inlineStr">
        <is>
          <t>2025-Q2</t>
        </is>
      </c>
      <c r="D2288" s="186" t="n">
        <v>83852.0076539959</v>
      </c>
      <c r="E2288" s="188" t="n">
        <v>1664234880198.05</v>
      </c>
      <c r="F2288" s="188" t="n">
        <v>35647289400.4741</v>
      </c>
    </row>
    <row r="2289" ht="15" customHeight="1" s="95">
      <c r="A2289" s="143" t="n">
        <v>45753</v>
      </c>
      <c r="B2289" s="94" t="n">
        <v>2025</v>
      </c>
      <c r="C2289" s="94" t="inlineStr">
        <is>
          <t>2025-Q2</t>
        </is>
      </c>
      <c r="D2289" s="186" t="n">
        <v>83595.8855017749</v>
      </c>
      <c r="E2289" s="188" t="n">
        <v>1656020067997.19</v>
      </c>
      <c r="F2289" s="188" t="n">
        <v>14910400035.5314</v>
      </c>
    </row>
    <row r="2290" ht="15" customHeight="1" s="95">
      <c r="A2290" s="143" t="n">
        <v>45754</v>
      </c>
      <c r="B2290" s="94" t="n">
        <v>2025</v>
      </c>
      <c r="C2290" s="94" t="inlineStr">
        <is>
          <t>2025-Q2</t>
        </is>
      </c>
      <c r="D2290" s="186" t="n">
        <v>78211.4835819999</v>
      </c>
      <c r="E2290" s="188" t="n">
        <v>1555325260787.26</v>
      </c>
      <c r="F2290" s="188" t="n">
        <v>36140377231.6833</v>
      </c>
    </row>
    <row r="2291" ht="15" customHeight="1" s="95">
      <c r="A2291" s="143" t="n">
        <v>45755</v>
      </c>
      <c r="B2291" s="94" t="n">
        <v>2025</v>
      </c>
      <c r="C2291" s="94" t="inlineStr">
        <is>
          <t>2025-Q2</t>
        </is>
      </c>
      <c r="D2291" s="186" t="n">
        <v>79179.2922675778</v>
      </c>
      <c r="E2291" s="188" t="n">
        <v>1581407565278.35</v>
      </c>
      <c r="F2291" s="188" t="n">
        <v>82909748172.59219</v>
      </c>
    </row>
    <row r="2292" ht="15" customHeight="1" s="95">
      <c r="A2292" s="143" t="n">
        <v>45756</v>
      </c>
      <c r="B2292" s="94" t="n">
        <v>2025</v>
      </c>
      <c r="C2292" s="94" t="inlineStr">
        <is>
          <t>2025-Q2</t>
        </is>
      </c>
      <c r="D2292" s="186" t="n">
        <v>76329.090356324</v>
      </c>
      <c r="E2292" s="188" t="n">
        <v>1515042499757.33</v>
      </c>
      <c r="F2292" s="188" t="n">
        <v>47812787635.2263</v>
      </c>
    </row>
    <row r="2293" ht="15" customHeight="1" s="95">
      <c r="A2293" s="143" t="n">
        <v>45757</v>
      </c>
      <c r="B2293" s="94" t="n">
        <v>2025</v>
      </c>
      <c r="C2293" s="94" t="inlineStr">
        <is>
          <t>2025-Q2</t>
        </is>
      </c>
      <c r="D2293" s="186" t="n">
        <v>82622.170295463</v>
      </c>
      <c r="E2293" s="188" t="n">
        <v>1640567909122.17</v>
      </c>
      <c r="F2293" s="188" t="n">
        <v>87408220482.11571</v>
      </c>
    </row>
    <row r="2294" ht="15" customHeight="1" s="95">
      <c r="A2294" s="143" t="n">
        <v>45758</v>
      </c>
      <c r="B2294" s="94" t="n">
        <v>2025</v>
      </c>
      <c r="C2294" s="94" t="inlineStr">
        <is>
          <t>2025-Q2</t>
        </is>
      </c>
      <c r="D2294" s="186" t="n">
        <v>79596.3573225077</v>
      </c>
      <c r="E2294" s="188" t="n">
        <v>1580023209138.06</v>
      </c>
      <c r="F2294" s="188" t="n">
        <v>41213520154.2516</v>
      </c>
    </row>
    <row r="2295" ht="15" customHeight="1" s="95">
      <c r="A2295" s="143" t="n">
        <v>45759</v>
      </c>
      <c r="B2295" s="94" t="n">
        <v>2025</v>
      </c>
      <c r="C2295" s="94" t="inlineStr">
        <is>
          <t>2025-Q2</t>
        </is>
      </c>
      <c r="D2295" s="186" t="n">
        <v>83439.28818043759</v>
      </c>
      <c r="E2295" s="188" t="n">
        <v>1655868880454.17</v>
      </c>
      <c r="F2295" s="188" t="n">
        <v>39813566443.7678</v>
      </c>
    </row>
    <row r="2296" ht="15" customHeight="1" s="95">
      <c r="A2296" s="143" t="n">
        <v>45760</v>
      </c>
      <c r="B2296" s="94" t="n">
        <v>2025</v>
      </c>
      <c r="C2296" s="94" t="inlineStr">
        <is>
          <t>2025-Q2</t>
        </is>
      </c>
      <c r="D2296" s="186" t="n">
        <v>85305.09728392671</v>
      </c>
      <c r="E2296" s="188" t="n">
        <v>1693600655371.09</v>
      </c>
      <c r="F2296" s="188" t="n">
        <v>22428929482.0691</v>
      </c>
    </row>
    <row r="2297" ht="15" customHeight="1" s="95">
      <c r="A2297" s="143" t="n">
        <v>45761</v>
      </c>
      <c r="B2297" s="94" t="n">
        <v>2025</v>
      </c>
      <c r="C2297" s="94" t="inlineStr">
        <is>
          <t>2025-Q2</t>
        </is>
      </c>
      <c r="D2297" s="186" t="n">
        <v>83600.8201005454</v>
      </c>
      <c r="E2297" s="188" t="n">
        <v>1658923208081.87</v>
      </c>
      <c r="F2297" s="188" t="n">
        <v>28731125717.9344</v>
      </c>
    </row>
    <row r="2298" ht="15" customHeight="1" s="95">
      <c r="A2298" s="143" t="n">
        <v>45762</v>
      </c>
      <c r="B2298" s="94" t="n">
        <v>2025</v>
      </c>
      <c r="C2298" s="94" t="inlineStr">
        <is>
          <t>2025-Q2</t>
        </is>
      </c>
      <c r="D2298" s="186" t="n">
        <v>84523.45249149451</v>
      </c>
      <c r="E2298" s="188" t="n">
        <v>1677843510120.27</v>
      </c>
      <c r="F2298" s="188" t="n">
        <v>33155578229.3435</v>
      </c>
    </row>
    <row r="2299" ht="15" customHeight="1" s="95">
      <c r="A2299" s="143" t="n">
        <v>45763</v>
      </c>
      <c r="B2299" s="94" t="n">
        <v>2025</v>
      </c>
      <c r="C2299" s="94" t="inlineStr">
        <is>
          <t>2025-Q2</t>
        </is>
      </c>
      <c r="D2299" s="186" t="n">
        <v>83656.49248858041</v>
      </c>
      <c r="E2299" s="188" t="n">
        <v>1660749023283.06</v>
      </c>
      <c r="F2299" s="188" t="n">
        <v>25084671427.6226</v>
      </c>
    </row>
    <row r="2300" ht="15" customHeight="1" s="95">
      <c r="A2300" s="143" t="n">
        <v>45764</v>
      </c>
      <c r="B2300" s="94" t="n">
        <v>2025</v>
      </c>
      <c r="C2300" s="94" t="inlineStr">
        <is>
          <t>2025-Q2</t>
        </is>
      </c>
      <c r="D2300" s="186" t="n">
        <v>84105.779421671</v>
      </c>
      <c r="E2300" s="188" t="n">
        <v>1670497569762.05</v>
      </c>
      <c r="F2300" s="188" t="n">
        <v>26948109141.8034</v>
      </c>
    </row>
    <row r="2301" ht="15" customHeight="1" s="95">
      <c r="A2301" s="143" t="n">
        <v>45765</v>
      </c>
      <c r="B2301" s="94" t="n">
        <v>2025</v>
      </c>
      <c r="C2301" s="94" t="inlineStr">
        <is>
          <t>2025-Q2</t>
        </is>
      </c>
      <c r="D2301" s="186" t="n">
        <v>84930.90857601</v>
      </c>
      <c r="E2301" s="188" t="n">
        <v>1686226810049.18</v>
      </c>
      <c r="F2301" s="188" t="n">
        <v>19323821375.1431</v>
      </c>
    </row>
    <row r="2302" ht="15" customHeight="1" s="95">
      <c r="A2302" s="143" t="n">
        <v>45766</v>
      </c>
      <c r="B2302" s="94" t="n">
        <v>2025</v>
      </c>
      <c r="C2302" s="94" t="inlineStr">
        <is>
          <t>2025-Q2</t>
        </is>
      </c>
      <c r="D2302" s="186" t="n">
        <v>84433.7501721539</v>
      </c>
      <c r="E2302" s="188" t="n">
        <v>1676373197914.51</v>
      </c>
      <c r="F2302" s="188" t="n">
        <v>9550691272.782009</v>
      </c>
    </row>
    <row r="2303" ht="15" customHeight="1" s="95">
      <c r="A2303" s="143" t="n">
        <v>45767</v>
      </c>
      <c r="B2303" s="94" t="n">
        <v>2025</v>
      </c>
      <c r="C2303" s="94" t="inlineStr">
        <is>
          <t>2025-Q2</t>
        </is>
      </c>
      <c r="D2303" s="186" t="n">
        <v>85126.6624430184</v>
      </c>
      <c r="E2303" s="188" t="n">
        <v>1690090596771.4</v>
      </c>
      <c r="F2303" s="188" t="n">
        <v>12635983530.8045</v>
      </c>
    </row>
    <row r="2304" ht="15" customHeight="1" s="95">
      <c r="A2304" s="143" t="n">
        <v>45768</v>
      </c>
      <c r="B2304" s="94" t="n">
        <v>2025</v>
      </c>
      <c r="C2304" s="94" t="inlineStr">
        <is>
          <t>2025-Q2</t>
        </is>
      </c>
      <c r="D2304" s="186" t="n">
        <v>85073.165448581</v>
      </c>
      <c r="E2304" s="188" t="n">
        <v>1689008667806.38</v>
      </c>
      <c r="F2304" s="188" t="n">
        <v>12625843856.3137</v>
      </c>
    </row>
    <row r="2305" ht="15" customHeight="1" s="95">
      <c r="A2305" s="143" t="n">
        <v>45769</v>
      </c>
      <c r="B2305" s="94" t="n">
        <v>2025</v>
      </c>
      <c r="C2305" s="94" t="inlineStr">
        <is>
          <t>2025-Q2</t>
        </is>
      </c>
      <c r="D2305" s="186" t="n">
        <v>87452.04699068289</v>
      </c>
      <c r="E2305" s="188" t="n">
        <v>1735703747771.06</v>
      </c>
      <c r="F2305" s="188" t="n">
        <v>40070025414.2829</v>
      </c>
    </row>
    <row r="2306" ht="15" customHeight="1" s="95">
      <c r="A2306" s="143" t="n">
        <v>45770</v>
      </c>
      <c r="B2306" s="94" t="n">
        <v>2025</v>
      </c>
      <c r="C2306" s="94" t="inlineStr">
        <is>
          <t>2025-Q2</t>
        </is>
      </c>
      <c r="D2306" s="186" t="n">
        <v>93576.1658857398</v>
      </c>
      <c r="E2306" s="188" t="n">
        <v>1858587811717.83</v>
      </c>
      <c r="F2306" s="188" t="n">
        <v>53841992235.3664</v>
      </c>
    </row>
    <row r="2307" ht="15" customHeight="1" s="95">
      <c r="A2307" s="143" t="n">
        <v>45771</v>
      </c>
      <c r="B2307" s="94" t="n">
        <v>2025</v>
      </c>
      <c r="C2307" s="94" t="inlineStr">
        <is>
          <t>2025-Q2</t>
        </is>
      </c>
      <c r="D2307" s="186" t="n">
        <v>93605.4523087321</v>
      </c>
      <c r="E2307" s="188" t="n">
        <v>1858660302322.26</v>
      </c>
      <c r="F2307" s="188" t="n">
        <v>39901515879.6595</v>
      </c>
    </row>
    <row r="2308" ht="15" customHeight="1" s="95">
      <c r="A2308" s="143" t="n">
        <v>45772</v>
      </c>
      <c r="B2308" s="94" t="n">
        <v>2025</v>
      </c>
      <c r="C2308" s="94" t="inlineStr">
        <is>
          <t>2025-Q2</t>
        </is>
      </c>
      <c r="D2308" s="186" t="n">
        <v>93872.8142286729</v>
      </c>
      <c r="E2308" s="188" t="n">
        <v>1864298110563.34</v>
      </c>
      <c r="F2308" s="188" t="n">
        <v>30031246761.0935</v>
      </c>
    </row>
    <row r="2309" ht="15" customHeight="1" s="95">
      <c r="A2309" s="143" t="n">
        <v>45773</v>
      </c>
      <c r="B2309" s="94" t="n">
        <v>2025</v>
      </c>
      <c r="C2309" s="94" t="inlineStr">
        <is>
          <t>2025-Q2</t>
        </is>
      </c>
      <c r="D2309" s="186" t="n">
        <v>94773.1120064354</v>
      </c>
      <c r="E2309" s="188" t="n">
        <v>1882121595175.85</v>
      </c>
      <c r="F2309" s="188" t="n">
        <v>39336184715.0429</v>
      </c>
    </row>
    <row r="2310" ht="15" customHeight="1" s="95">
      <c r="A2310" s="143" t="n">
        <v>45774</v>
      </c>
      <c r="B2310" s="94" t="n">
        <v>2025</v>
      </c>
      <c r="C2310" s="94" t="inlineStr">
        <is>
          <t>2025-Q2</t>
        </is>
      </c>
      <c r="D2310" s="186" t="n">
        <v>94644.0663712011</v>
      </c>
      <c r="E2310" s="188" t="n">
        <v>1879131951239.19</v>
      </c>
      <c r="F2310" s="188" t="n">
        <v>15445392739.7873</v>
      </c>
    </row>
    <row r="2311" ht="15" customHeight="1" s="95">
      <c r="A2311" s="143" t="n">
        <v>45775</v>
      </c>
      <c r="B2311" s="94" t="n">
        <v>2025</v>
      </c>
      <c r="C2311" s="94" t="inlineStr">
        <is>
          <t>2025-Q2</t>
        </is>
      </c>
      <c r="D2311" s="186" t="n">
        <v>93809.3378196822</v>
      </c>
      <c r="E2311" s="188" t="n">
        <v>1862772247122.06</v>
      </c>
      <c r="F2311" s="188" t="n">
        <v>15926259371.058</v>
      </c>
    </row>
    <row r="2312" ht="15" customHeight="1" s="95">
      <c r="A2312" s="143" t="n">
        <v>45776</v>
      </c>
      <c r="B2312" s="94" t="n">
        <v>2025</v>
      </c>
      <c r="C2312" s="94" t="inlineStr">
        <is>
          <t>2025-Q2</t>
        </is>
      </c>
      <c r="D2312" s="186" t="n">
        <v>95030.6064547444</v>
      </c>
      <c r="E2312" s="188" t="n">
        <v>1887067388174.35</v>
      </c>
      <c r="F2312" s="188" t="n">
        <v>31913814736.539</v>
      </c>
    </row>
    <row r="2313" ht="15" customHeight="1" s="95">
      <c r="A2313" s="143" t="n">
        <v>45777</v>
      </c>
      <c r="B2313" s="94" t="n">
        <v>2025</v>
      </c>
      <c r="C2313" s="94" t="inlineStr">
        <is>
          <t>2025-Q2</t>
        </is>
      </c>
      <c r="D2313" s="186" t="n">
        <v>94256.3594631806</v>
      </c>
      <c r="E2313" s="188" t="n">
        <v>1870818389258.4</v>
      </c>
      <c r="F2313" s="188" t="n">
        <v>25882629766.279</v>
      </c>
    </row>
    <row r="2314" ht="15" customHeight="1" s="95">
      <c r="A2314" s="143" t="n">
        <v>45778</v>
      </c>
      <c r="B2314" s="94" t="n">
        <v>2025</v>
      </c>
      <c r="C2314" s="94" t="inlineStr">
        <is>
          <t>2025-Q2</t>
        </is>
      </c>
      <c r="D2314" s="186" t="n">
        <v>94235.7533104817</v>
      </c>
      <c r="E2314" s="188" t="n">
        <v>1871350362569.09</v>
      </c>
      <c r="F2314" s="188" t="n">
        <v>26541700309.3662</v>
      </c>
    </row>
    <row r="2315" ht="15" customHeight="1" s="95">
      <c r="A2315" s="143" t="n">
        <v>45779</v>
      </c>
      <c r="B2315" s="94" t="n">
        <v>2025</v>
      </c>
      <c r="C2315" s="94" t="inlineStr">
        <is>
          <t>2025-Q2</t>
        </is>
      </c>
      <c r="D2315" s="186" t="n">
        <v>96426.9452227303</v>
      </c>
      <c r="E2315" s="188" t="n">
        <v>1914884389769.4</v>
      </c>
      <c r="F2315" s="188" t="n">
        <v>30207566405.4688</v>
      </c>
    </row>
    <row r="2316" ht="15" customHeight="1" s="95">
      <c r="A2316" s="143" t="n">
        <v>45780</v>
      </c>
      <c r="B2316" s="94" t="n">
        <v>2025</v>
      </c>
      <c r="C2316" s="94" t="inlineStr">
        <is>
          <t>2025-Q2</t>
        </is>
      </c>
      <c r="D2316" s="186" t="n">
        <v>96855.5681343944</v>
      </c>
      <c r="E2316" s="188" t="n">
        <v>1923251765866.15</v>
      </c>
      <c r="F2316" s="188" t="n">
        <v>23276376191.484</v>
      </c>
    </row>
    <row r="2317" ht="15" customHeight="1" s="95">
      <c r="A2317" s="143" t="n">
        <v>45781</v>
      </c>
      <c r="B2317" s="94" t="n">
        <v>2025</v>
      </c>
      <c r="C2317" s="94" t="inlineStr">
        <is>
          <t>2025-Q2</t>
        </is>
      </c>
      <c r="D2317" s="186" t="n">
        <v>95922.86842404419</v>
      </c>
      <c r="E2317" s="188" t="n">
        <v>1904894886394.57</v>
      </c>
      <c r="F2317" s="188" t="n">
        <v>13797554863.6428</v>
      </c>
    </row>
    <row r="2318" ht="15" customHeight="1" s="95">
      <c r="A2318" s="143" t="n">
        <v>45782</v>
      </c>
      <c r="B2318" s="94" t="n">
        <v>2025</v>
      </c>
      <c r="C2318" s="94" t="inlineStr">
        <is>
          <t>2025-Q2</t>
        </is>
      </c>
      <c r="D2318" s="186" t="n">
        <v>94326.6204852925</v>
      </c>
      <c r="E2318" s="188" t="n">
        <v>1872812442453.03</v>
      </c>
      <c r="F2318" s="188" t="n">
        <v>14903122945.6167</v>
      </c>
    </row>
    <row r="2319" ht="15" customHeight="1" s="95">
      <c r="A2319" s="143" t="n">
        <v>45783</v>
      </c>
      <c r="B2319" s="94" t="n">
        <v>2025</v>
      </c>
      <c r="C2319" s="94" t="inlineStr">
        <is>
          <t>2025-Q2</t>
        </is>
      </c>
      <c r="D2319" s="186" t="n">
        <v>94758.8237105546</v>
      </c>
      <c r="E2319" s="188" t="n">
        <v>1882511286487.96</v>
      </c>
      <c r="F2319" s="188" t="n">
        <v>24086456278.2039</v>
      </c>
    </row>
    <row r="2320" ht="15" customHeight="1" s="95">
      <c r="A2320" s="143" t="n">
        <v>45784</v>
      </c>
      <c r="B2320" s="94" t="n">
        <v>2025</v>
      </c>
      <c r="C2320" s="94" t="inlineStr">
        <is>
          <t>2025-Q2</t>
        </is>
      </c>
      <c r="D2320" s="186" t="n">
        <v>96854.53198815879</v>
      </c>
      <c r="E2320" s="188" t="n">
        <v>1923643840814.6</v>
      </c>
      <c r="F2320" s="188" t="n">
        <v>23348052607.0719</v>
      </c>
    </row>
    <row r="2321" ht="15" customHeight="1" s="95">
      <c r="A2321" s="143" t="n">
        <v>45785</v>
      </c>
      <c r="B2321" s="94" t="n">
        <v>2025</v>
      </c>
      <c r="C2321" s="94" t="inlineStr">
        <is>
          <t>2025-Q2</t>
        </is>
      </c>
      <c r="D2321" s="186" t="n">
        <v>97026.493769668</v>
      </c>
      <c r="E2321" s="188" t="n">
        <v>1927134557858.27</v>
      </c>
      <c r="F2321" s="188" t="n">
        <v>64376174032.0805</v>
      </c>
    </row>
    <row r="2322" ht="15" customHeight="1" s="95">
      <c r="A2322" s="143" t="n">
        <v>45786</v>
      </c>
      <c r="B2322" s="94" t="n">
        <v>2025</v>
      </c>
      <c r="C2322" s="94" t="inlineStr">
        <is>
          <t>2025-Q2</t>
        </is>
      </c>
      <c r="D2322" s="186" t="n">
        <v>103076.275555129</v>
      </c>
      <c r="E2322" s="188" t="n">
        <v>2047883753852.69</v>
      </c>
      <c r="F2322" s="188" t="n">
        <v>50020047720.656</v>
      </c>
    </row>
    <row r="2323" ht="15" customHeight="1" s="95">
      <c r="A2323" s="143" t="n">
        <v>45787</v>
      </c>
      <c r="B2323" s="94" t="n">
        <v>2025</v>
      </c>
      <c r="C2323" s="94" t="inlineStr">
        <is>
          <t>2025-Q2</t>
        </is>
      </c>
      <c r="D2323" s="186" t="n">
        <v>102962.540456923</v>
      </c>
      <c r="E2323" s="188" t="n">
        <v>2045046445523.52</v>
      </c>
      <c r="F2323" s="188" t="n">
        <v>40800894903.2345</v>
      </c>
    </row>
    <row r="2324" ht="15" customHeight="1" s="95">
      <c r="A2324" s="143" t="n">
        <v>45788</v>
      </c>
      <c r="B2324" s="94" t="n">
        <v>2025</v>
      </c>
      <c r="C2324" s="94" t="inlineStr">
        <is>
          <t>2025-Q2</t>
        </is>
      </c>
      <c r="D2324" s="186" t="n">
        <v>104630.879299417</v>
      </c>
      <c r="E2324" s="188" t="n">
        <v>2077132539531.35</v>
      </c>
      <c r="F2324" s="188" t="n">
        <v>21558992540.0424</v>
      </c>
    </row>
    <row r="2325" ht="15" customHeight="1" s="95">
      <c r="A2325" s="143" t="n">
        <v>45789</v>
      </c>
      <c r="B2325" s="94" t="n">
        <v>2025</v>
      </c>
      <c r="C2325" s="94" t="inlineStr">
        <is>
          <t>2025-Q2</t>
        </is>
      </c>
      <c r="D2325" s="186" t="n">
        <v>103994.061616746</v>
      </c>
      <c r="E2325" s="188" t="n">
        <v>2065659960471.37</v>
      </c>
      <c r="F2325" s="188" t="n">
        <v>27389436049.4548</v>
      </c>
    </row>
    <row r="2326" ht="15" customHeight="1" s="95">
      <c r="A2326" s="143" t="n">
        <v>45790</v>
      </c>
      <c r="B2326" s="94" t="n">
        <v>2025</v>
      </c>
      <c r="C2326" s="94" t="inlineStr">
        <is>
          <t>2025-Q2</t>
        </is>
      </c>
      <c r="D2326" s="186" t="n">
        <v>102876.830428601</v>
      </c>
      <c r="E2326" s="188" t="n">
        <v>2044347271866.17</v>
      </c>
      <c r="F2326" s="188" t="n">
        <v>43090605819.366</v>
      </c>
    </row>
    <row r="2327" ht="15" customHeight="1" s="95">
      <c r="A2327" s="143" t="n">
        <v>45791</v>
      </c>
      <c r="B2327" s="94" t="n">
        <v>2025</v>
      </c>
      <c r="C2327" s="94" t="inlineStr">
        <is>
          <t>2025-Q2</t>
        </is>
      </c>
      <c r="D2327" s="186" t="n">
        <v>104184.490392707</v>
      </c>
      <c r="E2327" s="188" t="n">
        <v>2069356072124.02</v>
      </c>
      <c r="F2327" s="188" t="n">
        <v>33861432519.5082</v>
      </c>
    </row>
    <row r="2328" ht="15" customHeight="1" s="95">
      <c r="A2328" s="143" t="n">
        <v>45792</v>
      </c>
      <c r="B2328" s="94" t="n">
        <v>2025</v>
      </c>
      <c r="C2328" s="94" t="inlineStr">
        <is>
          <t>2025-Q2</t>
        </is>
      </c>
      <c r="D2328" s="186" t="n">
        <v>103594.425750907</v>
      </c>
      <c r="E2328" s="188" t="n">
        <v>2057798367292.56</v>
      </c>
      <c r="F2328" s="188" t="n">
        <v>28398245846.7982</v>
      </c>
    </row>
    <row r="2329" ht="15" customHeight="1" s="95">
      <c r="A2329" s="143" t="n">
        <v>45793</v>
      </c>
      <c r="B2329" s="94" t="n">
        <v>2025</v>
      </c>
      <c r="C2329" s="94" t="inlineStr">
        <is>
          <t>2025-Q2</t>
        </is>
      </c>
      <c r="D2329" s="186" t="n">
        <v>103708.851364236</v>
      </c>
      <c r="E2329" s="188" t="n">
        <v>2060142559914.03</v>
      </c>
      <c r="F2329" s="188" t="n">
        <v>31823340473.3399</v>
      </c>
    </row>
    <row r="2330" ht="15" customHeight="1" s="95">
      <c r="A2330" s="143" t="n">
        <v>45794</v>
      </c>
      <c r="B2330" s="94" t="n">
        <v>2025</v>
      </c>
      <c r="C2330" s="94" t="inlineStr">
        <is>
          <t>2025-Q2</t>
        </is>
      </c>
      <c r="D2330" s="186" t="n">
        <v>103556.034939825</v>
      </c>
      <c r="E2330" s="188" t="n">
        <v>2057725640290.08</v>
      </c>
      <c r="F2330" s="188" t="n">
        <v>25887953182.1477</v>
      </c>
    </row>
    <row r="2331" ht="15" customHeight="1" s="95">
      <c r="A2331" s="143" t="n">
        <v>45795</v>
      </c>
      <c r="B2331" s="94" t="n">
        <v>2025</v>
      </c>
      <c r="C2331" s="94" t="inlineStr">
        <is>
          <t>2025-Q2</t>
        </is>
      </c>
      <c r="D2331" s="186" t="n">
        <v>103212.364838855</v>
      </c>
      <c r="E2331" s="188" t="n">
        <v>2050318521477.81</v>
      </c>
      <c r="F2331" s="188" t="n">
        <v>18950056010.4791</v>
      </c>
    </row>
    <row r="2332" ht="15" customHeight="1" s="95">
      <c r="A2332" s="143" t="n">
        <v>45796</v>
      </c>
      <c r="B2332" s="94" t="n">
        <v>2025</v>
      </c>
      <c r="C2332" s="94" t="inlineStr">
        <is>
          <t>2025-Q2</t>
        </is>
      </c>
      <c r="D2332" s="186" t="n">
        <v>106030.637683136</v>
      </c>
      <c r="E2332" s="188" t="n">
        <v>2104889720872.83</v>
      </c>
      <c r="F2332" s="188" t="n">
        <v>30744060179.803</v>
      </c>
    </row>
    <row r="2333" ht="15" customHeight="1" s="95">
      <c r="A2333" s="143" t="n">
        <v>45797</v>
      </c>
      <c r="B2333" s="94" t="n">
        <v>2025</v>
      </c>
      <c r="C2333" s="94" t="inlineStr">
        <is>
          <t>2025-Q2</t>
        </is>
      </c>
      <c r="D2333" s="186" t="n">
        <v>105629.415804367</v>
      </c>
      <c r="E2333" s="188" t="n">
        <v>2098485415895.05</v>
      </c>
      <c r="F2333" s="188" t="n">
        <v>43339734153.7509</v>
      </c>
    </row>
    <row r="2334" ht="15" customHeight="1" s="95">
      <c r="A2334" s="143" t="n">
        <v>45798</v>
      </c>
      <c r="B2334" s="94" t="n">
        <v>2025</v>
      </c>
      <c r="C2334" s="94" t="inlineStr">
        <is>
          <t>2025-Q2</t>
        </is>
      </c>
      <c r="D2334" s="186" t="n">
        <v>106786.71995834</v>
      </c>
      <c r="E2334" s="188" t="n">
        <v>2121778617273.82</v>
      </c>
      <c r="F2334" s="188" t="n">
        <v>36393687094.2512</v>
      </c>
    </row>
    <row r="2335" ht="15" customHeight="1" s="95">
      <c r="A2335" s="143" t="n">
        <v>45799</v>
      </c>
      <c r="B2335" s="94" t="n">
        <v>2025</v>
      </c>
      <c r="C2335" s="94" t="inlineStr">
        <is>
          <t>2025-Q2</t>
        </is>
      </c>
      <c r="D2335" s="186" t="n">
        <v>109665.863716253</v>
      </c>
      <c r="E2335" s="188" t="n">
        <v>2178838967665.51</v>
      </c>
      <c r="F2335" s="188" t="n">
        <v>60722883113.84</v>
      </c>
    </row>
    <row r="2336" ht="15" customHeight="1" s="95">
      <c r="A2336" s="143" t="n">
        <v>45800</v>
      </c>
      <c r="B2336" s="94" t="n">
        <v>2025</v>
      </c>
      <c r="C2336" s="94" t="inlineStr">
        <is>
          <t>2025-Q2</t>
        </is>
      </c>
      <c r="D2336" s="186" t="n">
        <v>111560.356938144</v>
      </c>
      <c r="E2336" s="188" t="n">
        <v>2214712145787.25</v>
      </c>
      <c r="F2336" s="188" t="n">
        <v>52218408239.4519</v>
      </c>
    </row>
    <row r="2337" ht="15" customHeight="1" s="95">
      <c r="A2337" s="143" t="n">
        <v>45801</v>
      </c>
      <c r="B2337" s="94" t="n">
        <v>2025</v>
      </c>
      <c r="C2337" s="94" t="inlineStr">
        <is>
          <t>2025-Q2</t>
        </is>
      </c>
      <c r="D2337" s="186" t="n">
        <v>107216.668568706</v>
      </c>
      <c r="E2337" s="188" t="n">
        <v>2131595896624.44</v>
      </c>
      <c r="F2337" s="188" t="n">
        <v>49251745837.9647</v>
      </c>
    </row>
    <row r="2338" ht="15" customHeight="1" s="95">
      <c r="A2338" s="143" t="n">
        <v>45802</v>
      </c>
      <c r="B2338" s="94" t="n">
        <v>2025</v>
      </c>
      <c r="C2338" s="94" t="inlineStr">
        <is>
          <t>2025-Q2</t>
        </is>
      </c>
      <c r="D2338" s="186" t="n">
        <v>107831.363743804</v>
      </c>
      <c r="E2338" s="188" t="n">
        <v>2142540077685.22</v>
      </c>
      <c r="F2338" s="188" t="n">
        <v>27128230116.5172</v>
      </c>
    </row>
    <row r="2339" ht="15" customHeight="1" s="95">
      <c r="A2339" s="143" t="n">
        <v>45803</v>
      </c>
      <c r="B2339" s="94" t="n">
        <v>2025</v>
      </c>
      <c r="C2339" s="94" t="inlineStr">
        <is>
          <t>2025-Q2</t>
        </is>
      </c>
      <c r="D2339" s="186" t="n">
        <v>108861.810377443</v>
      </c>
      <c r="E2339" s="188" t="n">
        <v>2163072841533.61</v>
      </c>
      <c r="F2339" s="188" t="n">
        <v>29652659665.0487</v>
      </c>
    </row>
    <row r="2340" ht="15" customHeight="1" s="95">
      <c r="A2340" s="143" t="n">
        <v>45804</v>
      </c>
      <c r="B2340" s="94" t="n">
        <v>2025</v>
      </c>
      <c r="C2340" s="94" t="inlineStr">
        <is>
          <t>2025-Q2</t>
        </is>
      </c>
      <c r="D2340" s="186" t="n">
        <v>109377.715132631</v>
      </c>
      <c r="E2340" s="188" t="n">
        <v>2173059855839.42</v>
      </c>
      <c r="F2340" s="188" t="n">
        <v>27950577137.9189</v>
      </c>
    </row>
    <row r="2341" ht="15" customHeight="1" s="95">
      <c r="A2341" s="143" t="n">
        <v>45805</v>
      </c>
      <c r="B2341" s="94" t="n">
        <v>2025</v>
      </c>
      <c r="C2341" s="94" t="inlineStr">
        <is>
          <t>2025-Q2</t>
        </is>
      </c>
      <c r="D2341" s="186" t="n">
        <v>109068.456949014</v>
      </c>
      <c r="E2341" s="188" t="n">
        <v>2167551887130.01</v>
      </c>
      <c r="F2341" s="188" t="n">
        <v>38978783508.8862</v>
      </c>
    </row>
    <row r="2342" ht="15" customHeight="1" s="95">
      <c r="A2342" s="143" t="n">
        <v>45806</v>
      </c>
      <c r="B2342" s="94" t="n">
        <v>2025</v>
      </c>
      <c r="C2342" s="94" t="inlineStr">
        <is>
          <t>2025-Q2</t>
        </is>
      </c>
      <c r="D2342" s="186" t="n">
        <v>107838.184311002</v>
      </c>
      <c r="E2342" s="188" t="n">
        <v>2143342706888.31</v>
      </c>
      <c r="F2342" s="188" t="n">
        <v>29794278037.285</v>
      </c>
    </row>
    <row r="2343" ht="15" customHeight="1" s="95">
      <c r="A2343" s="143" t="n">
        <v>45807</v>
      </c>
      <c r="B2343" s="94" t="n">
        <v>2025</v>
      </c>
      <c r="C2343" s="94" t="inlineStr">
        <is>
          <t>2025-Q2</t>
        </is>
      </c>
      <c r="D2343" s="186" t="n">
        <v>105745.41660358</v>
      </c>
      <c r="E2343" s="188" t="n">
        <v>2101348752694.31</v>
      </c>
      <c r="F2343" s="188" t="n">
        <v>38279231892.5676</v>
      </c>
    </row>
    <row r="2344" ht="15" customHeight="1" s="95">
      <c r="A2344" s="143" t="n">
        <v>45808</v>
      </c>
      <c r="B2344" s="94" t="n">
        <v>2025</v>
      </c>
      <c r="C2344" s="94" t="inlineStr">
        <is>
          <t>2025-Q2</t>
        </is>
      </c>
      <c r="D2344" s="186" t="n">
        <v>104010.919562426</v>
      </c>
      <c r="E2344" s="188" t="n">
        <v>2066830946978.06</v>
      </c>
      <c r="F2344" s="188" t="n">
        <v>39680060337.6102</v>
      </c>
    </row>
    <row r="2345" ht="15" customHeight="1" s="95">
      <c r="A2345" s="143" t="n">
        <v>45809</v>
      </c>
      <c r="B2345" s="94" t="n">
        <v>2025</v>
      </c>
      <c r="C2345" s="94" t="inlineStr">
        <is>
          <t>2025-Q2</t>
        </is>
      </c>
      <c r="D2345" s="186" t="n">
        <v>104687.507429349</v>
      </c>
      <c r="E2345" s="188" t="n">
        <v>2080467809295.77</v>
      </c>
      <c r="F2345" s="188" t="n">
        <v>20432694555.0952</v>
      </c>
    </row>
    <row r="2346" ht="15" customHeight="1" s="95">
      <c r="A2346" s="143" t="n">
        <v>45810</v>
      </c>
      <c r="B2346" s="94" t="n">
        <v>2025</v>
      </c>
      <c r="C2346" s="94" t="inlineStr">
        <is>
          <t>2025-Q2</t>
        </is>
      </c>
      <c r="D2346" s="186" t="n">
        <v>105710.005938228</v>
      </c>
      <c r="E2346" s="188" t="n">
        <v>2101178071590.98</v>
      </c>
      <c r="F2346" s="188" t="n">
        <v>17721500507.5339</v>
      </c>
    </row>
    <row r="2347" ht="15" customHeight="1" s="95">
      <c r="A2347" s="143" t="n">
        <v>45811</v>
      </c>
      <c r="B2347" s="94" t="n">
        <v>2025</v>
      </c>
      <c r="C2347" s="94" t="inlineStr">
        <is>
          <t>2025-Q2</t>
        </is>
      </c>
      <c r="D2347" s="186" t="n">
        <v>105884.742632212</v>
      </c>
      <c r="E2347" s="188" t="n">
        <v>2104229403094.94</v>
      </c>
      <c r="F2347" s="188" t="n">
        <v>26313843058.7395</v>
      </c>
    </row>
    <row r="2348" ht="15" customHeight="1" s="95">
      <c r="A2348" s="143" t="n">
        <v>45812</v>
      </c>
      <c r="B2348" s="94" t="n">
        <v>2025</v>
      </c>
      <c r="C2348" s="94" t="inlineStr">
        <is>
          <t>2025-Q2</t>
        </is>
      </c>
      <c r="D2348" s="186" t="n">
        <v>105434.47745145</v>
      </c>
      <c r="E2348" s="188" t="n">
        <v>2095294001281.48</v>
      </c>
      <c r="F2348" s="188" t="n">
        <v>25925661121.0804</v>
      </c>
    </row>
    <row r="2349" ht="15" customHeight="1" s="95">
      <c r="A2349" s="143" t="n">
        <v>45813</v>
      </c>
      <c r="B2349" s="94" t="n">
        <v>2025</v>
      </c>
      <c r="C2349" s="94" t="inlineStr">
        <is>
          <t>2025-Q2</t>
        </is>
      </c>
      <c r="D2349" s="186" t="n">
        <v>104812.918218807</v>
      </c>
      <c r="E2349" s="188" t="n">
        <v>2083148839111.21</v>
      </c>
      <c r="F2349" s="188" t="n">
        <v>25812143562.798</v>
      </c>
    </row>
    <row r="2350" ht="15" customHeight="1" s="95">
      <c r="A2350" s="143" t="n">
        <v>45814</v>
      </c>
      <c r="B2350" s="94" t="n">
        <v>2025</v>
      </c>
      <c r="C2350" s="94" t="inlineStr">
        <is>
          <t>2025-Q2</t>
        </is>
      </c>
      <c r="D2350" s="186" t="n">
        <v>101650.738754543</v>
      </c>
      <c r="E2350" s="188" t="n">
        <v>2020294099992.37</v>
      </c>
      <c r="F2350" s="188" t="n">
        <v>39711941132.0234</v>
      </c>
    </row>
    <row r="2351" ht="15" customHeight="1" s="95">
      <c r="A2351" s="143" t="n">
        <v>45815</v>
      </c>
      <c r="B2351" s="94" t="n">
        <v>2025</v>
      </c>
      <c r="C2351" s="94" t="inlineStr">
        <is>
          <t>2025-Q2</t>
        </is>
      </c>
      <c r="D2351" s="186" t="n">
        <v>104409.749679591</v>
      </c>
      <c r="E2351" s="188" t="n">
        <v>2075175500201.43</v>
      </c>
      <c r="F2351" s="188" t="n">
        <v>29897390978.0901</v>
      </c>
    </row>
    <row r="2352" ht="15" customHeight="1" s="95">
      <c r="A2352" s="143" t="n">
        <v>45816</v>
      </c>
      <c r="B2352" s="94" t="n">
        <v>2025</v>
      </c>
      <c r="C2352" s="94" t="inlineStr">
        <is>
          <t>2025-Q2</t>
        </is>
      </c>
      <c r="D2352" s="186" t="n">
        <v>105681.454614176</v>
      </c>
      <c r="E2352" s="188" t="n">
        <v>2100553336902.51</v>
      </c>
      <c r="F2352" s="188" t="n">
        <v>17749731308.7304</v>
      </c>
    </row>
    <row r="2353" ht="15" customHeight="1" s="95">
      <c r="A2353" s="143" t="n">
        <v>45817</v>
      </c>
      <c r="B2353" s="94" t="n">
        <v>2025</v>
      </c>
      <c r="C2353" s="94" t="inlineStr">
        <is>
          <t>2025-Q2</t>
        </is>
      </c>
      <c r="D2353" s="186" t="n">
        <v>105692.24740699</v>
      </c>
      <c r="E2353" s="188" t="n">
        <v>2100654769399.47</v>
      </c>
      <c r="F2353" s="188" t="n">
        <v>16044679696.2701</v>
      </c>
    </row>
    <row r="2354" ht="15" customHeight="1" s="95">
      <c r="A2354" s="143" t="n">
        <v>45818</v>
      </c>
      <c r="B2354" s="94" t="n">
        <v>2025</v>
      </c>
      <c r="C2354" s="94" t="inlineStr">
        <is>
          <t>2025-Q2</t>
        </is>
      </c>
      <c r="D2354" s="186" t="n">
        <v>110261.574859485</v>
      </c>
      <c r="E2354" s="188" t="n">
        <v>2191877481230.95</v>
      </c>
      <c r="F2354" s="188" t="n">
        <v>38222993297.5051</v>
      </c>
    </row>
    <row r="2355" ht="15" customHeight="1" s="95">
      <c r="A2355" s="143" t="n">
        <v>45819</v>
      </c>
      <c r="B2355" s="94" t="n">
        <v>2025</v>
      </c>
      <c r="C2355" s="94" t="inlineStr">
        <is>
          <t>2025-Q2</t>
        </is>
      </c>
      <c r="D2355" s="186" t="n">
        <v>110212.732521096</v>
      </c>
      <c r="E2355" s="188" t="n">
        <v>2189350055406.33</v>
      </c>
      <c r="F2355" s="188" t="n">
        <v>36303839182.7348</v>
      </c>
    </row>
    <row r="2356" ht="15" customHeight="1" s="95">
      <c r="A2356" s="143" t="n">
        <v>45820</v>
      </c>
      <c r="B2356" s="94" t="n">
        <v>2025</v>
      </c>
      <c r="C2356" s="94" t="inlineStr">
        <is>
          <t>2025-Q2</t>
        </is>
      </c>
      <c r="D2356" s="186" t="n">
        <v>108679.976091617</v>
      </c>
      <c r="E2356" s="188" t="n">
        <v>2159529375273.5</v>
      </c>
      <c r="F2356" s="188" t="n">
        <v>30338936631.6267</v>
      </c>
    </row>
    <row r="2357" ht="15" customHeight="1" s="95">
      <c r="A2357" s="143" t="n">
        <v>45821</v>
      </c>
      <c r="B2357" s="94" t="n">
        <v>2025</v>
      </c>
      <c r="C2357" s="94" t="inlineStr">
        <is>
          <t>2025-Q2</t>
        </is>
      </c>
      <c r="D2357" s="186" t="n">
        <v>105979.229023759</v>
      </c>
      <c r="E2357" s="188" t="n">
        <v>2107911943768.3</v>
      </c>
      <c r="F2357" s="188" t="n">
        <v>35865159511.3886</v>
      </c>
    </row>
    <row r="2358" ht="15" customHeight="1" s="95">
      <c r="A2358" s="143" t="n">
        <v>45822</v>
      </c>
      <c r="B2358" s="94" t="n">
        <v>2025</v>
      </c>
      <c r="C2358" s="94" t="inlineStr">
        <is>
          <t>2025-Q2</t>
        </is>
      </c>
      <c r="D2358" s="186" t="n">
        <v>106045.564408192</v>
      </c>
      <c r="E2358" s="188" t="n">
        <v>2107973087547.79</v>
      </c>
      <c r="F2358" s="188" t="n">
        <v>49471015505.7436</v>
      </c>
    </row>
    <row r="2359" ht="15" customHeight="1" s="95">
      <c r="A2359" s="143" t="n">
        <v>45823</v>
      </c>
      <c r="B2359" s="94" t="n">
        <v>2025</v>
      </c>
      <c r="C2359" s="94" t="inlineStr">
        <is>
          <t>2025-Q2</t>
        </is>
      </c>
      <c r="D2359" s="186" t="n">
        <v>105482.906116289</v>
      </c>
      <c r="E2359" s="188" t="n">
        <v>2097486541223.27</v>
      </c>
      <c r="F2359" s="188" t="n">
        <v>17916412455.8663</v>
      </c>
    </row>
    <row r="2360" ht="15" customHeight="1" s="95">
      <c r="A2360" s="143" t="n">
        <v>45824</v>
      </c>
      <c r="B2360" s="94" t="n">
        <v>2025</v>
      </c>
      <c r="C2360" s="94" t="inlineStr">
        <is>
          <t>2025-Q2</t>
        </is>
      </c>
      <c r="D2360" s="186" t="n">
        <v>105554.493830617</v>
      </c>
      <c r="E2360" s="188" t="n">
        <v>2098499110552.62</v>
      </c>
      <c r="F2360" s="188" t="n">
        <v>16568441852.6497</v>
      </c>
    </row>
    <row r="2361" ht="15" customHeight="1" s="95">
      <c r="A2361" s="143" t="n">
        <v>45825</v>
      </c>
      <c r="B2361" s="94" t="n">
        <v>2025</v>
      </c>
      <c r="C2361" s="94" t="inlineStr">
        <is>
          <t>2025-Q2</t>
        </is>
      </c>
      <c r="D2361" s="186" t="n">
        <v>106951.27201815</v>
      </c>
      <c r="E2361" s="188" t="n">
        <v>2127895470544.72</v>
      </c>
      <c r="F2361" s="188" t="n">
        <v>32095957011.7242</v>
      </c>
    </row>
    <row r="2362" ht="15" customHeight="1" s="95">
      <c r="A2362" s="143" t="n">
        <v>45826</v>
      </c>
      <c r="B2362" s="94" t="n">
        <v>2025</v>
      </c>
      <c r="C2362" s="94" t="inlineStr">
        <is>
          <t>2025-Q2</t>
        </is>
      </c>
      <c r="D2362" s="186" t="n">
        <v>104683.424798357</v>
      </c>
      <c r="E2362" s="188" t="n">
        <v>2080968120976.95</v>
      </c>
      <c r="F2362" s="188" t="n">
        <v>38603212010.8894</v>
      </c>
    </row>
    <row r="2363" ht="15" customHeight="1" s="95">
      <c r="A2363" s="143" t="n">
        <v>45827</v>
      </c>
      <c r="B2363" s="94" t="n">
        <v>2025</v>
      </c>
      <c r="C2363" s="94" t="inlineStr">
        <is>
          <t>2025-Q2</t>
        </is>
      </c>
      <c r="D2363" s="186" t="n">
        <v>104722.695052907</v>
      </c>
      <c r="E2363" s="188" t="n">
        <v>2081677732261.69</v>
      </c>
      <c r="F2363" s="188" t="n">
        <v>30339326410.155</v>
      </c>
    </row>
    <row r="2364" ht="15" customHeight="1" s="95">
      <c r="A2364" s="143" t="n">
        <v>45828</v>
      </c>
      <c r="B2364" s="94" t="n">
        <v>2025</v>
      </c>
      <c r="C2364" s="94" t="inlineStr">
        <is>
          <t>2025-Q2</t>
        </is>
      </c>
      <c r="D2364" s="186" t="n">
        <v>104690.650024581</v>
      </c>
      <c r="E2364" s="188" t="n">
        <v>2081355279873.41</v>
      </c>
      <c r="F2364" s="188" t="n">
        <v>18063282658.1523</v>
      </c>
    </row>
    <row r="2365" ht="15" customHeight="1" s="95">
      <c r="A2365" s="143" t="n">
        <v>45829</v>
      </c>
      <c r="B2365" s="94" t="n">
        <v>2025</v>
      </c>
      <c r="C2365" s="94" t="inlineStr">
        <is>
          <t>2025-Q2</t>
        </is>
      </c>
      <c r="D2365" s="186" t="n">
        <v>103290.105144757</v>
      </c>
      <c r="E2365" s="188" t="n">
        <v>2054120245608.21</v>
      </c>
      <c r="F2365" s="188" t="n">
        <v>30632751225.4074</v>
      </c>
    </row>
    <row r="2366" ht="15" customHeight="1" s="95">
      <c r="A2366" s="143" t="n">
        <v>45830</v>
      </c>
      <c r="B2366" s="94" t="n">
        <v>2025</v>
      </c>
      <c r="C2366" s="94" t="inlineStr">
        <is>
          <t>2025-Q2</t>
        </is>
      </c>
      <c r="D2366" s="186" t="n">
        <v>101532.568384733</v>
      </c>
      <c r="E2366" s="188" t="n">
        <v>2017415966695.53</v>
      </c>
      <c r="F2366" s="188" t="n">
        <v>21644463198.7195</v>
      </c>
    </row>
    <row r="2367" ht="15" customHeight="1" s="95">
      <c r="A2367" s="143" t="n">
        <v>45831</v>
      </c>
      <c r="B2367" s="94" t="n">
        <v>2025</v>
      </c>
      <c r="C2367" s="94" t="inlineStr">
        <is>
          <t>2025-Q2</t>
        </is>
      </c>
      <c r="D2367" s="186" t="n">
        <v>100852.582646488</v>
      </c>
      <c r="E2367" s="188" t="n">
        <v>2005179769771.74</v>
      </c>
      <c r="F2367" s="188" t="n">
        <v>51287142390.0253</v>
      </c>
    </row>
    <row r="2368" ht="15" customHeight="1" s="95">
      <c r="A2368" s="143" t="n">
        <v>45832</v>
      </c>
      <c r="B2368" s="94" t="n">
        <v>2025</v>
      </c>
      <c r="C2368" s="94" t="inlineStr">
        <is>
          <t>2025-Q2</t>
        </is>
      </c>
      <c r="D2368" s="186" t="n">
        <v>105511.624379331</v>
      </c>
      <c r="E2368" s="188" t="n">
        <v>2097741233586.59</v>
      </c>
      <c r="F2368" s="188" t="n">
        <v>50011797128.6837</v>
      </c>
    </row>
    <row r="2369" ht="15" customHeight="1" s="95">
      <c r="A2369" s="143" t="n">
        <v>45833</v>
      </c>
      <c r="B2369" s="94" t="n">
        <v>2025</v>
      </c>
      <c r="C2369" s="94" t="inlineStr">
        <is>
          <t>2025-Q2</t>
        </is>
      </c>
      <c r="D2369" s="186" t="n">
        <v>105976.069298085</v>
      </c>
      <c r="E2369" s="188" t="n">
        <v>2107110352429.8</v>
      </c>
      <c r="F2369" s="188" t="n">
        <v>31704641076.9411</v>
      </c>
    </row>
    <row r="2370" ht="15" customHeight="1" s="95">
      <c r="A2370" s="143" t="n">
        <v>45834</v>
      </c>
      <c r="B2370" s="94" t="n">
        <v>2025</v>
      </c>
      <c r="C2370" s="94" t="inlineStr">
        <is>
          <t>2025-Q2</t>
        </is>
      </c>
      <c r="D2370" s="186" t="n">
        <v>107238.530450163</v>
      </c>
      <c r="E2370" s="188" t="n">
        <v>2132141147369</v>
      </c>
      <c r="F2370" s="188" t="n">
        <v>30468274982.0349</v>
      </c>
    </row>
    <row r="2371" ht="15" customHeight="1" s="95">
      <c r="A2371" s="143" t="n">
        <v>45835</v>
      </c>
      <c r="B2371" s="94" t="n">
        <v>2025</v>
      </c>
      <c r="C2371" s="94" t="inlineStr">
        <is>
          <t>2025-Q2</t>
        </is>
      </c>
      <c r="D2371" s="186" t="n">
        <v>106984.012537757</v>
      </c>
      <c r="E2371" s="188" t="n">
        <v>2127292099754.93</v>
      </c>
      <c r="F2371" s="188" t="n">
        <v>24320699663.1512</v>
      </c>
    </row>
    <row r="2372" ht="15" customHeight="1" s="95">
      <c r="A2372" s="143" t="n">
        <v>45836</v>
      </c>
      <c r="B2372" s="94" t="n">
        <v>2025</v>
      </c>
      <c r="C2372" s="94" t="inlineStr">
        <is>
          <t>2025-Q2</t>
        </is>
      </c>
      <c r="D2372" s="186" t="n">
        <v>107078.915606441</v>
      </c>
      <c r="E2372" s="188" t="n">
        <v>2129020567385.96</v>
      </c>
      <c r="F2372" s="188" t="n">
        <v>25194306261.8888</v>
      </c>
    </row>
    <row r="2373" ht="15" customHeight="1" s="95">
      <c r="A2373" s="143" t="n">
        <v>45837</v>
      </c>
      <c r="B2373" s="94" t="n">
        <v>2025</v>
      </c>
      <c r="C2373" s="94" t="inlineStr">
        <is>
          <t>2025-Q2</t>
        </is>
      </c>
      <c r="D2373" s="186" t="n">
        <v>107331.585484636</v>
      </c>
      <c r="E2373" s="188" t="n">
        <v>2134239999929.66</v>
      </c>
      <c r="F2373" s="188" t="n">
        <v>8960877693.57604</v>
      </c>
    </row>
    <row r="2374" ht="15" customHeight="1" s="95">
      <c r="A2374" s="143" t="n">
        <v>45838</v>
      </c>
      <c r="B2374" s="94" t="n">
        <v>2025</v>
      </c>
      <c r="C2374" s="94" t="inlineStr">
        <is>
          <t>2025-Q2</t>
        </is>
      </c>
      <c r="D2374" s="186" t="n">
        <v>108396.616313179</v>
      </c>
      <c r="E2374" s="188" t="n">
        <v>2155183166489.81</v>
      </c>
      <c r="F2374" s="188" t="n">
        <v>14881078675.3668</v>
      </c>
    </row>
    <row r="2375" ht="15" customHeight="1" s="95">
      <c r="A2375" s="143" t="n">
        <v>45839</v>
      </c>
      <c r="B2375" s="94" t="n">
        <v>2025</v>
      </c>
      <c r="C2375" s="94" t="inlineStr">
        <is>
          <t>2025-Q3</t>
        </is>
      </c>
      <c r="D2375" s="186" t="n">
        <v>107132.799107019</v>
      </c>
      <c r="E2375" s="188" t="n">
        <v>2130471589191.58</v>
      </c>
      <c r="F2375" s="188" t="n">
        <v>22489515582.4155</v>
      </c>
    </row>
    <row r="2376" ht="15" customHeight="1" s="95">
      <c r="A2376" s="143" t="n">
        <v>45840</v>
      </c>
      <c r="B2376" s="94" t="n">
        <v>2025</v>
      </c>
      <c r="C2376" s="94" t="inlineStr">
        <is>
          <t>2025-Q3</t>
        </is>
      </c>
      <c r="D2376" s="186" t="n">
        <v>105613.399741631</v>
      </c>
      <c r="E2376" s="188" t="n">
        <v>2100087563077.93</v>
      </c>
      <c r="F2376" s="188" t="n">
        <v>25033160828.3091</v>
      </c>
    </row>
    <row r="2377" ht="15" customHeight="1" s="95">
      <c r="A2377" s="143" t="n">
        <v>45841</v>
      </c>
      <c r="B2377" s="94" t="n">
        <v>2025</v>
      </c>
      <c r="C2377" s="94" t="inlineStr">
        <is>
          <t>2025-Q3</t>
        </is>
      </c>
      <c r="D2377" s="186" t="n">
        <v>108824.444231679</v>
      </c>
      <c r="E2377" s="188" t="n">
        <v>2163835371770.1</v>
      </c>
      <c r="F2377" s="188" t="n">
        <v>36395184773.0614</v>
      </c>
    </row>
    <row r="2378" ht="15" customHeight="1" s="95">
      <c r="A2378" s="143" t="n">
        <v>45842</v>
      </c>
      <c r="B2378" s="94" t="n">
        <v>2025</v>
      </c>
      <c r="C2378" s="94" t="inlineStr">
        <is>
          <t>2025-Q3</t>
        </is>
      </c>
      <c r="D2378" s="186" t="n">
        <v>109602.20483914</v>
      </c>
      <c r="E2378" s="188" t="n">
        <v>2179664531219.94</v>
      </c>
      <c r="F2378" s="188" t="n">
        <v>29892049537.6286</v>
      </c>
    </row>
    <row r="2379" ht="15" customHeight="1" s="95">
      <c r="A2379" s="143" t="n">
        <v>45843</v>
      </c>
      <c r="B2379" s="94" t="n">
        <v>2025</v>
      </c>
      <c r="C2379" s="94" t="inlineStr">
        <is>
          <t>2025-Q3</t>
        </is>
      </c>
      <c r="D2379" s="186" t="n">
        <v>108040.89194001</v>
      </c>
      <c r="E2379" s="188" t="n">
        <v>2148601712907.34</v>
      </c>
      <c r="F2379" s="188" t="n">
        <v>24248906784.5738</v>
      </c>
    </row>
    <row r="2380" ht="15" customHeight="1" s="95">
      <c r="A2380" s="143" t="n">
        <v>45844</v>
      </c>
      <c r="B2380" s="94" t="n">
        <v>2025</v>
      </c>
      <c r="C2380" s="94" t="inlineStr">
        <is>
          <t>2025-Q3</t>
        </is>
      </c>
      <c r="D2380" s="186" t="n">
        <v>108217.468499924</v>
      </c>
      <c r="E2380" s="188" t="n">
        <v>2152344091389.65</v>
      </c>
      <c r="F2380" s="188" t="n">
        <v>10042942280.9669</v>
      </c>
    </row>
    <row r="2381" ht="15" customHeight="1" s="95">
      <c r="A2381" s="143" t="n">
        <v>45845</v>
      </c>
      <c r="B2381" s="94" t="n">
        <v>2025</v>
      </c>
      <c r="C2381" s="94" t="inlineStr">
        <is>
          <t>2025-Q3</t>
        </is>
      </c>
      <c r="D2381" s="186" t="n">
        <v>109215.197718403</v>
      </c>
      <c r="E2381" s="188" t="n">
        <v>2171497503296.05</v>
      </c>
      <c r="F2381" s="188" t="n">
        <v>14638669497.3513</v>
      </c>
    </row>
    <row r="2382" ht="15" customHeight="1" s="95">
      <c r="A2382" s="143" t="n">
        <v>45846</v>
      </c>
      <c r="B2382" s="94" t="n">
        <v>2025</v>
      </c>
      <c r="C2382" s="94" t="inlineStr">
        <is>
          <t>2025-Q3</t>
        </is>
      </c>
      <c r="D2382" s="186" t="n">
        <v>108300.71675785</v>
      </c>
      <c r="E2382" s="188" t="n">
        <v>2153777588647.45</v>
      </c>
      <c r="F2382" s="188" t="n">
        <v>25493246475.8041</v>
      </c>
    </row>
    <row r="2383" ht="15" customHeight="1" s="95">
      <c r="A2383" s="143" t="n">
        <v>45847</v>
      </c>
      <c r="B2383" s="94" t="n">
        <v>2025</v>
      </c>
      <c r="C2383" s="94" t="inlineStr">
        <is>
          <t>2025-Q3</t>
        </is>
      </c>
      <c r="D2383" s="186" t="n">
        <v>108953.191877278</v>
      </c>
      <c r="E2383" s="188" t="n">
        <v>2167049398056.74</v>
      </c>
      <c r="F2383" s="188" t="n">
        <v>20488865138.2765</v>
      </c>
    </row>
    <row r="2384" ht="15" customHeight="1" s="95">
      <c r="A2384" s="143" t="n">
        <v>45848</v>
      </c>
      <c r="B2384" s="94" t="n">
        <v>2025</v>
      </c>
      <c r="C2384" s="94" t="inlineStr">
        <is>
          <t>2025-Q3</t>
        </is>
      </c>
      <c r="D2384" s="186" t="n">
        <v>111327.530542457</v>
      </c>
      <c r="E2384" s="188" t="n">
        <v>2215210888568.43</v>
      </c>
      <c r="F2384" s="188" t="n">
        <v>37078460440.6639</v>
      </c>
    </row>
    <row r="2385" ht="15" customHeight="1" s="95">
      <c r="A2385" s="143" t="n">
        <v>45849</v>
      </c>
      <c r="B2385" s="94" t="n">
        <v>2025</v>
      </c>
      <c r="C2385" s="94" t="inlineStr">
        <is>
          <t>2025-Q3</t>
        </is>
      </c>
      <c r="D2385" s="186" t="n">
        <v>115879.650301125</v>
      </c>
      <c r="E2385" s="188" t="n">
        <v>2303292356999.74</v>
      </c>
      <c r="F2385" s="188" t="n">
        <v>56204086624.0403</v>
      </c>
    </row>
    <row r="2386" ht="15" customHeight="1" s="95">
      <c r="A2386" s="143" t="n">
        <v>45850</v>
      </c>
      <c r="B2386" s="94" t="n">
        <v>2025</v>
      </c>
      <c r="C2386" s="94" t="inlineStr">
        <is>
          <t>2025-Q3</t>
        </is>
      </c>
      <c r="D2386" s="186" t="n">
        <v>117571.02510036</v>
      </c>
      <c r="E2386" s="188" t="n">
        <v>2338612196961.74</v>
      </c>
      <c r="F2386" s="188" t="n">
        <v>64185145923.8869</v>
      </c>
    </row>
    <row r="2387" ht="15" customHeight="1" s="95">
      <c r="A2387" s="143" t="n">
        <v>45851</v>
      </c>
      <c r="B2387" s="94" t="n">
        <v>2025</v>
      </c>
      <c r="C2387" s="94" t="inlineStr">
        <is>
          <t>2025-Q3</t>
        </is>
      </c>
      <c r="D2387" s="186" t="n">
        <v>117418.957450077</v>
      </c>
      <c r="E2387" s="188" t="n">
        <v>2335485977830.67</v>
      </c>
      <c r="F2387" s="188" t="n">
        <v>24351256098.3935</v>
      </c>
    </row>
    <row r="2388" ht="15" customHeight="1" s="95">
      <c r="A2388" s="143" t="n">
        <v>45852</v>
      </c>
      <c r="B2388" s="94" t="n">
        <v>2025</v>
      </c>
      <c r="C2388" s="94" t="inlineStr">
        <is>
          <t>2025-Q3</t>
        </is>
      </c>
      <c r="D2388" s="186" t="n">
        <v>119117.556663276</v>
      </c>
      <c r="E2388" s="188" t="n">
        <v>2369050366835.56</v>
      </c>
      <c r="F2388" s="188" t="n">
        <v>27310851454.9769</v>
      </c>
    </row>
    <row r="2389" ht="15" customHeight="1" s="95">
      <c r="A2389" s="143" t="n">
        <v>45853</v>
      </c>
      <c r="B2389" s="94" t="n">
        <v>2025</v>
      </c>
      <c r="C2389" s="94" t="inlineStr">
        <is>
          <t>2025-Q3</t>
        </is>
      </c>
      <c r="D2389" s="186" t="n">
        <v>119833.674467124</v>
      </c>
      <c r="E2389" s="188" t="n">
        <v>2383825813673.85</v>
      </c>
      <c r="F2389" s="188" t="n">
        <v>68915956378.8045</v>
      </c>
    </row>
    <row r="2390" ht="15" customHeight="1" s="95">
      <c r="A2390" s="143" t="n">
        <v>45854</v>
      </c>
      <c r="B2390" s="94" t="n">
        <v>2025</v>
      </c>
      <c r="C2390" s="94" t="inlineStr">
        <is>
          <t>2025-Q3</t>
        </is>
      </c>
      <c r="D2390" s="186" t="n">
        <v>117678.194934043</v>
      </c>
      <c r="E2390" s="188" t="n">
        <v>2341223394839.92</v>
      </c>
      <c r="F2390" s="188" t="n">
        <v>80299520980.23351</v>
      </c>
    </row>
    <row r="2391" ht="15" customHeight="1" s="95">
      <c r="A2391" s="143" t="n">
        <v>45855</v>
      </c>
      <c r="B2391" s="94" t="n">
        <v>2025</v>
      </c>
      <c r="C2391" s="94" t="inlineStr">
        <is>
          <t>2025-Q3</t>
        </is>
      </c>
      <c r="D2391" s="186" t="n">
        <v>118748.162736775</v>
      </c>
      <c r="E2391" s="188" t="n">
        <v>2363194640209.58</v>
      </c>
      <c r="F2391" s="188" t="n">
        <v>50374263848.7628</v>
      </c>
    </row>
    <row r="2392" ht="15" customHeight="1" s="95">
      <c r="A2392" s="143" t="n">
        <v>45856</v>
      </c>
      <c r="B2392" s="94" t="n">
        <v>2025</v>
      </c>
      <c r="C2392" s="94" t="inlineStr">
        <is>
          <t>2025-Q3</t>
        </is>
      </c>
      <c r="D2392" s="186" t="n">
        <v>119445.36520434</v>
      </c>
      <c r="E2392" s="188" t="n">
        <v>2376237382764.3</v>
      </c>
      <c r="F2392" s="188" t="n">
        <v>49282617205.7266</v>
      </c>
    </row>
    <row r="2393" ht="15" customHeight="1" s="95">
      <c r="A2393" s="143" t="n">
        <v>45857</v>
      </c>
      <c r="B2393" s="94" t="n">
        <v>2025</v>
      </c>
      <c r="C2393" s="94" t="inlineStr">
        <is>
          <t>2025-Q3</t>
        </is>
      </c>
      <c r="D2393" s="186" t="n">
        <v>117988.946644558</v>
      </c>
      <c r="E2393" s="188" t="n">
        <v>2347165317624.54</v>
      </c>
      <c r="F2393" s="188" t="n">
        <v>58896449260.6939</v>
      </c>
    </row>
    <row r="2394" ht="15" customHeight="1" s="95">
      <c r="A2394" s="143" t="n">
        <v>45858</v>
      </c>
      <c r="B2394" s="94" t="n">
        <v>2025</v>
      </c>
      <c r="C2394" s="94" t="inlineStr">
        <is>
          <t>2025-Q3</t>
        </is>
      </c>
      <c r="D2394" s="186" t="n">
        <v>117901.626559009</v>
      </c>
      <c r="E2394" s="188" t="n">
        <v>2345398337785.54</v>
      </c>
      <c r="F2394" s="188" t="n">
        <v>23934511126.3495</v>
      </c>
    </row>
    <row r="2395" ht="15" customHeight="1" s="95">
      <c r="A2395" s="143" t="n">
        <v>45859</v>
      </c>
      <c r="B2395" s="94" t="n">
        <v>2025</v>
      </c>
      <c r="C2395" s="94" t="inlineStr">
        <is>
          <t>2025-Q3</t>
        </is>
      </c>
      <c r="D2395" s="186" t="n">
        <v>117256.920822268</v>
      </c>
      <c r="E2395" s="188" t="n">
        <v>2333757287859.66</v>
      </c>
      <c r="F2395" s="188" t="n">
        <v>36702153882.0675</v>
      </c>
    </row>
    <row r="2396" ht="15" customHeight="1" s="95">
      <c r="A2396" s="143" t="n">
        <v>45860</v>
      </c>
      <c r="B2396" s="94" t="n">
        <v>2025</v>
      </c>
      <c r="C2396" s="94" t="inlineStr">
        <is>
          <t>2025-Q3</t>
        </is>
      </c>
      <c r="D2396" s="186" t="n">
        <v>117482.469777673</v>
      </c>
      <c r="E2396" s="188" t="n">
        <v>2337365497467.13</v>
      </c>
      <c r="F2396" s="188" t="n">
        <v>46344384345.3947</v>
      </c>
    </row>
    <row r="2397" ht="15" customHeight="1" s="95">
      <c r="A2397" s="143" t="n">
        <v>45861</v>
      </c>
      <c r="B2397" s="94" t="n">
        <v>2025</v>
      </c>
      <c r="C2397" s="94" t="inlineStr">
        <is>
          <t>2025-Q3</t>
        </is>
      </c>
      <c r="D2397" s="186" t="n">
        <v>119955.795706077</v>
      </c>
      <c r="E2397" s="188" t="n">
        <v>2387516761560.49</v>
      </c>
      <c r="F2397" s="188" t="n">
        <v>58939000420.9417</v>
      </c>
    </row>
    <row r="2398" ht="15" customHeight="1" s="95">
      <c r="A2398" s="143" t="n">
        <v>45862</v>
      </c>
      <c r="B2398" s="94" t="n">
        <v>2025</v>
      </c>
      <c r="C2398" s="94" t="inlineStr">
        <is>
          <t>2025-Q3</t>
        </is>
      </c>
      <c r="D2398" s="186" t="n">
        <v>118629.055881304</v>
      </c>
      <c r="E2398" s="188" t="n">
        <v>2359931875300.52</v>
      </c>
      <c r="F2398" s="188" t="n">
        <v>45225685167.617</v>
      </c>
    </row>
    <row r="2399" ht="15" customHeight="1" s="95">
      <c r="A2399" s="143" t="n">
        <v>45863</v>
      </c>
      <c r="B2399" s="94" t="n">
        <v>2025</v>
      </c>
      <c r="C2399" s="94" t="inlineStr">
        <is>
          <t>2025-Q3</t>
        </is>
      </c>
      <c r="D2399" s="186" t="n">
        <v>118354.435174386</v>
      </c>
      <c r="E2399" s="188" t="n">
        <v>2354764508342.99</v>
      </c>
      <c r="F2399" s="188" t="n">
        <v>51940414419.3327</v>
      </c>
    </row>
    <row r="2400" ht="15" customHeight="1" s="95">
      <c r="A2400" s="143" t="n">
        <v>45864</v>
      </c>
      <c r="B2400" s="94" t="n">
        <v>2025</v>
      </c>
      <c r="C2400" s="94" t="inlineStr">
        <is>
          <t>2025-Q3</t>
        </is>
      </c>
      <c r="D2400" s="186" t="n">
        <v>117540.808370857</v>
      </c>
      <c r="E2400" s="188" t="n">
        <v>2338855554998.78</v>
      </c>
      <c r="F2400" s="188" t="n">
        <v>91617702596.1035</v>
      </c>
    </row>
    <row r="2401" ht="15" customHeight="1" s="95">
      <c r="A2401" s="143" t="n">
        <v>45865</v>
      </c>
      <c r="B2401" s="94" t="n">
        <v>2025</v>
      </c>
      <c r="C2401" s="94" t="inlineStr">
        <is>
          <t>2025-Q3</t>
        </is>
      </c>
      <c r="D2401" s="186" t="n">
        <v>117959.542343606</v>
      </c>
      <c r="E2401" s="188" t="n">
        <v>2346959472845.03</v>
      </c>
      <c r="F2401" s="188" t="n">
        <v>25145925063.8814</v>
      </c>
    </row>
    <row r="2402" ht="15" customHeight="1" s="95">
      <c r="A2402" s="143" t="n">
        <v>45866</v>
      </c>
      <c r="B2402" s="94" t="n">
        <v>2025</v>
      </c>
      <c r="C2402" s="94" t="inlineStr">
        <is>
          <t>2025-Q3</t>
        </is>
      </c>
      <c r="D2402" s="186" t="n">
        <v>119418.914051415</v>
      </c>
      <c r="E2402" s="188" t="n">
        <v>2376524838793.01</v>
      </c>
      <c r="F2402" s="188" t="n">
        <v>30220402191.4677</v>
      </c>
    </row>
    <row r="2403" ht="15" customHeight="1" s="95">
      <c r="A2403" s="143" t="n">
        <v>45867</v>
      </c>
      <c r="B2403" s="94" t="n">
        <v>2025</v>
      </c>
      <c r="C2403" s="94" t="inlineStr">
        <is>
          <t>2025-Q3</t>
        </is>
      </c>
      <c r="D2403" s="186" t="n">
        <v>118003.302016078</v>
      </c>
      <c r="E2403" s="188" t="n">
        <v>2349472897426.47</v>
      </c>
      <c r="F2403" s="188" t="n">
        <v>43433742203.6216</v>
      </c>
    </row>
    <row r="2404" ht="15" customHeight="1" s="95">
      <c r="A2404" s="143" t="n">
        <v>45868</v>
      </c>
      <c r="B2404" s="94" t="n">
        <v>2025</v>
      </c>
      <c r="C2404" s="94" t="inlineStr">
        <is>
          <t>2025-Q3</t>
        </is>
      </c>
      <c r="D2404" s="186" t="n">
        <v>117853.308928638</v>
      </c>
      <c r="E2404" s="188" t="n">
        <v>2345126504020.11</v>
      </c>
      <c r="F2404" s="188" t="n">
        <v>42860287143.6883</v>
      </c>
    </row>
    <row r="2405" ht="15" customHeight="1" s="95">
      <c r="A2405" s="143" t="n">
        <v>45869</v>
      </c>
      <c r="B2405" s="94" t="n">
        <v>2025</v>
      </c>
      <c r="C2405" s="94" t="inlineStr">
        <is>
          <t>2025-Q3</t>
        </is>
      </c>
      <c r="D2405" s="186" t="n">
        <v>117833.240879959</v>
      </c>
      <c r="E2405" s="188" t="n">
        <v>2343717963709.71</v>
      </c>
      <c r="F2405" s="188" t="n">
        <v>43054424656.5865</v>
      </c>
    </row>
    <row r="2406" ht="15" customHeight="1" s="95">
      <c r="A2406" s="143" t="n">
        <v>45870</v>
      </c>
      <c r="B2406" s="94" t="n">
        <v>2025</v>
      </c>
      <c r="C2406" s="94" t="inlineStr">
        <is>
          <t>2025-Q3</t>
        </is>
      </c>
      <c r="D2406" s="186" t="n">
        <v>115700.002439158</v>
      </c>
      <c r="E2406" s="188" t="n">
        <v>2302199162425.12</v>
      </c>
      <c r="F2406" s="188" t="n">
        <v>45238249453.3589</v>
      </c>
    </row>
    <row r="2407" ht="15" customHeight="1" s="95">
      <c r="A2407" s="143" t="n">
        <v>45871</v>
      </c>
      <c r="B2407" s="94" t="n">
        <v>2025</v>
      </c>
      <c r="C2407" s="94" t="inlineStr">
        <is>
          <t>2025-Q3</t>
        </is>
      </c>
      <c r="D2407" s="186" t="n">
        <v>113234.605134319</v>
      </c>
      <c r="E2407" s="188" t="n">
        <v>2253609880959.4</v>
      </c>
      <c r="F2407" s="188" t="n">
        <v>65794680822.2526</v>
      </c>
    </row>
    <row r="2408" ht="15" customHeight="1" s="95">
      <c r="A2408" s="143" t="n">
        <v>45872</v>
      </c>
      <c r="B2408" s="94" t="n">
        <v>2025</v>
      </c>
      <c r="C2408" s="94" t="inlineStr">
        <is>
          <t>2025-Q3</t>
        </is>
      </c>
      <c r="D2408" s="186" t="n">
        <v>112554.902322217</v>
      </c>
      <c r="E2408" s="188" t="n">
        <v>2240413983638.11</v>
      </c>
      <c r="F2408" s="188" t="n">
        <v>33543439044.0979</v>
      </c>
    </row>
    <row r="2409" ht="15" customHeight="1" s="95">
      <c r="A2409" s="143" t="n">
        <v>45873</v>
      </c>
      <c r="B2409" s="94" t="n">
        <v>2025</v>
      </c>
      <c r="C2409" s="94" t="inlineStr">
        <is>
          <t>2025-Q3</t>
        </is>
      </c>
      <c r="D2409" s="186" t="n">
        <v>114199.109664608</v>
      </c>
      <c r="E2409" s="188" t="n">
        <v>2272802075267.04</v>
      </c>
      <c r="F2409" s="188" t="n">
        <v>24689273719.0855</v>
      </c>
    </row>
    <row r="2410" ht="15" customHeight="1" s="95">
      <c r="A2410" s="143" t="n">
        <v>45874</v>
      </c>
      <c r="B2410" s="94" t="n">
        <v>2025</v>
      </c>
      <c r="C2410" s="94" t="inlineStr">
        <is>
          <t>2025-Q3</t>
        </is>
      </c>
      <c r="D2410" s="186" t="n">
        <v>115138.686130702</v>
      </c>
      <c r="E2410" s="188" t="n">
        <v>2292395156144.15</v>
      </c>
      <c r="F2410" s="188" t="n">
        <v>32488023582.8273</v>
      </c>
    </row>
    <row r="2411" ht="15" customHeight="1" s="95">
      <c r="A2411" s="143" t="n">
        <v>45875</v>
      </c>
      <c r="B2411" s="94" t="n">
        <v>2025</v>
      </c>
      <c r="C2411" s="94" t="inlineStr">
        <is>
          <t>2025-Q3</t>
        </is>
      </c>
      <c r="D2411" s="186" t="n">
        <v>114128.354088817</v>
      </c>
      <c r="E2411" s="188" t="n">
        <v>2271583255077.36</v>
      </c>
      <c r="F2411" s="188" t="n">
        <v>37316213251.9717</v>
      </c>
    </row>
    <row r="2412" ht="15" customHeight="1" s="95">
      <c r="A2412" s="143" t="n">
        <v>45876</v>
      </c>
      <c r="B2412" s="94" t="n">
        <v>2025</v>
      </c>
      <c r="C2412" s="94" t="inlineStr">
        <is>
          <t>2025-Q3</t>
        </is>
      </c>
      <c r="D2412" s="186" t="n">
        <v>115022.095768309</v>
      </c>
      <c r="E2412" s="188" t="n">
        <v>2289295036528.66</v>
      </c>
      <c r="F2412" s="188" t="n">
        <v>32052509631.0589</v>
      </c>
    </row>
    <row r="2413" ht="15" customHeight="1" s="95">
      <c r="A2413" s="143" t="n">
        <v>45877</v>
      </c>
      <c r="B2413" s="94" t="n">
        <v>2025</v>
      </c>
      <c r="C2413" s="94" t="inlineStr">
        <is>
          <t>2025-Q3</t>
        </is>
      </c>
      <c r="D2413" s="186" t="n">
        <v>117463.474510852</v>
      </c>
      <c r="E2413" s="188" t="n">
        <v>2337732858703.54</v>
      </c>
      <c r="F2413" s="188" t="n">
        <v>38289687095.0049</v>
      </c>
    </row>
    <row r="2414" ht="15" customHeight="1" s="95">
      <c r="A2414" s="143" t="n">
        <v>45878</v>
      </c>
      <c r="B2414" s="94" t="n">
        <v>2025</v>
      </c>
      <c r="C2414" s="94" t="inlineStr">
        <is>
          <t>2025-Q3</t>
        </is>
      </c>
      <c r="D2414" s="186" t="n">
        <v>116688.366631861</v>
      </c>
      <c r="E2414" s="188" t="n">
        <v>2323026541073.32</v>
      </c>
      <c r="F2414" s="188" t="n">
        <v>33017415812.9735</v>
      </c>
    </row>
    <row r="2415" ht="15" customHeight="1" s="95">
      <c r="A2415" s="143" t="n">
        <v>45879</v>
      </c>
      <c r="B2415" s="94" t="n">
        <v>2025</v>
      </c>
      <c r="C2415" s="94" t="inlineStr">
        <is>
          <t>2025-Q3</t>
        </is>
      </c>
      <c r="D2415" s="186" t="n">
        <v>116510.083932138</v>
      </c>
      <c r="E2415" s="188" t="n">
        <v>2318815857401.68</v>
      </c>
      <c r="F2415" s="188" t="n">
        <v>27638785406.2106</v>
      </c>
    </row>
    <row r="2416" ht="15" customHeight="1" s="95">
      <c r="A2416" s="143" t="n">
        <v>45880</v>
      </c>
      <c r="B2416" s="94" t="n">
        <v>2025</v>
      </c>
      <c r="C2416" s="94" t="inlineStr">
        <is>
          <t>2025-Q3</t>
        </is>
      </c>
      <c r="D2416" s="186" t="n">
        <v>119266.925168806</v>
      </c>
      <c r="E2416" s="188" t="n">
        <v>2374097296837.89</v>
      </c>
      <c r="F2416" s="188" t="n">
        <v>37157754754.8519</v>
      </c>
    </row>
    <row r="2417" ht="15" customHeight="1" s="95">
      <c r="A2417" s="143" t="n">
        <v>45881</v>
      </c>
      <c r="B2417" s="94" t="n">
        <v>2025</v>
      </c>
      <c r="C2417" s="94" t="inlineStr">
        <is>
          <t>2025-Q3</t>
        </is>
      </c>
      <c r="D2417" s="186" t="n">
        <v>118773.79960861</v>
      </c>
      <c r="E2417" s="188" t="n">
        <v>2364060561673</v>
      </c>
      <c r="F2417" s="188" t="n">
        <v>61739781527.9585</v>
      </c>
    </row>
    <row r="2418" ht="15" customHeight="1" s="95">
      <c r="A2418" s="143" t="n">
        <v>45882</v>
      </c>
      <c r="B2418" s="94" t="n">
        <v>2025</v>
      </c>
      <c r="C2418" s="94" t="inlineStr">
        <is>
          <t>2025-Q3</t>
        </is>
      </c>
      <c r="D2418" s="186" t="n">
        <v>120202.534855032</v>
      </c>
      <c r="E2418" s="188" t="n">
        <v>2392854421745.62</v>
      </c>
      <c r="F2418" s="188" t="n">
        <v>46941089789.5799</v>
      </c>
    </row>
    <row r="2419" ht="15" customHeight="1" s="95">
      <c r="A2419" s="143" t="n">
        <v>45883</v>
      </c>
      <c r="B2419" s="94" t="n">
        <v>2025</v>
      </c>
      <c r="C2419" s="94" t="inlineStr">
        <is>
          <t>2025-Q3</t>
        </is>
      </c>
      <c r="D2419" s="186" t="n">
        <v>123560.993635773</v>
      </c>
      <c r="E2419" s="188" t="n">
        <v>2458895200752.57</v>
      </c>
      <c r="F2419" s="188" t="n">
        <v>61818118105.5399</v>
      </c>
    </row>
    <row r="2420" ht="15" customHeight="1" s="95">
      <c r="A2420" s="143" t="n">
        <v>45884</v>
      </c>
      <c r="B2420" s="94" t="n">
        <v>2025</v>
      </c>
      <c r="C2420" s="94" t="inlineStr">
        <is>
          <t>2025-Q3</t>
        </is>
      </c>
      <c r="D2420" s="186" t="n">
        <v>118405.59579824</v>
      </c>
      <c r="E2420" s="188" t="n">
        <v>2360043737045.27</v>
      </c>
      <c r="F2420" s="188" t="n">
        <v>73822008367.9968</v>
      </c>
    </row>
    <row r="2421" ht="15" customHeight="1" s="95">
      <c r="A2421" s="143" t="n">
        <v>45885</v>
      </c>
      <c r="B2421" s="94" t="n">
        <v>2025</v>
      </c>
      <c r="C2421" s="94" t="inlineStr">
        <is>
          <t>2025-Q3</t>
        </is>
      </c>
      <c r="D2421" s="186" t="n">
        <v>117339.791902133</v>
      </c>
      <c r="E2421" s="188" t="n">
        <v>2335290383260.17</v>
      </c>
      <c r="F2421" s="188" t="n">
        <v>44268714220.021</v>
      </c>
    </row>
    <row r="2422" ht="15" customHeight="1" s="95">
      <c r="A2422" s="143" t="n">
        <v>45886</v>
      </c>
      <c r="B2422" s="94" t="n">
        <v>2025</v>
      </c>
      <c r="C2422" s="94" t="inlineStr">
        <is>
          <t>2025-Q3</t>
        </is>
      </c>
      <c r="D2422" s="186" t="n">
        <v>117501.21653395</v>
      </c>
      <c r="E2422" s="188" t="n">
        <v>2339465736068.21</v>
      </c>
      <c r="F2422" s="188" t="n">
        <v>23202714236.5424</v>
      </c>
    </row>
    <row r="2423" ht="15" customHeight="1" s="95">
      <c r="A2423" s="143" t="n">
        <v>45887</v>
      </c>
      <c r="B2423" s="94" t="n">
        <v>2025</v>
      </c>
      <c r="C2423" s="94" t="inlineStr">
        <is>
          <t>2025-Q3</t>
        </is>
      </c>
      <c r="D2423" s="186" t="n">
        <v>117542.836877781</v>
      </c>
      <c r="E2423" s="188" t="n">
        <v>2340648324181.83</v>
      </c>
      <c r="F2423" s="188" t="n">
        <v>20906566026.6454</v>
      </c>
    </row>
    <row r="2424" ht="15" customHeight="1" s="95">
      <c r="A2424" s="143" t="n">
        <v>45888</v>
      </c>
      <c r="B2424" s="94" t="n">
        <v>2025</v>
      </c>
      <c r="C2424" s="94" t="inlineStr">
        <is>
          <t>2025-Q3</t>
        </is>
      </c>
      <c r="D2424" s="186" t="n">
        <v>116256.41276741</v>
      </c>
      <c r="E2424" s="188" t="n">
        <v>2313556987528.46</v>
      </c>
      <c r="F2424" s="188" t="n">
        <v>47337926940.9857</v>
      </c>
    </row>
    <row r="2425" ht="15" customHeight="1" s="95">
      <c r="A2425" s="143" t="n">
        <v>45889</v>
      </c>
      <c r="B2425" s="94" t="n">
        <v>2025</v>
      </c>
      <c r="C2425" s="94" t="inlineStr">
        <is>
          <t>2025-Q3</t>
        </is>
      </c>
      <c r="D2425" s="186" t="n">
        <v>112778.344835558</v>
      </c>
      <c r="E2425" s="188" t="n">
        <v>2245419916215.74</v>
      </c>
      <c r="F2425" s="188" t="n">
        <v>46156885037.4039</v>
      </c>
    </row>
    <row r="2426" ht="15" customHeight="1" s="95">
      <c r="A2426" s="143" t="n">
        <v>45890</v>
      </c>
      <c r="B2426" s="94" t="n">
        <v>2025</v>
      </c>
      <c r="C2426" s="94" t="inlineStr">
        <is>
          <t>2025-Q3</t>
        </is>
      </c>
      <c r="D2426" s="186" t="n">
        <v>114252.397551954</v>
      </c>
      <c r="E2426" s="188" t="n">
        <v>2274471285844.18</v>
      </c>
      <c r="F2426" s="188" t="n">
        <v>42166369117.0069</v>
      </c>
    </row>
    <row r="2427" ht="15" customHeight="1" s="95">
      <c r="A2427" s="143" t="n">
        <v>45891</v>
      </c>
      <c r="B2427" s="94" t="n">
        <v>2025</v>
      </c>
      <c r="C2427" s="94" t="inlineStr">
        <is>
          <t>2025-Q3</t>
        </is>
      </c>
      <c r="D2427" s="186" t="n">
        <v>112414.399873365</v>
      </c>
      <c r="E2427" s="188" t="n">
        <v>2238121481749.57</v>
      </c>
      <c r="F2427" s="188" t="n">
        <v>32048202090.6547</v>
      </c>
    </row>
    <row r="2428" ht="15" customHeight="1" s="95">
      <c r="A2428" s="143" t="n">
        <v>45892</v>
      </c>
      <c r="B2428" s="94" t="n">
        <v>2025</v>
      </c>
      <c r="C2428" s="94" t="inlineStr">
        <is>
          <t>2025-Q3</t>
        </is>
      </c>
      <c r="D2428" s="186" t="n">
        <v>116834.249482023</v>
      </c>
      <c r="E2428" s="188" t="n">
        <v>2326174803320.61</v>
      </c>
      <c r="F2428" s="188" t="n">
        <v>50878158870.8293</v>
      </c>
    </row>
    <row r="2429" ht="15" customHeight="1" s="95">
      <c r="A2429" s="143" t="n">
        <v>45893</v>
      </c>
      <c r="B2429" s="94" t="n">
        <v>2025</v>
      </c>
      <c r="C2429" s="94" t="inlineStr">
        <is>
          <t>2025-Q3</t>
        </is>
      </c>
      <c r="D2429" s="186" t="n">
        <v>115359.983467147</v>
      </c>
      <c r="E2429" s="188" t="n">
        <v>2296786080139.7</v>
      </c>
      <c r="F2429" s="188" t="n">
        <v>27306719885.258</v>
      </c>
    </row>
    <row r="2430" ht="15" customHeight="1" s="95">
      <c r="A2430" s="143" t="n">
        <v>45894</v>
      </c>
      <c r="B2430" s="94" t="n">
        <v>2025</v>
      </c>
      <c r="C2430" s="94" t="inlineStr">
        <is>
          <t>2025-Q3</t>
        </is>
      </c>
      <c r="D2430" s="186" t="n">
        <v>113399.54847315</v>
      </c>
      <c r="E2430" s="188" t="n">
        <v>2259663171125.39</v>
      </c>
      <c r="F2430" s="188" t="n">
        <v>40682656776.69</v>
      </c>
    </row>
    <row r="2431" ht="15" customHeight="1" s="95">
      <c r="A2431" s="143" t="n">
        <v>45895</v>
      </c>
      <c r="B2431" s="94" t="n">
        <v>2025</v>
      </c>
      <c r="C2431" s="94" t="inlineStr">
        <is>
          <t>2025-Q3</t>
        </is>
      </c>
      <c r="D2431" s="186" t="n">
        <v>110185.354439004</v>
      </c>
      <c r="E2431" s="188" t="n">
        <v>2194453712375.6</v>
      </c>
      <c r="F2431" s="188" t="n">
        <v>52854872363.9366</v>
      </c>
    </row>
    <row r="2432" ht="15" customHeight="1" s="95">
      <c r="A2432" s="143" t="n">
        <v>45896</v>
      </c>
      <c r="B2432" s="94" t="n">
        <v>2025</v>
      </c>
      <c r="C2432" s="94" t="inlineStr">
        <is>
          <t>2025-Q3</t>
        </is>
      </c>
      <c r="D2432" s="186" t="n">
        <v>111842.709992606</v>
      </c>
      <c r="E2432" s="188" t="n">
        <v>2227025695775.59</v>
      </c>
      <c r="F2432" s="188" t="n">
        <v>43023800053.0546</v>
      </c>
    </row>
    <row r="2433" ht="15" customHeight="1" s="95">
      <c r="A2433" s="143" t="n">
        <v>45897</v>
      </c>
      <c r="B2433" s="94" t="n">
        <v>2025</v>
      </c>
      <c r="C2433" s="94" t="inlineStr">
        <is>
          <t>2025-Q3</t>
        </is>
      </c>
      <c r="D2433" s="186" t="n">
        <v>111216.084796292</v>
      </c>
      <c r="E2433" s="188" t="n">
        <v>2215255294289.99</v>
      </c>
      <c r="F2433" s="188" t="n">
        <v>36957904262.9958</v>
      </c>
    </row>
    <row r="2434" ht="15" customHeight="1" s="95">
      <c r="A2434" s="143" t="n">
        <v>45898</v>
      </c>
      <c r="B2434" s="94" t="n">
        <v>2025</v>
      </c>
      <c r="C2434" s="94" t="inlineStr">
        <is>
          <t>2025-Q3</t>
        </is>
      </c>
      <c r="D2434" s="186" t="n">
        <v>112525.597406698</v>
      </c>
      <c r="E2434" s="188" t="n">
        <v>2239422945686.89</v>
      </c>
      <c r="F2434" s="188" t="n">
        <v>34222495087.2069</v>
      </c>
    </row>
    <row r="2435" ht="15" customHeight="1" s="95">
      <c r="A2435" s="143" t="n">
        <v>45899</v>
      </c>
      <c r="B2435" s="94" t="n">
        <v>2025</v>
      </c>
      <c r="C2435" s="94" t="inlineStr">
        <is>
          <t>2025-Q3</t>
        </is>
      </c>
      <c r="D2435" s="186" t="n">
        <v>108480.306666394</v>
      </c>
      <c r="E2435" s="188" t="n">
        <v>2160278651486.29</v>
      </c>
      <c r="F2435" s="188" t="n">
        <v>51702115726.3896</v>
      </c>
    </row>
    <row r="2436" ht="15" customHeight="1" s="95">
      <c r="A2436" s="143" t="n">
        <v>45900</v>
      </c>
      <c r="B2436" s="94" t="n">
        <v>2025</v>
      </c>
      <c r="C2436" s="94" t="inlineStr">
        <is>
          <t>2025-Q3</t>
        </is>
      </c>
      <c r="D2436" s="186" t="n">
        <v>108781.957279257</v>
      </c>
      <c r="E2436" s="188" t="n">
        <v>2166165747945.18</v>
      </c>
      <c r="F2436" s="188" t="n">
        <v>27799981330.7922</v>
      </c>
    </row>
    <row r="2437" ht="15" customHeight="1" s="95">
      <c r="A2437" s="143" t="n">
        <v>45901</v>
      </c>
      <c r="B2437" s="94" t="n">
        <v>2025</v>
      </c>
      <c r="C2437" s="94" t="inlineStr">
        <is>
          <t>2025-Q3</t>
        </is>
      </c>
      <c r="D2437" s="186" t="n">
        <v>108253.360923856</v>
      </c>
      <c r="E2437" s="188" t="n">
        <v>2155694976689.6</v>
      </c>
      <c r="F2437" s="188" t="n">
        <v>26140904019.2468</v>
      </c>
    </row>
    <row r="2438" ht="15" customHeight="1" s="95">
      <c r="A2438" s="143" t="n">
        <v>45902</v>
      </c>
      <c r="B2438" s="94" t="n">
        <v>2025</v>
      </c>
      <c r="C2438" s="94" t="inlineStr">
        <is>
          <t>2025-Q3</t>
        </is>
      </c>
      <c r="D2438" s="186" t="n">
        <v>109162.685579923</v>
      </c>
      <c r="E2438" s="188" t="n">
        <v>2174100506466.43</v>
      </c>
      <c r="F2438" s="188" t="n">
        <v>42999610648.393</v>
      </c>
    </row>
    <row r="2439" ht="15" customHeight="1" s="95">
      <c r="A2439" s="143" t="n">
        <v>45903</v>
      </c>
      <c r="B2439" s="94" t="n">
        <v>2025</v>
      </c>
      <c r="C2439" s="94" t="inlineStr">
        <is>
          <t>2025-Q3</t>
        </is>
      </c>
      <c r="D2439" s="186" t="n">
        <v>111190.182098454</v>
      </c>
      <c r="E2439" s="188" t="n">
        <v>2212595221503.45</v>
      </c>
      <c r="F2439" s="188" t="n">
        <v>50235464642.846</v>
      </c>
    </row>
    <row r="2440" ht="15" customHeight="1" s="95">
      <c r="A2440" s="143" t="n">
        <v>45904</v>
      </c>
      <c r="B2440" s="94" t="n">
        <v>2025</v>
      </c>
      <c r="C2440" s="94" t="inlineStr">
        <is>
          <t>2025-Q3</t>
        </is>
      </c>
      <c r="D2440" s="186" t="n">
        <v>111711.519777251</v>
      </c>
      <c r="E2440" s="188" t="n">
        <v>2225365905592.23</v>
      </c>
      <c r="F2440" s="188" t="n">
        <v>36406080683.4275</v>
      </c>
    </row>
    <row r="2441" ht="15" customHeight="1" s="95">
      <c r="A2441" s="143" t="n">
        <v>45905</v>
      </c>
      <c r="B2441" s="94" t="n">
        <v>2025</v>
      </c>
      <c r="C2441" s="94" t="inlineStr">
        <is>
          <t>2025-Q3</t>
        </is>
      </c>
      <c r="D2441" s="186" t="n">
        <v>110724.736377486</v>
      </c>
      <c r="E2441" s="188" t="n">
        <v>2204051936301.33</v>
      </c>
      <c r="F2441" s="188" t="n">
        <v>38708366685.4315</v>
      </c>
    </row>
    <row r="2442" ht="15" customHeight="1" s="95">
      <c r="A2442" s="143" t="n">
        <v>45906</v>
      </c>
      <c r="B2442" s="94" t="n">
        <v>2025</v>
      </c>
      <c r="C2442" s="94" t="inlineStr">
        <is>
          <t>2025-Q3</t>
        </is>
      </c>
      <c r="D2442" s="186" t="n">
        <v>110662.181126285</v>
      </c>
      <c r="E2442" s="188" t="n">
        <v>2204045604630.56</v>
      </c>
      <c r="F2442" s="188" t="n">
        <v>56020470627.4067</v>
      </c>
    </row>
    <row r="2443" ht="15" customHeight="1" s="95">
      <c r="A2443" s="143" t="n">
        <v>45907</v>
      </c>
      <c r="B2443" s="94" t="n">
        <v>2025</v>
      </c>
      <c r="C2443" s="94" t="inlineStr">
        <is>
          <t>2025-Q3</t>
        </is>
      </c>
      <c r="D2443" s="186" t="n">
        <v>110209.188824778</v>
      </c>
      <c r="E2443" s="188" t="n">
        <v>2195288669199.57</v>
      </c>
      <c r="F2443" s="188" t="n">
        <v>19340758702.0763</v>
      </c>
    </row>
    <row r="2444" ht="15" customHeight="1" s="95">
      <c r="A2444" s="143" t="n">
        <v>45908</v>
      </c>
      <c r="B2444" s="94" t="n">
        <v>2025</v>
      </c>
      <c r="C2444" s="94" t="inlineStr">
        <is>
          <t>2025-Q3</t>
        </is>
      </c>
      <c r="D2444" s="186" t="n">
        <v>111131.992386841</v>
      </c>
      <c r="E2444" s="188" t="n">
        <v>2213764479139.37</v>
      </c>
      <c r="F2444" s="188" t="n">
        <v>22147049159.3351</v>
      </c>
    </row>
    <row r="2445" ht="15" customHeight="1" s="95">
      <c r="A2445" s="143" t="n">
        <v>45909</v>
      </c>
      <c r="B2445" s="94" t="n">
        <v>2025</v>
      </c>
      <c r="C2445" s="94" t="inlineStr">
        <is>
          <t>2025-Q3</t>
        </is>
      </c>
      <c r="D2445" s="186" t="n">
        <v>112025.128781188</v>
      </c>
      <c r="E2445" s="188" t="n">
        <v>2231763512226.87</v>
      </c>
      <c r="F2445" s="188" t="n">
        <v>37159847899.8603</v>
      </c>
    </row>
    <row r="2446" ht="15" customHeight="1" s="95">
      <c r="A2446" s="143" t="n">
        <v>45910</v>
      </c>
      <c r="B2446" s="94" t="n">
        <v>2025</v>
      </c>
      <c r="C2446" s="94" t="inlineStr">
        <is>
          <t>2025-Q3</t>
        </is>
      </c>
      <c r="D2446" s="186" t="n">
        <v>111547.439564348</v>
      </c>
      <c r="E2446" s="188" t="n">
        <v>2222026777598.05</v>
      </c>
      <c r="F2446" s="188" t="n">
        <v>45338021458.3837</v>
      </c>
    </row>
    <row r="2447" ht="15" customHeight="1" s="95">
      <c r="A2447" s="143" t="n">
        <v>45911</v>
      </c>
      <c r="B2447" s="94" t="n">
        <v>2025</v>
      </c>
      <c r="C2447" s="94" t="inlineStr">
        <is>
          <t>2025-Q3</t>
        </is>
      </c>
      <c r="D2447" s="186" t="n">
        <v>113975.324894688</v>
      </c>
      <c r="E2447" s="188" t="n">
        <v>2270241314652.71</v>
      </c>
      <c r="F2447" s="188" t="n">
        <v>52205187155.0557</v>
      </c>
    </row>
    <row r="2448" ht="15" customHeight="1" s="95">
      <c r="A2448" s="143" t="n">
        <v>45912</v>
      </c>
      <c r="B2448" s="94" t="n">
        <v>2025</v>
      </c>
      <c r="C2448" s="94" t="inlineStr">
        <is>
          <t>2025-Q3</t>
        </is>
      </c>
      <c r="D2448" s="186" t="n">
        <v>115503.16663193</v>
      </c>
      <c r="E2448" s="188" t="n">
        <v>2299764311655.67</v>
      </c>
      <c r="F2448" s="188" t="n">
        <v>43752917632.9507</v>
      </c>
    </row>
    <row r="2449" ht="15" customHeight="1" s="95">
      <c r="A2449" s="143" t="n">
        <v>45913</v>
      </c>
      <c r="B2449" s="94" t="n">
        <v>2025</v>
      </c>
      <c r="C2449" s="94" t="inlineStr">
        <is>
          <t>2025-Q3</t>
        </is>
      </c>
      <c r="D2449" s="186" t="n">
        <v>116160.143445945</v>
      </c>
      <c r="E2449" s="188" t="n">
        <v>2314347371939.95</v>
      </c>
      <c r="F2449" s="188" t="n">
        <v>51192951485.8644</v>
      </c>
    </row>
    <row r="2450" ht="15" customHeight="1" s="95">
      <c r="A2450" s="143" t="n">
        <v>45914</v>
      </c>
      <c r="B2450" s="94" t="n">
        <v>2025</v>
      </c>
      <c r="C2450" s="94" t="inlineStr">
        <is>
          <t>2025-Q3</t>
        </is>
      </c>
      <c r="D2450" s="186" t="n">
        <v>115970.58488443</v>
      </c>
      <c r="E2450" s="188" t="n">
        <v>2310166037871.29</v>
      </c>
      <c r="F2450" s="188" t="n">
        <v>30063858747.7602</v>
      </c>
    </row>
    <row r="2451" ht="15" customHeight="1" s="95">
      <c r="A2451" s="143" t="n">
        <v>45915</v>
      </c>
      <c r="B2451" s="94" t="n">
        <v>2025</v>
      </c>
      <c r="C2451" s="94" t="inlineStr">
        <is>
          <t>2025-Q3</t>
        </is>
      </c>
      <c r="D2451" s="186" t="n">
        <v>115373.555558868</v>
      </c>
      <c r="E2451" s="188" t="n">
        <v>2297459118244.42</v>
      </c>
      <c r="F2451" s="188" t="n">
        <v>26889399414.6109</v>
      </c>
    </row>
    <row r="2452" ht="15" customHeight="1" s="95">
      <c r="A2452" s="143" t="n">
        <v>45916</v>
      </c>
      <c r="B2452" s="94" t="n">
        <v>2025</v>
      </c>
      <c r="C2452" s="94" t="inlineStr">
        <is>
          <t>2025-Q3</t>
        </is>
      </c>
      <c r="D2452" s="186" t="n">
        <v>115397.252727275</v>
      </c>
      <c r="E2452" s="188" t="n">
        <v>2297977599504.55</v>
      </c>
      <c r="F2452" s="188" t="n">
        <v>46947581231.082</v>
      </c>
    </row>
    <row r="2453" ht="15" customHeight="1" s="95">
      <c r="A2453" s="143" t="n">
        <v>45917</v>
      </c>
      <c r="B2453" s="94" t="n">
        <v>2025</v>
      </c>
      <c r="C2453" s="94" t="inlineStr">
        <is>
          <t>2025-Q3</t>
        </is>
      </c>
      <c r="D2453" s="186" t="n">
        <v>116762.849686419</v>
      </c>
      <c r="E2453" s="188" t="n">
        <v>2325326932460.96</v>
      </c>
      <c r="F2453" s="188" t="n">
        <v>39964451595.0997</v>
      </c>
    </row>
    <row r="2454" ht="15" customHeight="1" s="95">
      <c r="A2454" s="143" t="n">
        <v>45918</v>
      </c>
      <c r="B2454" s="94" t="n">
        <v>2025</v>
      </c>
      <c r="C2454" s="94" t="inlineStr">
        <is>
          <t>2025-Q3</t>
        </is>
      </c>
      <c r="D2454" s="186" t="n">
        <v>116455.946482253</v>
      </c>
      <c r="E2454" s="188" t="n">
        <v>2321583680138.89</v>
      </c>
      <c r="F2454" s="188" t="n">
        <v>54740952295.3787</v>
      </c>
    </row>
    <row r="2455" ht="15" customHeight="1" s="95">
      <c r="A2455" s="143" t="n">
        <v>45919</v>
      </c>
      <c r="B2455" s="94" t="n">
        <v>2025</v>
      </c>
      <c r="C2455" s="94" t="inlineStr">
        <is>
          <t>2025-Q3</t>
        </is>
      </c>
      <c r="D2455" s="186" t="n">
        <v>117145.49508952</v>
      </c>
      <c r="E2455" s="188" t="n">
        <v>2333705338232.1</v>
      </c>
      <c r="F2455" s="188" t="n">
        <v>43642467075.2584</v>
      </c>
    </row>
    <row r="2456" ht="15" customHeight="1" s="95">
      <c r="A2456" s="143" t="n">
        <v>45920</v>
      </c>
      <c r="B2456" s="94" t="n">
        <v>2025</v>
      </c>
      <c r="C2456" s="94" t="inlineStr">
        <is>
          <t>2025-Q3</t>
        </is>
      </c>
      <c r="D2456" s="186" t="n">
        <v>115655.810464413</v>
      </c>
      <c r="E2456" s="188" t="n">
        <v>2303469041668.8</v>
      </c>
      <c r="F2456" s="188" t="n">
        <v>34296721252.33</v>
      </c>
    </row>
    <row r="2457" ht="15" customHeight="1" s="95">
      <c r="A2457" s="143" t="n">
        <v>45921</v>
      </c>
      <c r="B2457" s="94" t="n">
        <v>2025</v>
      </c>
      <c r="C2457" s="94" t="inlineStr">
        <is>
          <t>2025-Q3</t>
        </is>
      </c>
      <c r="D2457" s="186" t="n">
        <v>115715.515367818</v>
      </c>
      <c r="E2457" s="188" t="n">
        <v>2305371926506.3</v>
      </c>
      <c r="F2457" s="188" t="n">
        <v>18774953731.2904</v>
      </c>
    </row>
    <row r="2458" ht="15" customHeight="1" s="95">
      <c r="A2458" s="143" t="n">
        <v>45922</v>
      </c>
      <c r="B2458" s="94" t="n">
        <v>2025</v>
      </c>
      <c r="C2458" s="94" t="inlineStr">
        <is>
          <t>2025-Q3</t>
        </is>
      </c>
      <c r="D2458" s="186" t="n">
        <v>115304.47999407</v>
      </c>
      <c r="E2458" s="188" t="n">
        <v>2297332085237.65</v>
      </c>
      <c r="F2458" s="188" t="n">
        <v>18659113982.4955</v>
      </c>
    </row>
    <row r="2459" ht="15" customHeight="1" s="95">
      <c r="A2459" s="143" t="n">
        <v>45923</v>
      </c>
      <c r="B2459" s="94" t="n">
        <v>2025</v>
      </c>
      <c r="C2459" s="94" t="inlineStr">
        <is>
          <t>2025-Q3</t>
        </is>
      </c>
      <c r="D2459" s="186" t="n">
        <v>112696.741017119</v>
      </c>
      <c r="E2459" s="188" t="n">
        <v>2245929069310.85</v>
      </c>
      <c r="F2459" s="188" t="n">
        <v>69152342029.468</v>
      </c>
    </row>
    <row r="2460" ht="15" customHeight="1" s="95">
      <c r="A2460" s="143" t="n">
        <v>45924</v>
      </c>
      <c r="B2460" s="94" t="n">
        <v>2025</v>
      </c>
      <c r="C2460" s="94" t="inlineStr">
        <is>
          <t>2025-Q3</t>
        </is>
      </c>
      <c r="D2460" s="186" t="n">
        <v>112022.165878612</v>
      </c>
      <c r="E2460" s="188" t="n">
        <v>2232693472656.65</v>
      </c>
      <c r="F2460" s="188" t="n">
        <v>46154878824.0435</v>
      </c>
    </row>
    <row r="2461" ht="15" customHeight="1" s="95">
      <c r="A2461" s="143" t="n">
        <v>45925</v>
      </c>
      <c r="B2461" s="94" t="n">
        <v>2025</v>
      </c>
      <c r="C2461" s="94" t="inlineStr">
        <is>
          <t>2025-Q3</t>
        </is>
      </c>
      <c r="D2461" s="186" t="n">
        <v>113320.56908541</v>
      </c>
      <c r="E2461" s="188" t="n">
        <v>2257741194218.83</v>
      </c>
      <c r="F2461" s="188" t="n">
        <v>46677543220.3345</v>
      </c>
    </row>
    <row r="2462" ht="15" customHeight="1" s="95">
      <c r="A2462" s="143" t="n">
        <v>45926</v>
      </c>
      <c r="B2462" s="94" t="n">
        <v>2025</v>
      </c>
      <c r="C2462" s="94" t="inlineStr">
        <is>
          <t>2025-Q3</t>
        </is>
      </c>
      <c r="D2462" s="186" t="n">
        <v>108963.530135956</v>
      </c>
      <c r="E2462" s="188" t="n">
        <v>2171950311711.44</v>
      </c>
      <c r="F2462" s="188" t="n">
        <v>74481796351.4731</v>
      </c>
    </row>
    <row r="2463" ht="15" customHeight="1" s="95">
      <c r="A2463" s="143" t="n">
        <v>45927</v>
      </c>
      <c r="B2463" s="94" t="n">
        <v>2025</v>
      </c>
      <c r="C2463" s="94" t="inlineStr">
        <is>
          <t>2025-Q3</t>
        </is>
      </c>
      <c r="D2463" s="186" t="n">
        <v>109710.208746677</v>
      </c>
      <c r="E2463" s="188" t="n">
        <v>2185866776171.55</v>
      </c>
      <c r="F2463" s="188" t="n">
        <v>55257214020.5682</v>
      </c>
    </row>
    <row r="2464" ht="15" customHeight="1" s="95">
      <c r="A2464" s="143" t="n">
        <v>45928</v>
      </c>
      <c r="B2464" s="94" t="n">
        <v>2025</v>
      </c>
      <c r="C2464" s="94" t="inlineStr">
        <is>
          <t>2025-Q3</t>
        </is>
      </c>
      <c r="D2464" s="186" t="n">
        <v>109654.810210757</v>
      </c>
      <c r="E2464" s="188" t="n">
        <v>2185203231301.06</v>
      </c>
      <c r="F2464" s="188" t="n">
        <v>23294896964.3102</v>
      </c>
    </row>
    <row r="2465" ht="15" customHeight="1" s="95">
      <c r="A2465" s="143" t="n">
        <v>45929</v>
      </c>
      <c r="B2465" s="94" t="n">
        <v>2025</v>
      </c>
      <c r="C2465" s="94" t="inlineStr">
        <is>
          <t>2025-Q3</t>
        </is>
      </c>
      <c r="D2465" s="186" t="n">
        <v>112142.573627527</v>
      </c>
      <c r="E2465" s="188" t="n">
        <v>2235798877396.13</v>
      </c>
      <c r="F2465" s="188" t="n">
        <v>31274654338.5121</v>
      </c>
    </row>
    <row r="2466" ht="15" customHeight="1" s="95">
      <c r="A2466" s="143" t="n">
        <v>45930</v>
      </c>
      <c r="B2466" s="94" t="n">
        <v>2025</v>
      </c>
      <c r="C2466" s="94" t="inlineStr">
        <is>
          <t>2025-Q3</t>
        </is>
      </c>
      <c r="D2466" s="186" t="n">
        <v>114309.150411195</v>
      </c>
      <c r="E2466" s="188" t="n">
        <v>2278362523594.31</v>
      </c>
      <c r="F2466" s="188" t="n">
        <v>57833295882.6579</v>
      </c>
    </row>
    <row r="2467" ht="15" customHeight="1" s="95">
      <c r="A2467" s="143" t="n">
        <v>45931</v>
      </c>
      <c r="B2467" s="94" t="n">
        <v>2025</v>
      </c>
      <c r="C2467" s="94" t="inlineStr">
        <is>
          <t>2025-Q4</t>
        </is>
      </c>
      <c r="D2467" s="186" t="n">
        <v>114024.227835501</v>
      </c>
      <c r="E2467" s="188" t="n">
        <v>2272137555069.45</v>
      </c>
      <c r="F2467" s="188" t="n">
        <v>57718901820.7062</v>
      </c>
    </row>
    <row r="2468" ht="15" customHeight="1" s="95">
      <c r="A2468" s="143" t="n">
        <v>45932</v>
      </c>
      <c r="B2468" s="94" t="n">
        <v>2025</v>
      </c>
      <c r="C2468" s="94" t="inlineStr">
        <is>
          <t>2025-Q4</t>
        </is>
      </c>
      <c r="D2468" s="186" t="n">
        <v>118503.244517525</v>
      </c>
      <c r="E2468" s="188" t="n">
        <v>2359569556068.08</v>
      </c>
      <c r="F2468" s="188" t="n">
        <v>69920179085.47079</v>
      </c>
    </row>
    <row r="2469" ht="15" customHeight="1" s="95">
      <c r="A2469" s="143" t="n">
        <v>45933</v>
      </c>
      <c r="B2469" s="94" t="n">
        <v>2025</v>
      </c>
      <c r="C2469" s="94" t="inlineStr">
        <is>
          <t>2025-Q4</t>
        </is>
      </c>
      <c r="D2469" s="186" t="n">
        <v>120611.719115911</v>
      </c>
      <c r="E2469" s="188" t="n">
        <v>2399524207991.55</v>
      </c>
      <c r="F2469" s="188" t="n">
        <v>71252850672.7525</v>
      </c>
    </row>
    <row r="2470" ht="15" customHeight="1" s="95">
      <c r="A2470" s="143" t="n">
        <v>45934</v>
      </c>
      <c r="B2470" s="94" t="n">
        <v>2025</v>
      </c>
      <c r="C2470" s="94" t="inlineStr">
        <is>
          <t>2025-Q4</t>
        </is>
      </c>
      <c r="D2470" s="186" t="n">
        <v>122250.151868428</v>
      </c>
      <c r="E2470" s="188" t="n">
        <v>2436956902844.72</v>
      </c>
      <c r="F2470" s="188" t="n">
        <v>83155430408.51801</v>
      </c>
    </row>
    <row r="2471" ht="15" customHeight="1" s="95">
      <c r="A2471" s="143" t="n">
        <v>45935</v>
      </c>
      <c r="B2471" s="94" t="n">
        <v>2025</v>
      </c>
      <c r="C2471" s="94" t="inlineStr">
        <is>
          <t>2025-Q4</t>
        </is>
      </c>
      <c r="D2471" s="186" t="n">
        <v>122380.937084633</v>
      </c>
      <c r="E2471" s="188" t="n">
        <v>2438832157552.79</v>
      </c>
      <c r="F2471" s="188" t="n">
        <v>35161626561.8092</v>
      </c>
    </row>
    <row r="2472" ht="15" customHeight="1" s="95">
      <c r="A2472" s="143" t="n">
        <v>45936</v>
      </c>
      <c r="B2472" s="94" t="n">
        <v>2025</v>
      </c>
      <c r="C2472" s="94" t="inlineStr">
        <is>
          <t>2025-Q4</t>
        </is>
      </c>
      <c r="D2472" s="186" t="n">
        <v>123506.185200277</v>
      </c>
      <c r="E2472" s="188" t="n">
        <v>2461221856764.19</v>
      </c>
      <c r="F2472" s="188" t="n">
        <v>72011486031.26579</v>
      </c>
    </row>
    <row r="2473" ht="15" customHeight="1" s="95">
      <c r="A2473" s="143" t="n">
        <v>45937</v>
      </c>
      <c r="B2473" s="94" t="n">
        <v>2025</v>
      </c>
      <c r="C2473" s="94" t="inlineStr">
        <is>
          <t>2025-Q4</t>
        </is>
      </c>
      <c r="D2473" s="186" t="n">
        <v>124773.508230744</v>
      </c>
      <c r="E2473" s="188" t="n">
        <v>2486073086655.29</v>
      </c>
      <c r="F2473" s="188" t="n">
        <v>69605991064.7238</v>
      </c>
    </row>
    <row r="2474" ht="15" customHeight="1" s="95">
      <c r="A2474" s="143" t="n">
        <v>45938</v>
      </c>
      <c r="B2474" s="94" t="n">
        <v>2025</v>
      </c>
      <c r="C2474" s="94" t="inlineStr">
        <is>
          <t>2025-Q4</t>
        </is>
      </c>
      <c r="D2474" s="186" t="n">
        <v>121518.755935751</v>
      </c>
      <c r="E2474" s="188" t="n">
        <v>2421938444026.28</v>
      </c>
      <c r="F2474" s="188" t="n">
        <v>76087884719.80029</v>
      </c>
    </row>
    <row r="2475" ht="15" customHeight="1" s="95">
      <c r="A2475" s="143" t="n">
        <v>45939</v>
      </c>
      <c r="B2475" s="94" t="n">
        <v>2025</v>
      </c>
      <c r="C2475" s="94" t="inlineStr">
        <is>
          <t>2025-Q4</t>
        </is>
      </c>
      <c r="D2475" s="186" t="n">
        <v>123352.504875232</v>
      </c>
      <c r="E2475" s="188" t="n">
        <v>2459003621170.12</v>
      </c>
      <c r="F2475" s="188" t="n">
        <v>62576032795.3672</v>
      </c>
    </row>
    <row r="2476" ht="15" customHeight="1" s="95">
      <c r="A2476" s="143" t="n">
        <v>45940</v>
      </c>
      <c r="B2476" s="94" t="n">
        <v>2025</v>
      </c>
      <c r="C2476" s="94" t="inlineStr">
        <is>
          <t>2025-Q4</t>
        </is>
      </c>
      <c r="D2476" s="186" t="n">
        <v>121698.030667783</v>
      </c>
      <c r="E2476" s="188" t="n">
        <v>2423288659157.48</v>
      </c>
      <c r="F2476" s="188" t="n">
        <v>72097306668.9136</v>
      </c>
    </row>
    <row r="2477" ht="15" customHeight="1" s="95">
      <c r="A2477" s="143" t="n">
        <v>45941</v>
      </c>
      <c r="B2477" s="94" t="n">
        <v>2025</v>
      </c>
      <c r="C2477" s="94" t="inlineStr">
        <is>
          <t>2025-Q4</t>
        </is>
      </c>
      <c r="D2477" s="186" t="n">
        <v>113201.740641389</v>
      </c>
      <c r="E2477" s="188" t="n">
        <v>2265659827789.99</v>
      </c>
      <c r="F2477" s="188" t="n">
        <v>151002213089.877</v>
      </c>
    </row>
    <row r="2478" ht="15" customHeight="1" s="95">
      <c r="A2478" s="143" t="n">
        <v>45942</v>
      </c>
      <c r="B2478" s="94" t="n">
        <v>2025</v>
      </c>
      <c r="C2478" s="94" t="inlineStr">
        <is>
          <t>2025-Q4</t>
        </is>
      </c>
      <c r="D2478" s="186" t="n">
        <v>110853.116638839</v>
      </c>
      <c r="E2478" s="188" t="n">
        <v>2211404015103.11</v>
      </c>
      <c r="F2478" s="188" t="n">
        <v>108643865752.177</v>
      </c>
    </row>
    <row r="2479" ht="15" customHeight="1" s="95">
      <c r="A2479" s="143" t="n">
        <v>45943</v>
      </c>
      <c r="B2479" s="94" t="n">
        <v>2025</v>
      </c>
      <c r="C2479" s="94" t="inlineStr">
        <is>
          <t>2025-Q4</t>
        </is>
      </c>
      <c r="D2479" s="186" t="n">
        <v>115189.571463726</v>
      </c>
      <c r="E2479" s="188" t="n">
        <v>2294724465036.98</v>
      </c>
      <c r="F2479" s="188" t="n">
        <v>93857100744.1245</v>
      </c>
    </row>
    <row r="2480" ht="15" customHeight="1" s="95">
      <c r="A2480" s="143" t="n">
        <v>45944</v>
      </c>
      <c r="B2480" s="94" t="n">
        <v>2025</v>
      </c>
      <c r="C2480" s="94" t="inlineStr">
        <is>
          <t>2025-Q4</t>
        </is>
      </c>
      <c r="D2480" s="186" t="n">
        <v>115222.283021165</v>
      </c>
      <c r="E2480" s="188" t="n">
        <v>2296863527017.99</v>
      </c>
      <c r="F2480" s="188" t="n">
        <v>68935270367.0403</v>
      </c>
    </row>
    <row r="2481" ht="15" customHeight="1" s="95">
      <c r="A2481" s="143" t="n">
        <v>45945</v>
      </c>
      <c r="B2481" s="94" t="n">
        <v>2025</v>
      </c>
      <c r="C2481" s="94" t="inlineStr">
        <is>
          <t>2025-Q4</t>
        </is>
      </c>
      <c r="D2481" s="186" t="n">
        <v>113156.569438269</v>
      </c>
      <c r="E2481" s="188" t="n">
        <v>2257545230986.02</v>
      </c>
      <c r="F2481" s="188" t="n">
        <v>91211854988.91521</v>
      </c>
    </row>
    <row r="2482" ht="15" customHeight="1" s="95">
      <c r="A2482" s="143" t="n">
        <v>45946</v>
      </c>
      <c r="B2482" s="94" t="n">
        <v>2025</v>
      </c>
      <c r="C2482" s="94" t="inlineStr">
        <is>
          <t>2025-Q4</t>
        </is>
      </c>
      <c r="D2482" s="186" t="n">
        <v>110708.669608794</v>
      </c>
      <c r="E2482" s="188" t="n">
        <v>2207742082237.05</v>
      </c>
      <c r="F2482" s="188" t="n">
        <v>68877328886.4026</v>
      </c>
    </row>
    <row r="2483" ht="15" customHeight="1" s="95">
      <c r="A2483" s="143" t="n">
        <v>45947</v>
      </c>
      <c r="B2483" s="94" t="n">
        <v>2025</v>
      </c>
      <c r="C2483" s="94" t="inlineStr">
        <is>
          <t>2025-Q4</t>
        </is>
      </c>
      <c r="D2483" s="186" t="n">
        <v>108076.728620332</v>
      </c>
      <c r="E2483" s="188" t="n">
        <v>2154964541836.46</v>
      </c>
      <c r="F2483" s="188" t="n">
        <v>84773160808.274</v>
      </c>
    </row>
    <row r="2484" ht="15" customHeight="1" s="95">
      <c r="A2484" s="143" t="n">
        <v>45948</v>
      </c>
      <c r="B2484" s="94" t="n">
        <v>2025</v>
      </c>
      <c r="C2484" s="94" t="inlineStr">
        <is>
          <t>2025-Q4</t>
        </is>
      </c>
      <c r="D2484" s="186" t="n">
        <v>106443.611949846</v>
      </c>
      <c r="E2484" s="188" t="n">
        <v>2123017949517.14</v>
      </c>
      <c r="F2484" s="188" t="n">
        <v>94325236794.7816</v>
      </c>
    </row>
    <row r="2485" ht="15" customHeight="1" s="95">
      <c r="A2485" s="143" t="n">
        <v>45949</v>
      </c>
      <c r="B2485" s="94" t="n">
        <v>2025</v>
      </c>
      <c r="C2485" s="94" t="inlineStr">
        <is>
          <t>2025-Q4</t>
        </is>
      </c>
      <c r="D2485" s="186" t="n">
        <v>107156.003376477</v>
      </c>
      <c r="E2485" s="188" t="n">
        <v>2135575517405.92</v>
      </c>
      <c r="F2485" s="188" t="n">
        <v>34412835719.6129</v>
      </c>
    </row>
    <row r="2486" ht="15" customHeight="1" s="95">
      <c r="A2486" s="143" t="n">
        <v>45950</v>
      </c>
      <c r="B2486" s="94" t="n">
        <v>2025</v>
      </c>
      <c r="C2486" s="94" t="inlineStr">
        <is>
          <t>2025-Q4</t>
        </is>
      </c>
      <c r="D2486" s="186" t="n">
        <v>108621.134857428</v>
      </c>
      <c r="E2486" s="188" t="n">
        <v>2165367850075</v>
      </c>
      <c r="F2486" s="188" t="n">
        <v>45373692612.3944</v>
      </c>
    </row>
    <row r="2487" ht="15" customHeight="1" s="95">
      <c r="A2487" s="143" t="n">
        <v>45951</v>
      </c>
      <c r="B2487" s="94" t="n">
        <v>2025</v>
      </c>
      <c r="C2487" s="94" t="inlineStr">
        <is>
          <t>2025-Q4</t>
        </is>
      </c>
      <c r="D2487" s="186" t="n">
        <v>110608.571493267</v>
      </c>
      <c r="E2487" s="188" t="n">
        <v>2205571381112.93</v>
      </c>
      <c r="F2487" s="188" t="n">
        <v>60452111148.1401</v>
      </c>
    </row>
    <row r="2488" ht="15" customHeight="1" s="95">
      <c r="A2488" s="143" t="n">
        <v>45952</v>
      </c>
      <c r="B2488" s="94" t="n">
        <v>2025</v>
      </c>
      <c r="C2488" s="94" t="inlineStr">
        <is>
          <t>2025-Q4</t>
        </is>
      </c>
      <c r="D2488" s="186" t="n">
        <v>108486.102627166</v>
      </c>
      <c r="E2488" s="188" t="n">
        <v>2162410619417.91</v>
      </c>
      <c r="F2488" s="188" t="n">
        <v>105841401713.002</v>
      </c>
    </row>
    <row r="2489" ht="15" customHeight="1" s="95">
      <c r="A2489" s="143" t="n">
        <v>45953</v>
      </c>
      <c r="B2489" s="94" t="n">
        <v>2025</v>
      </c>
      <c r="C2489" s="94" t="inlineStr">
        <is>
          <t>2025-Q4</t>
        </is>
      </c>
      <c r="D2489" s="186" t="n">
        <v>107618.42667154</v>
      </c>
      <c r="E2489" s="188" t="n">
        <v>2145773248654.65</v>
      </c>
      <c r="F2489" s="188" t="n">
        <v>83996418125.931</v>
      </c>
    </row>
    <row r="2490" ht="15" customHeight="1" s="95">
      <c r="A2490" s="143" t="n">
        <v>45954</v>
      </c>
      <c r="B2490" s="94" t="n">
        <v>2025</v>
      </c>
      <c r="C2490" s="94" t="inlineStr">
        <is>
          <t>2025-Q4</t>
        </is>
      </c>
      <c r="D2490" s="186" t="n">
        <v>110048.518272916</v>
      </c>
      <c r="E2490" s="188" t="n">
        <v>2193901841033.91</v>
      </c>
      <c r="F2490" s="188" t="n">
        <v>56192643013.5706</v>
      </c>
    </row>
    <row r="2491" ht="15" customHeight="1" s="95">
      <c r="A2491" s="143" t="n">
        <v>45955</v>
      </c>
      <c r="B2491" s="94" t="n">
        <v>2025</v>
      </c>
      <c r="C2491" s="94" t="inlineStr">
        <is>
          <t>2025-Q4</t>
        </is>
      </c>
      <c r="D2491" s="186" t="n">
        <v>110997.804371297</v>
      </c>
      <c r="E2491" s="188" t="n">
        <v>2213306367536.76</v>
      </c>
      <c r="F2491" s="188" t="n">
        <v>49120903424.3449</v>
      </c>
    </row>
    <row r="2492" ht="15" customHeight="1" s="95">
      <c r="A2492" s="143" t="n">
        <v>45956</v>
      </c>
      <c r="B2492" s="94" t="n">
        <v>2025</v>
      </c>
      <c r="C2492" s="94" t="inlineStr">
        <is>
          <t>2025-Q4</t>
        </is>
      </c>
      <c r="D2492" s="186" t="n">
        <v>111620.309373135</v>
      </c>
      <c r="E2492" s="188" t="n">
        <v>2224861052775</v>
      </c>
      <c r="F2492" s="188" t="n">
        <v>23214874411.2122</v>
      </c>
    </row>
    <row r="2493" ht="15" customHeight="1" s="95">
      <c r="A2493" s="143" t="n">
        <v>45957</v>
      </c>
      <c r="B2493" s="94" t="n">
        <v>2025</v>
      </c>
      <c r="C2493" s="94" t="inlineStr">
        <is>
          <t>2025-Q4</t>
        </is>
      </c>
      <c r="D2493" s="186" t="n">
        <v>114476.012275086</v>
      </c>
      <c r="E2493" s="188" t="n">
        <v>2283691326423.21</v>
      </c>
      <c r="F2493" s="188" t="n">
        <v>42483268634.1871</v>
      </c>
    </row>
    <row r="2494" ht="15" customHeight="1" s="95">
      <c r="A2494" s="143" t="n">
        <v>45958</v>
      </c>
      <c r="B2494" s="94" t="n">
        <v>2025</v>
      </c>
      <c r="C2494" s="94" t="inlineStr">
        <is>
          <t>2025-Q4</t>
        </is>
      </c>
      <c r="D2494" s="186" t="n">
        <v>114182.794428068</v>
      </c>
      <c r="E2494" s="188" t="n">
        <v>2276235094681.67</v>
      </c>
      <c r="F2494" s="188" t="n">
        <v>63764801510.6589</v>
      </c>
    </row>
    <row r="2495" ht="15" customHeight="1" s="95">
      <c r="A2495" s="143" t="n">
        <v>45959</v>
      </c>
      <c r="B2495" s="94" t="n">
        <v>2025</v>
      </c>
      <c r="C2495" s="94" t="inlineStr">
        <is>
          <t>2025-Q4</t>
        </is>
      </c>
      <c r="D2495" s="186" t="n">
        <v>112950.348632595</v>
      </c>
      <c r="E2495" s="188" t="n">
        <v>2254003248725.49</v>
      </c>
      <c r="F2495" s="188" t="n">
        <v>66299512352.178</v>
      </c>
    </row>
    <row r="2496" ht="15" customHeight="1" s="95">
      <c r="A2496" s="143" t="n">
        <v>45960</v>
      </c>
      <c r="B2496" s="94" t="n">
        <v>2025</v>
      </c>
      <c r="C2496" s="94" t="inlineStr">
        <is>
          <t>2025-Q4</t>
        </is>
      </c>
      <c r="D2496" s="186" t="n">
        <v>110046.669258373</v>
      </c>
      <c r="E2496" s="188" t="n">
        <v>2194746293754.54</v>
      </c>
      <c r="F2496" s="188" t="n">
        <v>64235327509.0574</v>
      </c>
    </row>
    <row r="2497" ht="15" customHeight="1" s="95">
      <c r="A2497" s="143" t="n">
        <v>45961</v>
      </c>
      <c r="B2497" s="94" t="n">
        <v>2025</v>
      </c>
      <c r="C2497" s="94" t="inlineStr">
        <is>
          <t>2025-Q4</t>
        </is>
      </c>
      <c r="D2497" s="186" t="n">
        <v>108240.765287257</v>
      </c>
      <c r="E2497" s="188" t="n">
        <v>2157803742876.08</v>
      </c>
      <c r="F2497" s="188" t="n">
        <v>72648897659.94231</v>
      </c>
    </row>
    <row r="2498" ht="15" customHeight="1" s="95">
      <c r="A2498" s="143" t="n">
        <v>45962</v>
      </c>
      <c r="B2498" s="94" t="n">
        <v>2025</v>
      </c>
      <c r="C2498" s="94" t="inlineStr">
        <is>
          <t>2025-Q4</t>
        </is>
      </c>
      <c r="D2498" s="186" t="n">
        <v>109573.905556291</v>
      </c>
      <c r="E2498" s="188" t="n">
        <v>2185193896779.34</v>
      </c>
      <c r="F2498" s="188" t="n">
        <v>58800487940.5146</v>
      </c>
    </row>
    <row r="2499" ht="15" customHeight="1" s="95">
      <c r="A2499" s="143" t="n">
        <v>45963</v>
      </c>
      <c r="B2499" s="94" t="n">
        <v>2025</v>
      </c>
      <c r="C2499" s="94" t="inlineStr">
        <is>
          <t>2025-Q4</t>
        </is>
      </c>
      <c r="D2499" s="186" t="n">
        <v>110014.135567761</v>
      </c>
      <c r="E2499" s="188" t="n">
        <v>2194075979770.06</v>
      </c>
      <c r="F2499" s="188" t="n">
        <v>24938475577.8499</v>
      </c>
    </row>
    <row r="2500" ht="15" customHeight="1" s="95">
      <c r="A2500" s="143" t="n">
        <v>45964</v>
      </c>
      <c r="B2500" s="94" t="n">
        <v>2025</v>
      </c>
      <c r="C2500" s="94" t="inlineStr">
        <is>
          <t>2025-Q4</t>
        </is>
      </c>
      <c r="D2500" s="186" t="n">
        <v>110650.209282315</v>
      </c>
      <c r="E2500" s="188" t="n">
        <v>2201849942058.28</v>
      </c>
      <c r="F2500" s="188" t="n">
        <v>35098774843.7742</v>
      </c>
    </row>
    <row r="2501" ht="15" customHeight="1" s="95">
      <c r="A2501" s="143" t="n">
        <v>45965</v>
      </c>
      <c r="B2501" s="94" t="n">
        <v>2025</v>
      </c>
      <c r="C2501" s="94" t="inlineStr">
        <is>
          <t>2025-Q4</t>
        </is>
      </c>
      <c r="D2501" s="186" t="n">
        <v>106521.086738258</v>
      </c>
      <c r="E2501" s="188" t="n">
        <v>2123664079961.7</v>
      </c>
      <c r="F2501" s="188" t="n">
        <v>75068433317.8629</v>
      </c>
    </row>
    <row r="2502" ht="15" customHeight="1" s="95">
      <c r="A2502" s="143" t="n">
        <v>45966</v>
      </c>
      <c r="B2502" s="94" t="n">
        <v>2025</v>
      </c>
      <c r="C2502" s="94" t="inlineStr">
        <is>
          <t>2025-Q4</t>
        </is>
      </c>
      <c r="D2502" s="186" t="n">
        <v>101635.274022723</v>
      </c>
      <c r="E2502" s="188" t="n">
        <v>2026091188341.18</v>
      </c>
      <c r="F2502" s="188" t="n">
        <v>108965721650.603</v>
      </c>
    </row>
    <row r="2503" ht="15" customHeight="1" s="95">
      <c r="A2503" s="143" t="n">
        <v>45967</v>
      </c>
      <c r="B2503" s="94" t="n">
        <v>2025</v>
      </c>
      <c r="C2503" s="94" t="inlineStr">
        <is>
          <t>2025-Q4</t>
        </is>
      </c>
      <c r="D2503" s="186" t="n">
        <v>103877.959659552</v>
      </c>
      <c r="E2503" s="188" t="n">
        <v>2073000557933.8</v>
      </c>
      <c r="F2503" s="188" t="n">
        <v>77083907216.6263</v>
      </c>
    </row>
    <row r="2504" ht="15" customHeight="1" s="95">
      <c r="A2504" s="143" t="n">
        <v>45968</v>
      </c>
      <c r="B2504" s="94" t="n">
        <v>2025</v>
      </c>
      <c r="C2504" s="94" t="inlineStr">
        <is>
          <t>2025-Q4</t>
        </is>
      </c>
      <c r="D2504" s="186" t="n">
        <v>101322.640294586</v>
      </c>
      <c r="E2504" s="188" t="n">
        <v>2019147576692.26</v>
      </c>
      <c r="F2504" s="188" t="n">
        <v>64118217249.5744</v>
      </c>
    </row>
    <row r="2505" ht="15" customHeight="1" s="95">
      <c r="A2505" s="143" t="n">
        <v>45969</v>
      </c>
      <c r="B2505" s="94" t="n">
        <v>2025</v>
      </c>
      <c r="C2505" s="94" t="inlineStr">
        <is>
          <t>2025-Q4</t>
        </is>
      </c>
      <c r="D2505" s="186" t="n">
        <v>103396.084215925</v>
      </c>
      <c r="E2505" s="188" t="n">
        <v>2063021740892.14</v>
      </c>
      <c r="F2505" s="188" t="n">
        <v>93627003785.3102</v>
      </c>
    </row>
    <row r="2506" ht="15" customHeight="1" s="95">
      <c r="A2506" s="143" t="n">
        <v>45970</v>
      </c>
      <c r="B2506" s="94" t="n">
        <v>2025</v>
      </c>
      <c r="C2506" s="94" t="inlineStr">
        <is>
          <t>2025-Q4</t>
        </is>
      </c>
      <c r="D2506" s="186" t="n">
        <v>102290.137146552</v>
      </c>
      <c r="E2506" s="188" t="n">
        <v>2039995976869.15</v>
      </c>
      <c r="F2506" s="188" t="n">
        <v>51095924202.318</v>
      </c>
    </row>
    <row r="2507" ht="15" customHeight="1" s="95">
      <c r="A2507" s="143" t="n">
        <v>45971</v>
      </c>
      <c r="B2507" s="94" t="n">
        <v>2025</v>
      </c>
      <c r="C2507" s="94" t="inlineStr">
        <is>
          <t>2025-Q4</t>
        </is>
      </c>
      <c r="D2507" s="186" t="n">
        <v>104709.678616563</v>
      </c>
      <c r="E2507" s="188" t="n">
        <v>2086419359800.05</v>
      </c>
      <c r="F2507" s="188" t="n">
        <v>59952468437.7181</v>
      </c>
    </row>
    <row r="2508" ht="15" customHeight="1" s="95">
      <c r="A2508" s="143" t="n">
        <v>45972</v>
      </c>
      <c r="B2508" s="94" t="n">
        <v>2025</v>
      </c>
      <c r="C2508" s="94" t="inlineStr">
        <is>
          <t>2025-Q4</t>
        </is>
      </c>
      <c r="D2508" s="186" t="n">
        <v>105909.072723217</v>
      </c>
      <c r="E2508" s="188" t="n">
        <v>2112747067951.9</v>
      </c>
      <c r="F2508" s="188" t="n">
        <v>67546556819.5264</v>
      </c>
    </row>
    <row r="2509" ht="15" customHeight="1" s="95">
      <c r="A2509" s="143" t="n">
        <v>45973</v>
      </c>
      <c r="B2509" s="94" t="n">
        <v>2025</v>
      </c>
      <c r="C2509" s="94" t="inlineStr">
        <is>
          <t>2025-Q4</t>
        </is>
      </c>
      <c r="D2509" s="186" t="n">
        <v>102960.775645006</v>
      </c>
      <c r="E2509" s="188" t="n">
        <v>2053215927640.83</v>
      </c>
      <c r="F2509" s="188" t="n">
        <v>71008299178.73959</v>
      </c>
    </row>
    <row r="2510" ht="15" customHeight="1" s="95">
      <c r="A2510" s="143" t="n">
        <v>45974</v>
      </c>
      <c r="B2510" s="94" t="n">
        <v>2025</v>
      </c>
      <c r="C2510" s="94" t="inlineStr">
        <is>
          <t>2025-Q4</t>
        </is>
      </c>
      <c r="D2510" s="186" t="n">
        <v>101521.708594536</v>
      </c>
      <c r="E2510" s="188" t="n">
        <v>2025837265459.76</v>
      </c>
      <c r="F2510" s="188" t="n">
        <v>63332414142.5883</v>
      </c>
    </row>
    <row r="2511" ht="15" customHeight="1" s="95">
      <c r="A2511" s="143" t="n">
        <v>45975</v>
      </c>
      <c r="B2511" s="94" t="n">
        <v>2025</v>
      </c>
      <c r="C2511" s="94" t="inlineStr">
        <is>
          <t>2025-Q4</t>
        </is>
      </c>
      <c r="D2511" s="186" t="n">
        <v>99730.4533956204</v>
      </c>
      <c r="E2511" s="188" t="n">
        <v>1996168972712</v>
      </c>
      <c r="F2511" s="188" t="n">
        <v>100463341916.473</v>
      </c>
    </row>
    <row r="2512" ht="15" customHeight="1" s="95">
      <c r="A2512" s="143" t="n">
        <v>45976</v>
      </c>
      <c r="B2512" s="94" t="n">
        <v>2025</v>
      </c>
      <c r="C2512" s="94" t="inlineStr">
        <is>
          <t>2025-Q4</t>
        </is>
      </c>
      <c r="D2512" s="186" t="n">
        <v>94456.3936823534</v>
      </c>
      <c r="E2512" s="188" t="n">
        <v>1891799949910.11</v>
      </c>
      <c r="F2512" s="188" t="n">
        <v>113198323665.389</v>
      </c>
    </row>
    <row r="2513" ht="15" customHeight="1" s="95">
      <c r="A2513" s="143" t="n">
        <v>45977</v>
      </c>
      <c r="B2513" s="94" t="n">
        <v>2025</v>
      </c>
      <c r="C2513" s="94" t="inlineStr">
        <is>
          <t>2025-Q4</t>
        </is>
      </c>
      <c r="D2513" s="186" t="n">
        <v>95508.310198892</v>
      </c>
      <c r="E2513" s="188" t="n">
        <v>1905234340631.99</v>
      </c>
      <c r="F2513" s="188" t="n">
        <v>39062120798.2375</v>
      </c>
    </row>
    <row r="2514" ht="15" customHeight="1" s="95">
      <c r="A2514" s="143" t="n">
        <v>45978</v>
      </c>
      <c r="B2514" s="94" t="n">
        <v>2025</v>
      </c>
      <c r="C2514" s="94" t="inlineStr">
        <is>
          <t>2025-Q4</t>
        </is>
      </c>
      <c r="D2514" s="186" t="n">
        <v>94411.3294718297</v>
      </c>
      <c r="E2514" s="188" t="n">
        <v>1883240679702.74</v>
      </c>
      <c r="F2514" s="188" t="n">
        <v>72645149972.7847</v>
      </c>
    </row>
    <row r="2515" ht="15" customHeight="1" s="95">
      <c r="A2515" s="143" t="n">
        <v>45979</v>
      </c>
      <c r="B2515" s="94" t="n">
        <v>2025</v>
      </c>
      <c r="C2515" s="94" t="inlineStr">
        <is>
          <t>2025-Q4</t>
        </is>
      </c>
      <c r="D2515" s="186" t="n">
        <v>92036.72550456721</v>
      </c>
      <c r="E2515" s="188" t="n">
        <v>1835458818945.9</v>
      </c>
      <c r="F2515" s="188" t="n">
        <v>95794596045.0641</v>
      </c>
    </row>
    <row r="2516" ht="15" customHeight="1" s="95">
      <c r="A2516" s="143" t="n">
        <v>45980</v>
      </c>
      <c r="B2516" s="94" t="n">
        <v>2025</v>
      </c>
      <c r="C2516" s="94" t="inlineStr">
        <is>
          <t>2025-Q4</t>
        </is>
      </c>
      <c r="D2516" s="186" t="n">
        <v>92819.75921500901</v>
      </c>
      <c r="E2516" s="188" t="n">
        <v>1851234710246.61</v>
      </c>
      <c r="F2516" s="188" t="n">
        <v>103837258806.016</v>
      </c>
    </row>
    <row r="2517" ht="15" customHeight="1" s="95">
      <c r="A2517" s="143" t="n">
        <v>45981</v>
      </c>
      <c r="B2517" s="94" t="n">
        <v>2025</v>
      </c>
      <c r="C2517" s="94" t="inlineStr">
        <is>
          <t>2025-Q4</t>
        </is>
      </c>
      <c r="D2517" s="186" t="n">
        <v>91363.2783869337</v>
      </c>
      <c r="E2517" s="188" t="n">
        <v>1820062799702.32</v>
      </c>
      <c r="F2517" s="188" t="n">
        <v>82897875507.4523</v>
      </c>
    </row>
    <row r="2518" ht="15" customHeight="1" s="95">
      <c r="A2518" s="143" t="n">
        <v>45982</v>
      </c>
      <c r="B2518" s="94" t="n">
        <v>2025</v>
      </c>
      <c r="C2518" s="94" t="inlineStr">
        <is>
          <t>2025-Q4</t>
        </is>
      </c>
      <c r="D2518" s="186" t="n">
        <v>86649.9725791823</v>
      </c>
      <c r="E2518" s="188" t="n">
        <v>1731258563683.13</v>
      </c>
      <c r="F2518" s="188" t="n">
        <v>99171039191.1295</v>
      </c>
    </row>
    <row r="2519" ht="15" customHeight="1" s="95">
      <c r="A2519" s="143" t="n">
        <v>45983</v>
      </c>
      <c r="B2519" s="94" t="n">
        <v>2025</v>
      </c>
      <c r="C2519" s="94" t="inlineStr">
        <is>
          <t>2025-Q4</t>
        </is>
      </c>
      <c r="D2519" s="186" t="n">
        <v>85051.8019295002</v>
      </c>
      <c r="E2519" s="188" t="n">
        <v>1697723941246.05</v>
      </c>
      <c r="F2519" s="188" t="n">
        <v>135093457122.465</v>
      </c>
    </row>
    <row r="2520" ht="15" customHeight="1" s="95">
      <c r="A2520" s="143" t="n">
        <v>45984</v>
      </c>
      <c r="B2520" s="94" t="n">
        <v>2025</v>
      </c>
      <c r="C2520" s="94" t="inlineStr">
        <is>
          <t>2025-Q4</t>
        </is>
      </c>
      <c r="D2520" s="186" t="n">
        <v>84682.62429147751</v>
      </c>
      <c r="E2520" s="188" t="n">
        <v>1690556523055.81</v>
      </c>
      <c r="F2520" s="188" t="n">
        <v>42644968955.2184</v>
      </c>
    </row>
    <row r="2521" ht="15" customHeight="1" s="95">
      <c r="A2521" s="143" t="n">
        <v>45985</v>
      </c>
      <c r="B2521" s="94" t="n">
        <v>2025</v>
      </c>
      <c r="C2521" s="94" t="inlineStr">
        <is>
          <t>2025-Q4</t>
        </is>
      </c>
      <c r="D2521" s="186" t="n">
        <v>86783.8476683958</v>
      </c>
      <c r="E2521" s="188" t="n">
        <v>1732233225777.4</v>
      </c>
      <c r="F2521" s="188" t="n">
        <v>60446592409.2922</v>
      </c>
    </row>
    <row r="2522" ht="15" customHeight="1" s="95">
      <c r="A2522" s="143" t="n">
        <v>45986</v>
      </c>
      <c r="B2522" s="94" t="n">
        <v>2025</v>
      </c>
      <c r="C2522" s="94" t="inlineStr">
        <is>
          <t>2025-Q4</t>
        </is>
      </c>
      <c r="D2522" s="186" t="n">
        <v>88229.35740719771</v>
      </c>
      <c r="E2522" s="188" t="n">
        <v>1761564072532.24</v>
      </c>
      <c r="F2522" s="188" t="n">
        <v>77606296173.43539</v>
      </c>
    </row>
    <row r="2523" ht="15" customHeight="1" s="95">
      <c r="A2523" s="143" t="n">
        <v>45987</v>
      </c>
      <c r="B2523" s="94" t="n">
        <v>2025</v>
      </c>
      <c r="C2523" s="94" t="inlineStr">
        <is>
          <t>2025-Q4</t>
        </is>
      </c>
      <c r="D2523" s="186" t="n">
        <v>87310.3315995044</v>
      </c>
      <c r="E2523" s="188" t="n">
        <v>1742162762885.54</v>
      </c>
      <c r="F2523" s="188" t="n">
        <v>67956444142.1875</v>
      </c>
    </row>
    <row r="2524" ht="15" customHeight="1" s="95">
      <c r="A2524" s="143" t="n">
        <v>45988</v>
      </c>
      <c r="B2524" s="94" t="n">
        <v>2025</v>
      </c>
      <c r="C2524" s="94" t="inlineStr">
        <is>
          <t>2025-Q4</t>
        </is>
      </c>
      <c r="D2524" s="186" t="n">
        <v>90474.226779697</v>
      </c>
      <c r="E2524" s="188" t="n">
        <v>1806439309545</v>
      </c>
      <c r="F2524" s="188" t="n">
        <v>69690430587.90021</v>
      </c>
    </row>
    <row r="2525" ht="15" customHeight="1" s="95">
      <c r="A2525" s="143" t="n">
        <v>45989</v>
      </c>
      <c r="B2525" s="94" t="n">
        <v>2025</v>
      </c>
      <c r="C2525" s="94" t="inlineStr">
        <is>
          <t>2025-Q4</t>
        </is>
      </c>
      <c r="D2525" s="186" t="n">
        <v>91279.0605717642</v>
      </c>
      <c r="E2525" s="188" t="n">
        <v>1821778517479.92</v>
      </c>
      <c r="F2525" s="188" t="n">
        <v>59295194347.6686</v>
      </c>
    </row>
    <row r="2526" ht="15" customHeight="1" s="95">
      <c r="A2526" s="143" t="n">
        <v>45990</v>
      </c>
      <c r="B2526" s="94" t="n">
        <v>2025</v>
      </c>
      <c r="C2526" s="94" t="inlineStr">
        <is>
          <t>2025-Q4</t>
        </is>
      </c>
      <c r="D2526" s="186" t="n">
        <v>90950.3769591099</v>
      </c>
      <c r="E2526" s="188" t="n">
        <v>1814919896425.41</v>
      </c>
      <c r="F2526" s="188" t="n">
        <v>62833195066.5399</v>
      </c>
    </row>
    <row r="2527" ht="15" customHeight="1" s="95">
      <c r="A2527" s="143" t="n">
        <v>45991</v>
      </c>
      <c r="B2527" s="94" t="n">
        <v>2025</v>
      </c>
      <c r="C2527" s="94" t="inlineStr">
        <is>
          <t>2025-Q4</t>
        </is>
      </c>
      <c r="D2527" s="186" t="n">
        <v>90841.4525819368</v>
      </c>
      <c r="E2527" s="188" t="n">
        <v>1812771321410.94</v>
      </c>
      <c r="F2527" s="188" t="n">
        <v>39253888201.6933</v>
      </c>
    </row>
    <row r="2528" ht="15" customHeight="1" s="95">
      <c r="A2528" s="143" t="n">
        <v>45992</v>
      </c>
      <c r="B2528" s="94" t="n">
        <v>2025</v>
      </c>
      <c r="C2528" s="94" t="inlineStr">
        <is>
          <t>2025-Q4</t>
        </is>
      </c>
      <c r="D2528" s="186" t="n">
        <v>90406.2844857115</v>
      </c>
      <c r="E2528" s="188" t="n">
        <v>1807818977105.39</v>
      </c>
      <c r="F2528" s="188" t="n">
        <v>40334819409.8435</v>
      </c>
    </row>
    <row r="2529" ht="15" customHeight="1" s="95">
      <c r="A2529" s="143" t="n">
        <v>45993</v>
      </c>
      <c r="B2529" s="94" t="n">
        <v>2025</v>
      </c>
      <c r="C2529" s="94" t="inlineStr">
        <is>
          <t>2025-Q4</t>
        </is>
      </c>
      <c r="D2529" s="186" t="n">
        <v>86281.4951977692</v>
      </c>
      <c r="E2529" s="188" t="n">
        <v>1723547230444.79</v>
      </c>
      <c r="F2529" s="188" t="n">
        <v>92988982967.246</v>
      </c>
    </row>
    <row r="2530" ht="15" customHeight="1" s="95">
      <c r="A2530" s="143" t="n">
        <v>45994</v>
      </c>
      <c r="B2530" s="94" t="n">
        <v>2025</v>
      </c>
      <c r="C2530" s="94" t="inlineStr">
        <is>
          <t>2025-Q4</t>
        </is>
      </c>
      <c r="D2530" s="186" t="n">
        <v>91344.7327515017</v>
      </c>
      <c r="E2530" s="188" t="n">
        <v>1824843161126.14</v>
      </c>
      <c r="F2530" s="188" t="n">
        <v>83138039128.81351</v>
      </c>
    </row>
    <row r="2531" ht="15" customHeight="1" s="95">
      <c r="A2531" s="143" t="n">
        <v>45995</v>
      </c>
      <c r="B2531" s="94" t="n">
        <v>2025</v>
      </c>
      <c r="C2531" s="94" t="inlineStr">
        <is>
          <t>2025-Q4</t>
        </is>
      </c>
      <c r="D2531" s="186" t="n">
        <v>93619.437508171</v>
      </c>
      <c r="E2531" s="188" t="n">
        <v>1868050658597.66</v>
      </c>
      <c r="F2531" s="188" t="n">
        <v>81429135004.883</v>
      </c>
    </row>
    <row r="2532" ht="15" customHeight="1" s="95">
      <c r="A2532" s="143" t="n">
        <v>45996</v>
      </c>
      <c r="B2532" s="94" t="n">
        <v>2025</v>
      </c>
      <c r="C2532" s="94" t="inlineStr">
        <is>
          <t>2025-Q4</t>
        </is>
      </c>
      <c r="D2532" s="186" t="n">
        <v>92140.70419795789</v>
      </c>
      <c r="E2532" s="188" t="n">
        <v>1839369557445.91</v>
      </c>
      <c r="F2532" s="188" t="n">
        <v>67878296355.0259</v>
      </c>
    </row>
    <row r="2533" ht="15" customHeight="1" s="95">
      <c r="A2533" s="143" t="n">
        <v>45997</v>
      </c>
      <c r="B2533" s="94" t="n">
        <v>2025</v>
      </c>
      <c r="C2533" s="94" t="inlineStr">
        <is>
          <t>2025-Q4</t>
        </is>
      </c>
      <c r="D2533" s="186" t="n">
        <v>89307.0915451296</v>
      </c>
      <c r="E2533" s="188" t="n">
        <v>1782798987370.17</v>
      </c>
      <c r="F2533" s="188" t="n">
        <v>50193142876.7439</v>
      </c>
    </row>
    <row r="2534" ht="15" customHeight="1" s="95">
      <c r="A2534" s="143" t="n">
        <v>45998</v>
      </c>
      <c r="B2534" s="94" t="n">
        <v>2025</v>
      </c>
      <c r="C2534" s="94" t="inlineStr">
        <is>
          <t>2025-Q4</t>
        </is>
      </c>
      <c r="D2534" s="186" t="n">
        <v>89244.7620814118</v>
      </c>
      <c r="E2534" s="188" t="n">
        <v>1781194798199.84</v>
      </c>
      <c r="F2534" s="188" t="n">
        <v>24818678152.4999</v>
      </c>
    </row>
    <row r="2535" ht="15" customHeight="1" s="95">
      <c r="A2535" s="143" t="n">
        <v>45999</v>
      </c>
      <c r="B2535" s="94" t="n">
        <v>2025</v>
      </c>
      <c r="C2535" s="94" t="inlineStr">
        <is>
          <t>2025-Q4</t>
        </is>
      </c>
      <c r="D2535" s="186" t="n">
        <v>90162.9071400713</v>
      </c>
      <c r="E2535" s="188" t="n">
        <v>1799656690088.55</v>
      </c>
      <c r="F2535" s="188" t="n">
        <v>33912893266.9087</v>
      </c>
    </row>
    <row r="2536" ht="15" customHeight="1" s="95">
      <c r="A2536" s="143" t="n">
        <v>46000</v>
      </c>
      <c r="B2536" s="94" t="n">
        <v>2025</v>
      </c>
      <c r="C2536" s="94" t="inlineStr">
        <is>
          <t>2025-Q4</t>
        </is>
      </c>
      <c r="D2536" s="186" t="n">
        <v>90618.0535204608</v>
      </c>
      <c r="E2536" s="188" t="n">
        <v>1808394676576.64</v>
      </c>
      <c r="F2536" s="188" t="n">
        <v>45466493941.4045</v>
      </c>
    </row>
    <row r="2537" ht="15" customHeight="1" s="95">
      <c r="A2537" s="143" t="n">
        <v>46001</v>
      </c>
      <c r="B2537" s="94" t="n">
        <v>2025</v>
      </c>
      <c r="C2537" s="94" t="inlineStr">
        <is>
          <t>2025-Q4</t>
        </is>
      </c>
      <c r="D2537" s="186" t="n">
        <v>92723.21372069629</v>
      </c>
      <c r="E2537" s="188" t="n">
        <v>1852116289106.25</v>
      </c>
      <c r="F2537" s="188" t="n">
        <v>54575121853.6453</v>
      </c>
    </row>
    <row r="2538" ht="15" customHeight="1" s="95">
      <c r="A2538" s="143" t="n">
        <v>46002</v>
      </c>
      <c r="B2538" s="94" t="n">
        <v>2025</v>
      </c>
      <c r="C2538" s="94" t="inlineStr">
        <is>
          <t>2025-Q4</t>
        </is>
      </c>
      <c r="D2538" s="186" t="n">
        <v>92005.1371495741</v>
      </c>
      <c r="E2538" s="188" t="n">
        <v>1837321739746.96</v>
      </c>
      <c r="F2538" s="188" t="n">
        <v>52189659395.7565</v>
      </c>
    </row>
    <row r="2539" ht="15" customHeight="1" s="95">
      <c r="A2539" s="143" t="n">
        <v>46003</v>
      </c>
      <c r="B2539" s="94" t="n">
        <v>2025</v>
      </c>
      <c r="C2539" s="94" t="inlineStr">
        <is>
          <t>2025-Q4</t>
        </is>
      </c>
      <c r="D2539" s="186" t="n">
        <v>92494.17691640421</v>
      </c>
      <c r="E2539" s="188" t="n">
        <v>1848922166365.78</v>
      </c>
      <c r="F2539" s="188" t="n">
        <v>53232377699.4084</v>
      </c>
    </row>
    <row r="2540" ht="15" customHeight="1" s="95">
      <c r="A2540" s="143" t="n">
        <v>46004</v>
      </c>
      <c r="B2540" s="94" t="n">
        <v>2025</v>
      </c>
      <c r="C2540" s="94" t="inlineStr">
        <is>
          <t>2025-Q4</t>
        </is>
      </c>
      <c r="D2540" s="186" t="n">
        <v>90307.260285678</v>
      </c>
      <c r="E2540" s="188" t="n">
        <v>1803244893514.89</v>
      </c>
      <c r="F2540" s="188" t="n">
        <v>67750393558.6294</v>
      </c>
    </row>
    <row r="2541" ht="15" customHeight="1" s="95">
      <c r="A2541" s="143" t="n">
        <v>46005</v>
      </c>
      <c r="B2541" s="94" t="n">
        <v>2025</v>
      </c>
      <c r="C2541" s="94" t="inlineStr">
        <is>
          <t>2025-Q4</t>
        </is>
      </c>
      <c r="D2541" s="186" t="n">
        <v>90257.4292885891</v>
      </c>
      <c r="E2541" s="188" t="n">
        <v>1801496999571.69</v>
      </c>
      <c r="F2541" s="188" t="n">
        <v>35222775785.4022</v>
      </c>
    </row>
    <row r="2542" ht="15" customHeight="1" s="95">
      <c r="A2542" s="143" t="n">
        <v>46006</v>
      </c>
      <c r="B2542" s="94" t="n">
        <v>2025</v>
      </c>
      <c r="C2542" s="94" t="inlineStr">
        <is>
          <t>2025-Q4</t>
        </is>
      </c>
      <c r="D2542" s="186" t="n">
        <v>88230.77409367909</v>
      </c>
      <c r="E2542" s="188" t="n">
        <v>1761380944797.12</v>
      </c>
      <c r="F2542" s="188" t="n">
        <v>33808538697.0424</v>
      </c>
    </row>
    <row r="2543" ht="15" customHeight="1" s="95">
      <c r="A2543" s="143" t="n">
        <v>46007</v>
      </c>
      <c r="B2543" s="94" t="n">
        <v>2025</v>
      </c>
      <c r="C2543" s="94" t="inlineStr">
        <is>
          <t>2025-Q4</t>
        </is>
      </c>
      <c r="D2543" s="186" t="n">
        <v>86413.91901956371</v>
      </c>
      <c r="E2543" s="188" t="n">
        <v>1724624039059.3</v>
      </c>
      <c r="F2543" s="188" t="n">
        <v>50630498834.0552</v>
      </c>
    </row>
    <row r="2544" ht="15" customHeight="1" s="95">
      <c r="A2544" s="143" t="n">
        <v>46008</v>
      </c>
      <c r="B2544" s="94" t="n">
        <v>2025</v>
      </c>
      <c r="C2544" s="94" t="inlineStr">
        <is>
          <t>2025-Q4</t>
        </is>
      </c>
      <c r="D2544" s="186" t="n">
        <v>87821.88919109129</v>
      </c>
      <c r="E2544" s="188" t="n">
        <v>1751373602587.66</v>
      </c>
      <c r="F2544" s="188" t="n">
        <v>48317754254.7028</v>
      </c>
    </row>
    <row r="2545" ht="15" customHeight="1" s="95">
      <c r="A2545" s="143" t="n">
        <v>46009</v>
      </c>
      <c r="B2545" s="94" t="n">
        <v>2025</v>
      </c>
      <c r="C2545" s="94" t="inlineStr">
        <is>
          <t>2025-Q4</t>
        </is>
      </c>
      <c r="D2545" s="186" t="n">
        <v>86064.94716216</v>
      </c>
      <c r="E2545" s="188" t="n">
        <v>1718491930388.84</v>
      </c>
      <c r="F2545" s="188" t="n">
        <v>48886793507.6563</v>
      </c>
    </row>
    <row r="2546" ht="15" customHeight="1" s="95">
      <c r="A2546" s="143" t="n">
        <v>46010</v>
      </c>
      <c r="B2546" s="94" t="n">
        <v>2025</v>
      </c>
      <c r="C2546" s="94" t="inlineStr">
        <is>
          <t>2025-Q4</t>
        </is>
      </c>
      <c r="D2546" s="186" t="n">
        <v>85450.3312009302</v>
      </c>
      <c r="E2546" s="188" t="n">
        <v>1704341132953.62</v>
      </c>
      <c r="F2546" s="188" t="n">
        <v>58649139178.5119</v>
      </c>
    </row>
    <row r="2547" ht="15" customHeight="1" s="95">
      <c r="A2547" s="143" t="n">
        <v>46011</v>
      </c>
      <c r="B2547" s="94" t="n">
        <v>2025</v>
      </c>
      <c r="C2547" s="94" t="inlineStr">
        <is>
          <t>2025-Q4</t>
        </is>
      </c>
      <c r="D2547" s="186" t="n">
        <v>88103.8607572102</v>
      </c>
      <c r="E2547" s="188" t="n">
        <v>1759398134896.64</v>
      </c>
      <c r="F2547" s="188" t="n">
        <v>51932451056.5006</v>
      </c>
    </row>
    <row r="2548" ht="15" customHeight="1" s="95">
      <c r="A2548" s="143" t="n">
        <v>46012</v>
      </c>
      <c r="B2548" s="94" t="n">
        <v>2025</v>
      </c>
      <c r="C2548" s="94" t="inlineStr">
        <is>
          <t>2025-Q4</t>
        </is>
      </c>
      <c r="D2548" s="186" t="n">
        <v>88347.94310567999</v>
      </c>
      <c r="E2548" s="188" t="n">
        <v>1762805314679.98</v>
      </c>
      <c r="F2548" s="188" t="n">
        <v>17103607834.7801</v>
      </c>
    </row>
    <row r="2549" ht="15" customHeight="1" s="95">
      <c r="A2549" s="143" t="n">
        <v>46013</v>
      </c>
      <c r="B2549" s="94" t="n">
        <v>2025</v>
      </c>
      <c r="C2549" s="94" t="inlineStr">
        <is>
          <t>2025-Q4</t>
        </is>
      </c>
      <c r="D2549" s="186" t="n">
        <v>88577.4203835884</v>
      </c>
      <c r="E2549" s="188" t="n">
        <v>1768920028841.51</v>
      </c>
      <c r="F2549" s="188" t="n">
        <v>22541294542.3231</v>
      </c>
    </row>
    <row r="2550" ht="15" customHeight="1" s="95">
      <c r="A2550" s="143" t="n">
        <v>46014</v>
      </c>
      <c r="B2550" s="94" t="n">
        <v>2025</v>
      </c>
      <c r="C2550" s="94" t="inlineStr">
        <is>
          <t>2025-Q4</t>
        </is>
      </c>
      <c r="D2550" s="186" t="n">
        <v>88491.120207881</v>
      </c>
      <c r="E2550" s="188" t="n">
        <v>1767081210842.81</v>
      </c>
      <c r="F2550" s="188" t="n">
        <v>41948947368.2102</v>
      </c>
    </row>
    <row r="2551" ht="15" customHeight="1" s="95">
      <c r="A2551" s="143" t="n">
        <v>46015</v>
      </c>
      <c r="B2551" s="94" t="n">
        <v>2025</v>
      </c>
      <c r="C2551" s="94" t="inlineStr">
        <is>
          <t>2025-Q4</t>
        </is>
      </c>
      <c r="D2551" s="186" t="n">
        <v>87406.43636737981</v>
      </c>
      <c r="E2551" s="188" t="n">
        <v>1745209464473.63</v>
      </c>
      <c r="F2551" s="188" t="n">
        <v>46353794741.51</v>
      </c>
    </row>
    <row r="2552" ht="15" customHeight="1" s="95">
      <c r="A2552" s="143" t="n">
        <v>46016</v>
      </c>
      <c r="B2552" s="94" t="n">
        <v>2025</v>
      </c>
      <c r="C2552" s="94" t="inlineStr">
        <is>
          <t>2025-Q4</t>
        </is>
      </c>
      <c r="D2552" s="186" t="n">
        <v>87642.6088811995</v>
      </c>
      <c r="E2552" s="188" t="n">
        <v>1749379166231.29</v>
      </c>
      <c r="F2552" s="188" t="n">
        <v>29100645180.04</v>
      </c>
    </row>
    <row r="2553" ht="15" customHeight="1" s="95">
      <c r="A2553" s="143" t="n">
        <v>46017</v>
      </c>
      <c r="B2553" s="94" t="n">
        <v>2025</v>
      </c>
      <c r="C2553" s="94" t="inlineStr">
        <is>
          <t>2025-Q4</t>
        </is>
      </c>
      <c r="D2553" s="186" t="n">
        <v>87229.78066010941</v>
      </c>
      <c r="E2553" s="188" t="n">
        <v>1741491085115.6</v>
      </c>
      <c r="F2553" s="188" t="n">
        <v>22773603342.3264</v>
      </c>
    </row>
    <row r="2554" ht="15" customHeight="1" s="95">
      <c r="A2554" s="143" t="n">
        <v>46018</v>
      </c>
      <c r="B2554" s="94" t="n">
        <v>2025</v>
      </c>
      <c r="C2554" s="94" t="inlineStr">
        <is>
          <t>2025-Q4</t>
        </is>
      </c>
      <c r="D2554" s="186" t="n">
        <v>87305.9565596139</v>
      </c>
      <c r="E2554" s="188" t="n">
        <v>1743187621561.16</v>
      </c>
      <c r="F2554" s="188" t="n">
        <v>47130449135.7867</v>
      </c>
    </row>
    <row r="2555" ht="15" customHeight="1" s="95">
      <c r="A2555" s="143" t="n">
        <v>46019</v>
      </c>
      <c r="B2555" s="94" t="n">
        <v>2025</v>
      </c>
      <c r="C2555" s="94" t="inlineStr">
        <is>
          <t>2025-Q4</t>
        </is>
      </c>
      <c r="D2555" s="186" t="n">
        <v>87807.003210775</v>
      </c>
      <c r="E2555" s="188" t="n">
        <v>1753375412209.35</v>
      </c>
      <c r="F2555" s="188" t="n">
        <v>15670944599.6607</v>
      </c>
    </row>
    <row r="2556" ht="15" customHeight="1" s="95">
      <c r="A2556" s="143" t="n">
        <v>46020</v>
      </c>
      <c r="B2556" s="94" t="n">
        <v>2025</v>
      </c>
      <c r="C2556" s="94" t="inlineStr">
        <is>
          <t>2025-Q4</t>
        </is>
      </c>
      <c r="D2556" s="186" t="n">
        <v>87822.9082907679</v>
      </c>
      <c r="E2556" s="188" t="n">
        <v>1753595375313.04</v>
      </c>
      <c r="F2556" s="188" t="n">
        <v>17428479525.1991</v>
      </c>
    </row>
    <row r="2557" ht="15" customHeight="1" s="95">
      <c r="A2557" s="143" t="n">
        <v>46021</v>
      </c>
      <c r="B2557" s="94" t="n">
        <v>2025</v>
      </c>
      <c r="C2557" s="94" t="inlineStr">
        <is>
          <t>2025-Q4</t>
        </is>
      </c>
      <c r="D2557" s="186" t="n">
        <v>87156.5626608012</v>
      </c>
      <c r="E2557" s="188" t="n">
        <v>1739794323451.96</v>
      </c>
      <c r="F2557" s="188" t="n">
        <v>53957962807.9888</v>
      </c>
    </row>
    <row r="2558" ht="15" customHeight="1" s="95">
      <c r="A2558" s="143" t="n">
        <v>46022</v>
      </c>
      <c r="B2558" s="94" t="n">
        <v>2025</v>
      </c>
      <c r="C2558" s="94" t="inlineStr">
        <is>
          <t>2025-Q4</t>
        </is>
      </c>
      <c r="D2558" s="186" t="n">
        <v>88414.6285607336</v>
      </c>
      <c r="E2558" s="188" t="n">
        <v>1765833387995.62</v>
      </c>
      <c r="F2558" s="188" t="n">
        <v>39734225800.0792</v>
      </c>
    </row>
    <row r="2559" ht="15" customHeight="1" s="95">
      <c r="A2559" s="143" t="n">
        <v>46023</v>
      </c>
      <c r="B2559" s="94" t="n">
        <v>2026</v>
      </c>
      <c r="C2559" s="94" t="inlineStr">
        <is>
          <t>2026-Q1</t>
        </is>
      </c>
      <c r="D2559" s="186" t="n">
        <v>87520.18048742881</v>
      </c>
      <c r="E2559" s="188" t="n">
        <v>1747837206254.36</v>
      </c>
      <c r="F2559" s="188" t="n">
        <v>37245075349.0277</v>
      </c>
    </row>
    <row r="2560" ht="15" customHeight="1" s="95">
      <c r="A2560" s="143" t="n">
        <v>46024</v>
      </c>
      <c r="B2560" s="94" t="n">
        <v>2026</v>
      </c>
      <c r="C2560" s="94" t="inlineStr">
        <is>
          <t>2026-Q1</t>
        </is>
      </c>
      <c r="D2560" s="186" t="n">
        <v>88727.6700424974</v>
      </c>
      <c r="E2560" s="188" t="n">
        <v>1771365149347.4</v>
      </c>
      <c r="F2560" s="188" t="n">
        <v>21163124465.2058</v>
      </c>
    </row>
    <row r="2561" ht="15" customHeight="1" s="95">
      <c r="A2561" s="143" t="n">
        <v>46025</v>
      </c>
      <c r="B2561" s="94" t="n">
        <v>2026</v>
      </c>
      <c r="C2561" s="94" t="inlineStr">
        <is>
          <t>2026-Q1</t>
        </is>
      </c>
      <c r="D2561" s="186" t="n">
        <v>89926.2792495342</v>
      </c>
      <c r="E2561" s="188" t="n">
        <v>1795890115524.72</v>
      </c>
      <c r="F2561" s="188" t="n">
        <v>50705395175.7333</v>
      </c>
    </row>
    <row r="2562" ht="15" customHeight="1" s="95">
      <c r="A2562" s="143" t="n">
        <v>46026</v>
      </c>
      <c r="B2562" s="94" t="n">
        <v>2026</v>
      </c>
      <c r="C2562" s="94" t="inlineStr">
        <is>
          <t>2026-Q1</t>
        </is>
      </c>
      <c r="D2562" s="186" t="n">
        <v>90593.8544318042</v>
      </c>
      <c r="E2562" s="188" t="n">
        <v>1809211438369</v>
      </c>
      <c r="F2562" s="188" t="n">
        <v>23480735292.7612</v>
      </c>
    </row>
    <row r="2563" ht="15" customHeight="1" s="95">
      <c r="A2563" s="143" t="n">
        <v>46027</v>
      </c>
      <c r="B2563" s="94" t="n">
        <v>2026</v>
      </c>
      <c r="C2563" s="94" t="inlineStr">
        <is>
          <t>2026-Q1</t>
        </is>
      </c>
      <c r="D2563" s="186" t="n">
        <v>91373.2158810844</v>
      </c>
      <c r="E2563" s="188" t="n">
        <v>1824986876689.23</v>
      </c>
      <c r="F2563" s="188" t="n">
        <v>31050236622.949</v>
      </c>
    </row>
    <row r="2564" ht="15" customHeight="1" s="95">
      <c r="A2564" s="143" t="n">
        <v>46028</v>
      </c>
      <c r="B2564" s="94" t="n">
        <v>2026</v>
      </c>
      <c r="C2564" s="94" t="inlineStr">
        <is>
          <t>2026-Q1</t>
        </is>
      </c>
      <c r="D2564" s="186" t="n">
        <v>93926.79564856581</v>
      </c>
      <c r="E2564" s="188" t="n">
        <v>1876558232963.05</v>
      </c>
      <c r="F2564" s="188" t="n">
        <v>59451605754.8414</v>
      </c>
    </row>
    <row r="2565" ht="15" customHeight="1" s="95">
      <c r="A2565" s="143" t="n">
        <v>46029</v>
      </c>
      <c r="B2565" s="94" t="n">
        <v>2026</v>
      </c>
      <c r="C2565" s="94" t="inlineStr">
        <is>
          <t>2026-Q1</t>
        </is>
      </c>
      <c r="D2565" s="186" t="n">
        <v>93666.8638731431</v>
      </c>
      <c r="E2565" s="188" t="n">
        <v>1870043996457.19</v>
      </c>
      <c r="F2565" s="188" t="n">
        <v>57439451725.51</v>
      </c>
    </row>
    <row r="2566" ht="15" customHeight="1" s="95">
      <c r="A2566" s="143" t="n">
        <v>46030</v>
      </c>
      <c r="B2566" s="94" t="n">
        <v>2026</v>
      </c>
      <c r="C2566" s="94" t="inlineStr">
        <is>
          <t>2026-Q1</t>
        </is>
      </c>
      <c r="D2566" s="186" t="n">
        <v>91257.1554403591</v>
      </c>
      <c r="E2566" s="188" t="n">
        <v>1822220317807.38</v>
      </c>
      <c r="F2566" s="188" t="n">
        <v>47910812257.0495</v>
      </c>
    </row>
    <row r="2567" ht="15" customHeight="1" s="95">
      <c r="A2567" s="143" t="n">
        <v>46031</v>
      </c>
      <c r="B2567" s="94" t="n">
        <v>2026</v>
      </c>
      <c r="C2567" s="94" t="inlineStr">
        <is>
          <t>2026-Q1</t>
        </is>
      </c>
      <c r="D2567" s="186" t="n">
        <v>90983.51578142629</v>
      </c>
      <c r="E2567" s="188" t="n">
        <v>1817249307661.46</v>
      </c>
      <c r="F2567" s="188" t="n">
        <v>48319133568.4692</v>
      </c>
    </row>
    <row r="2568" ht="15" customHeight="1" s="95">
      <c r="A2568" s="143" t="n">
        <v>46032</v>
      </c>
      <c r="B2568" s="94" t="n">
        <v>2026</v>
      </c>
      <c r="C2568" s="94" t="inlineStr">
        <is>
          <t>2026-Q1</t>
        </is>
      </c>
      <c r="D2568" s="186" t="n">
        <v>90504.8956034002</v>
      </c>
      <c r="E2568" s="188" t="n">
        <v>1807784901284.32</v>
      </c>
      <c r="F2568" s="188" t="n">
        <v>43664879516.3197</v>
      </c>
    </row>
    <row r="2569" ht="15" customHeight="1" s="95">
      <c r="A2569" s="143" t="n">
        <v>46033</v>
      </c>
      <c r="B2569" s="94" t="n">
        <v>2026</v>
      </c>
      <c r="C2569" s="94" t="inlineStr">
        <is>
          <t>2026-Q1</t>
        </is>
      </c>
      <c r="D2569" s="186" t="n">
        <v>90442.01907847</v>
      </c>
      <c r="E2569" s="188" t="n">
        <v>1806483854865.5</v>
      </c>
      <c r="F2569" s="188" t="n">
        <v>13961660357.4078</v>
      </c>
    </row>
    <row r="2570" ht="15" customHeight="1" s="95">
      <c r="A2570" s="143" t="n">
        <v>46034</v>
      </c>
      <c r="B2570" s="94" t="n">
        <v>2026</v>
      </c>
      <c r="C2570" s="94" t="inlineStr">
        <is>
          <t>2026-Q1</t>
        </is>
      </c>
      <c r="D2570" s="186" t="n">
        <v>90819.36598904189</v>
      </c>
      <c r="E2570" s="188" t="n">
        <v>1814078415941.01</v>
      </c>
      <c r="F2570" s="188" t="n">
        <v>19870776213.7747</v>
      </c>
    </row>
    <row r="2571" ht="15" customHeight="1" s="95">
      <c r="A2571" s="143" t="n">
        <v>46035</v>
      </c>
      <c r="B2571" s="94" t="n">
        <v>2026</v>
      </c>
      <c r="C2571" s="94" t="inlineStr">
        <is>
          <t>2026-Q1</t>
        </is>
      </c>
      <c r="D2571" s="186" t="n">
        <v>91134.9691795151</v>
      </c>
      <c r="E2571" s="188" t="n">
        <v>1820530763450.67</v>
      </c>
      <c r="F2571" s="188" t="n">
        <v>46923085427.6277</v>
      </c>
    </row>
    <row r="2572" ht="15" customHeight="1" s="95">
      <c r="A2572" s="143" t="n">
        <v>46036</v>
      </c>
      <c r="B2572" s="94" t="n">
        <v>2026</v>
      </c>
      <c r="C2572" s="94" t="inlineStr">
        <is>
          <t>2026-Q1</t>
        </is>
      </c>
      <c r="D2572" s="186" t="n">
        <v>95260.4422971001</v>
      </c>
      <c r="E2572" s="188" t="n">
        <v>1902289955573.26</v>
      </c>
      <c r="F2572" s="188" t="n">
        <v>66844465446.7421</v>
      </c>
    </row>
    <row r="2573" ht="15" customHeight="1" s="95">
      <c r="A2573" s="143" t="n">
        <v>46037</v>
      </c>
      <c r="B2573" s="94" t="n">
        <v>2026</v>
      </c>
      <c r="C2573" s="94" t="inlineStr">
        <is>
          <t>2026-Q1</t>
        </is>
      </c>
      <c r="D2573" s="186" t="n">
        <v>97007.7807888128</v>
      </c>
      <c r="E2573" s="188" t="n">
        <v>1938292963237.81</v>
      </c>
      <c r="F2573" s="188" t="n">
        <v>68433627980.994</v>
      </c>
    </row>
    <row r="2574" ht="15" customHeight="1" s="95">
      <c r="A2574" s="143" t="n">
        <v>46038</v>
      </c>
      <c r="B2574" s="94" t="n">
        <v>2026</v>
      </c>
      <c r="C2574" s="94" t="inlineStr">
        <is>
          <t>2026-Q1</t>
        </is>
      </c>
      <c r="D2574" s="186" t="n">
        <v>95584.82797878511</v>
      </c>
      <c r="E2574" s="188" t="n">
        <v>1909227332523.16</v>
      </c>
      <c r="F2574" s="188" t="n">
        <v>59629891835.2242</v>
      </c>
    </row>
    <row r="2575" ht="15" customHeight="1" s="95">
      <c r="A2575" s="143" t="n">
        <v>46039</v>
      </c>
      <c r="B2575" s="94" t="n">
        <v>2026</v>
      </c>
      <c r="C2575" s="94" t="inlineStr">
        <is>
          <t>2026-Q1</t>
        </is>
      </c>
      <c r="D2575" s="186" t="n">
        <v>95516.0777198712</v>
      </c>
      <c r="E2575" s="188" t="n">
        <v>1907673016263.01</v>
      </c>
      <c r="F2575" s="188" t="n">
        <v>37208122951.6065</v>
      </c>
    </row>
    <row r="2576" ht="15" customHeight="1" s="95">
      <c r="A2576" s="143" t="n">
        <v>46040</v>
      </c>
      <c r="B2576" s="94" t="n">
        <v>2026</v>
      </c>
      <c r="C2576" s="94" t="inlineStr">
        <is>
          <t>2026-Q1</t>
        </is>
      </c>
      <c r="D2576" s="186" t="n">
        <v>95099.5319255463</v>
      </c>
      <c r="E2576" s="188" t="n">
        <v>1899912876486.17</v>
      </c>
      <c r="F2576" s="188" t="n">
        <v>17839431205.0118</v>
      </c>
    </row>
    <row r="2577" ht="15" customHeight="1" s="95">
      <c r="A2577" s="143" t="n">
        <v>46041</v>
      </c>
      <c r="B2577" s="94" t="n">
        <v>2026</v>
      </c>
      <c r="C2577" s="94" t="inlineStr">
        <is>
          <t>2026-Q1</t>
        </is>
      </c>
      <c r="D2577" s="186" t="n">
        <v>93752.70577188241</v>
      </c>
      <c r="E2577" s="188" t="n">
        <v>1874976961280.7</v>
      </c>
      <c r="F2577" s="188" t="n">
        <v>23132534225.6458</v>
      </c>
    </row>
    <row r="2578" ht="15" customHeight="1" s="95">
      <c r="A2578" s="143" t="n">
        <v>46042</v>
      </c>
      <c r="B2578" s="94" t="n">
        <v>2026</v>
      </c>
      <c r="C2578" s="94" t="inlineStr">
        <is>
          <t>2026-Q1</t>
        </is>
      </c>
      <c r="D2578" s="186" t="n">
        <v>92558.46334372149</v>
      </c>
      <c r="E2578" s="188" t="n">
        <v>1849232162887.2</v>
      </c>
      <c r="F2578" s="188" t="n">
        <v>43338958368.5078</v>
      </c>
    </row>
    <row r="2579" ht="15" customHeight="1" s="95">
      <c r="A2579" s="143" t="n">
        <v>46043</v>
      </c>
      <c r="B2579" s="94" t="n">
        <v>2026</v>
      </c>
      <c r="C2579" s="94" t="inlineStr">
        <is>
          <t>2026-Q1</t>
        </is>
      </c>
      <c r="D2579" s="186" t="n">
        <v>88312.84053255559</v>
      </c>
      <c r="E2579" s="188" t="n">
        <v>1764030499464.27</v>
      </c>
      <c r="F2579" s="188" t="n">
        <v>60578606228.983</v>
      </c>
    </row>
    <row r="2580" ht="15" customHeight="1" s="95">
      <c r="A2580" s="143" t="n">
        <v>46044</v>
      </c>
      <c r="B2580" s="94" t="n">
        <v>2026</v>
      </c>
      <c r="C2580" s="94" t="inlineStr">
        <is>
          <t>2026-Q1</t>
        </is>
      </c>
      <c r="D2580" s="186" t="n">
        <v>89354.34377512131</v>
      </c>
      <c r="E2580" s="188" t="n">
        <v>1785123532735.04</v>
      </c>
      <c r="F2580" s="188" t="n">
        <v>62357735672.9521</v>
      </c>
    </row>
    <row r="2581" ht="15" customHeight="1" s="95">
      <c r="A2581" s="143" t="n">
        <v>46045</v>
      </c>
      <c r="B2581" s="94" t="n">
        <v>2026</v>
      </c>
      <c r="C2581" s="94" t="inlineStr">
        <is>
          <t>2026-Q1</t>
        </is>
      </c>
      <c r="D2581" s="186" t="n">
        <v>89443.3974414691</v>
      </c>
      <c r="E2581" s="188" t="n">
        <v>1787014846080.98</v>
      </c>
      <c r="F2581" s="188" t="n">
        <v>39301750755.6981</v>
      </c>
    </row>
    <row r="2582" ht="15" customHeight="1" s="95">
      <c r="A2582" s="143" t="n">
        <v>46046</v>
      </c>
      <c r="B2582" s="94" t="n">
        <v>2026</v>
      </c>
      <c r="C2582" s="94" t="inlineStr">
        <is>
          <t>2026-Q1</t>
        </is>
      </c>
      <c r="D2582" s="186" t="n">
        <v>89412.3984995311</v>
      </c>
      <c r="E2582" s="188" t="n">
        <v>1786292506432.34</v>
      </c>
      <c r="F2582" s="188" t="n">
        <v>43393369570.5864</v>
      </c>
    </row>
    <row r="2583" ht="15" customHeight="1" s="95">
      <c r="A2583" s="143" t="n">
        <v>46047</v>
      </c>
      <c r="B2583" s="94" t="n">
        <v>2026</v>
      </c>
      <c r="C2583" s="94" t="inlineStr">
        <is>
          <t>2026-Q1</t>
        </is>
      </c>
      <c r="D2583" s="186" t="n">
        <v>89170.873645315</v>
      </c>
      <c r="E2583" s="188" t="n">
        <v>1781979789713.34</v>
      </c>
      <c r="F2583" s="188" t="n">
        <v>16537403154.8505</v>
      </c>
    </row>
    <row r="2584" ht="15" customHeight="1" s="95">
      <c r="A2584" s="143" t="n">
        <v>46048</v>
      </c>
      <c r="B2584" s="94" t="n">
        <v>2026</v>
      </c>
      <c r="C2584" s="94" t="inlineStr">
        <is>
          <t>2026-Q1</t>
        </is>
      </c>
      <c r="D2584" s="186" t="n">
        <v>86548.3221346983</v>
      </c>
      <c r="E2584" s="188" t="n">
        <v>1731460015137.4</v>
      </c>
      <c r="F2584" s="188" t="n">
        <v>39912523619.1211</v>
      </c>
    </row>
    <row r="2585" ht="15" customHeight="1" s="95">
      <c r="A2585" s="143" t="n">
        <v>46049</v>
      </c>
      <c r="B2585" s="94" t="n">
        <v>2026</v>
      </c>
      <c r="C2585" s="94" t="inlineStr">
        <is>
          <t>2026-Q1</t>
        </is>
      </c>
      <c r="D2585" s="186" t="n">
        <v>88307.8612070438</v>
      </c>
      <c r="E2585" s="188" t="n">
        <v>1764540020523.91</v>
      </c>
      <c r="F2585" s="188" t="n">
        <v>50644433646.5002</v>
      </c>
    </row>
    <row r="2586" ht="15" customHeight="1" s="95">
      <c r="A2586" s="143" t="n">
        <v>46050</v>
      </c>
      <c r="B2586" s="94" t="n">
        <v>2026</v>
      </c>
      <c r="C2586" s="94" t="inlineStr">
        <is>
          <t>2026-Q1</t>
        </is>
      </c>
      <c r="D2586" s="186" t="n">
        <v>89204.2223964453</v>
      </c>
      <c r="E2586" s="188" t="n">
        <v>1782508769730.27</v>
      </c>
      <c r="F2586" s="188" t="n">
        <v>43778458930.6268</v>
      </c>
    </row>
    <row r="2587" ht="15" customHeight="1" s="95">
      <c r="A2587" s="143" t="n">
        <v>46051</v>
      </c>
      <c r="B2587" s="94" t="n">
        <v>2026</v>
      </c>
      <c r="C2587" s="94" t="inlineStr">
        <is>
          <t>2026-Q1</t>
        </is>
      </c>
      <c r="D2587" s="186" t="n">
        <v>89162.0970157496</v>
      </c>
      <c r="E2587" s="188" t="n">
        <v>1781310220302.33</v>
      </c>
      <c r="F2587" s="188" t="n">
        <v>45893249753.2736</v>
      </c>
    </row>
    <row r="2588" ht="15" customHeight="1" s="95">
      <c r="A2588" s="143" t="n">
        <v>46052</v>
      </c>
      <c r="B2588" s="94" t="n">
        <v>2026</v>
      </c>
      <c r="C2588" s="94" t="inlineStr">
        <is>
          <t>2026-Q1</t>
        </is>
      </c>
      <c r="D2588" s="186" t="n">
        <v>84570.4090613594</v>
      </c>
      <c r="E2588" s="188" t="n">
        <v>1689639802554.1</v>
      </c>
      <c r="F2588" s="188" t="n">
        <v>70962598615.01891</v>
      </c>
    </row>
    <row r="2589" ht="15" customHeight="1" s="95">
      <c r="A2589" s="143" t="n">
        <v>46053</v>
      </c>
      <c r="B2589" s="94" t="n">
        <v>2026</v>
      </c>
      <c r="C2589" s="94" t="inlineStr">
        <is>
          <t>2026-Q1</t>
        </is>
      </c>
      <c r="D2589" s="186" t="n">
        <v>84141.7785696728</v>
      </c>
      <c r="E2589" s="188" t="n">
        <v>1680807873673.85</v>
      </c>
      <c r="F2589" s="188" t="n">
        <v>79515463845.849</v>
      </c>
    </row>
    <row r="2590" ht="15" customHeight="1" s="95">
      <c r="A2590" s="143" t="n">
        <v>46054</v>
      </c>
      <c r="B2590" s="94" t="n">
        <v>2026</v>
      </c>
      <c r="C2590" s="94" t="inlineStr">
        <is>
          <t>2026-Q1</t>
        </is>
      </c>
      <c r="D2590" s="186" t="n">
        <v>78725.8585388455</v>
      </c>
      <c r="E2590" s="188" t="n">
        <v>1573735495563.39</v>
      </c>
      <c r="F2590" s="188" t="n">
        <v>78488542272.8187</v>
      </c>
    </row>
    <row r="2591" ht="15" customHeight="1" s="95">
      <c r="A2591" s="143" t="n">
        <v>46055</v>
      </c>
      <c r="B2591" s="94" t="n">
        <v>2026</v>
      </c>
      <c r="C2591" s="94" t="inlineStr">
        <is>
          <t>2026-Q1</t>
        </is>
      </c>
      <c r="D2591" s="186" t="n">
        <v>76937.0640663683</v>
      </c>
      <c r="E2591" s="188" t="n">
        <v>1537520318473.69</v>
      </c>
      <c r="F2591" s="188" t="n">
        <v>58330740751.5329</v>
      </c>
    </row>
    <row r="2592" ht="15" customHeight="1" s="95">
      <c r="A2592" s="143" t="n">
        <v>46056</v>
      </c>
      <c r="B2592" s="94" t="n">
        <v>2026</v>
      </c>
      <c r="C2592" s="94" t="inlineStr">
        <is>
          <t>2026-Q1</t>
        </is>
      </c>
      <c r="D2592" s="186" t="n">
        <v>78767.6581534593</v>
      </c>
      <c r="E2592" s="188" t="n">
        <v>1573216672021.92</v>
      </c>
      <c r="F2592" s="188" t="n">
        <v>84675130404.5555</v>
      </c>
    </row>
    <row r="2593" ht="15" customHeight="1" s="95">
      <c r="A2593" s="143" t="n">
        <v>46057</v>
      </c>
      <c r="B2593" s="94" t="n">
        <v>2026</v>
      </c>
      <c r="C2593" s="94" t="inlineStr">
        <is>
          <t>2026-Q1</t>
        </is>
      </c>
      <c r="D2593" s="186" t="n">
        <v>75638.95670207401</v>
      </c>
      <c r="E2593" s="188" t="n">
        <v>1512165605443.81</v>
      </c>
      <c r="F2593" s="188" t="n">
        <v>73734215653.24071</v>
      </c>
    </row>
    <row r="2594" ht="15" customHeight="1" s="95">
      <c r="A2594" s="143" t="n">
        <v>46058</v>
      </c>
      <c r="B2594" s="94" t="n">
        <v>2026</v>
      </c>
      <c r="C2594" s="94" t="inlineStr">
        <is>
          <t>2026-Q1</t>
        </is>
      </c>
      <c r="D2594" s="186" t="n">
        <v>73172.29203248931</v>
      </c>
      <c r="E2594" s="188" t="n">
        <v>1463518712915.32</v>
      </c>
      <c r="F2594" s="188" t="n">
        <v>74109194166.40109</v>
      </c>
    </row>
    <row r="2595" ht="15" customHeight="1" s="95">
      <c r="A2595" s="143" t="n">
        <v>46059</v>
      </c>
      <c r="B2595" s="94" t="n">
        <v>2026</v>
      </c>
      <c r="C2595" s="94" t="inlineStr">
        <is>
          <t>2026-Q1</t>
        </is>
      </c>
      <c r="D2595" s="186" t="n">
        <v>62853.6903844599</v>
      </c>
      <c r="E2595" s="188" t="n">
        <v>1262033077144.53</v>
      </c>
      <c r="F2595" s="188" t="n">
        <v>142403234254.454</v>
      </c>
    </row>
    <row r="2596" ht="15" customHeight="1" s="95">
      <c r="A2596" s="143" t="n">
        <v>46060</v>
      </c>
      <c r="B2596" s="94" t="n">
        <v>2026</v>
      </c>
      <c r="C2596" s="94" t="inlineStr">
        <is>
          <t>2026-Q1</t>
        </is>
      </c>
      <c r="D2596" s="186" t="n">
        <v>70523.95417035829</v>
      </c>
      <c r="E2596" s="188" t="n">
        <v>1410203662656.37</v>
      </c>
      <c r="F2596" s="188" t="n">
        <v>128662818793.56</v>
      </c>
    </row>
    <row r="2597" ht="15" customHeight="1" s="95">
      <c r="A2597" s="143" t="n">
        <v>46061</v>
      </c>
      <c r="B2597" s="94" t="n">
        <v>2026</v>
      </c>
      <c r="C2597" s="94" t="inlineStr">
        <is>
          <t>2026-Q1</t>
        </is>
      </c>
      <c r="D2597" s="186" t="n">
        <v>69296.80677355141</v>
      </c>
      <c r="E2597" s="188" t="n">
        <v>1385532837702.34</v>
      </c>
      <c r="F2597" s="188" t="n">
        <v>68978204828.46069</v>
      </c>
    </row>
    <row r="2598" ht="15" customHeight="1" s="95">
      <c r="A2598" s="143" t="n">
        <v>46062</v>
      </c>
      <c r="B2598" s="94" t="n">
        <v>2026</v>
      </c>
      <c r="C2598" s="94" t="inlineStr">
        <is>
          <t>2026-Q1</t>
        </is>
      </c>
      <c r="D2598" s="186" t="n">
        <v>70542.3732946388</v>
      </c>
      <c r="E2598" s="188" t="n">
        <v>1411671712614.32</v>
      </c>
      <c r="F2598" s="188" t="n">
        <v>42782981463.7038</v>
      </c>
    </row>
    <row r="2599" ht="15" customHeight="1" s="95">
      <c r="A2599" s="143" t="n">
        <v>46063</v>
      </c>
      <c r="B2599" s="94" t="n">
        <v>2026</v>
      </c>
      <c r="C2599" s="94" t="inlineStr">
        <is>
          <t>2026-Q1</t>
        </is>
      </c>
      <c r="D2599" s="186" t="n">
        <v>70096.4069227257</v>
      </c>
      <c r="E2599" s="188" t="n">
        <v>1400898153463.93</v>
      </c>
      <c r="F2599" s="188" t="n">
        <v>56115089203.1775</v>
      </c>
    </row>
    <row r="2600" ht="15" customHeight="1" s="95">
      <c r="A2600" s="143" t="n">
        <v>46064</v>
      </c>
      <c r="B2600" s="94" t="n">
        <v>2026</v>
      </c>
      <c r="C2600" s="94" t="inlineStr">
        <is>
          <t>2026-Q1</t>
        </is>
      </c>
      <c r="D2600" s="186" t="n">
        <v>68779.9098126913</v>
      </c>
      <c r="E2600" s="188" t="n">
        <v>1374149240710.29</v>
      </c>
      <c r="F2600" s="188" t="n">
        <v>43014177103.9029</v>
      </c>
    </row>
    <row r="2601" ht="15" customHeight="1" s="95">
      <c r="A2601" s="143" t="n">
        <v>46065</v>
      </c>
      <c r="B2601" s="94" t="n">
        <v>2026</v>
      </c>
      <c r="C2601" s="94" t="inlineStr">
        <is>
          <t>2026-Q1</t>
        </is>
      </c>
      <c r="D2601" s="186" t="n">
        <v>66937.58141157959</v>
      </c>
      <c r="E2601" s="188" t="n">
        <v>1337566230010.18</v>
      </c>
      <c r="F2601" s="188" t="n">
        <v>54917156057.4172</v>
      </c>
    </row>
    <row r="2602" ht="15" customHeight="1" s="95">
      <c r="A2602" s="143" t="n">
        <v>46066</v>
      </c>
      <c r="B2602" s="94" t="n">
        <v>2026</v>
      </c>
      <c r="C2602" s="94" t="inlineStr">
        <is>
          <t>2026-Q1</t>
        </is>
      </c>
      <c r="D2602" s="186" t="n">
        <v>66184.5776547045</v>
      </c>
      <c r="E2602" s="188" t="n">
        <v>1322855090692.98</v>
      </c>
      <c r="F2602" s="188" t="n">
        <v>47600564765.9819</v>
      </c>
    </row>
    <row r="2603" ht="15" customHeight="1" s="95">
      <c r="A2603" s="143" t="n">
        <v>46067</v>
      </c>
      <c r="B2603" s="94" t="n">
        <v>2026</v>
      </c>
      <c r="C2603" s="94" t="inlineStr">
        <is>
          <t>2026-Q1</t>
        </is>
      </c>
      <c r="D2603" s="186" t="n">
        <v>68838.8749051039</v>
      </c>
      <c r="E2603" s="188" t="n">
        <v>1376029371467.46</v>
      </c>
      <c r="F2603" s="188" t="n">
        <v>43307347077.1653</v>
      </c>
    </row>
    <row r="2604" ht="15" customHeight="1" s="95">
      <c r="A2604" s="143" t="n">
        <v>46068</v>
      </c>
      <c r="B2604" s="94" t="n">
        <v>2026</v>
      </c>
      <c r="C2604" s="94" t="inlineStr">
        <is>
          <t>2026-Q1</t>
        </is>
      </c>
      <c r="D2604" s="186" t="n">
        <v>69765.59638824299</v>
      </c>
      <c r="E2604" s="188" t="n">
        <v>1395185595832.68</v>
      </c>
      <c r="F2604" s="188" t="n">
        <v>38886730356.7722</v>
      </c>
    </row>
    <row r="2605" ht="15" customHeight="1" s="95">
      <c r="A2605" s="143" t="n">
        <v>46069</v>
      </c>
      <c r="B2605" s="94" t="n">
        <v>2026</v>
      </c>
      <c r="C2605" s="94" t="inlineStr">
        <is>
          <t>2026-Q1</t>
        </is>
      </c>
      <c r="D2605" s="186" t="n">
        <v>68716.583374864</v>
      </c>
      <c r="E2605" s="188" t="n">
        <v>1373546624939.82</v>
      </c>
      <c r="F2605" s="188" t="n">
        <v>44139541277.4767</v>
      </c>
    </row>
    <row r="2606" ht="15" customHeight="1" s="95">
      <c r="A2606" s="143" t="n">
        <v>46070</v>
      </c>
      <c r="B2606" s="94" t="n">
        <v>2026</v>
      </c>
      <c r="C2606" s="94" t="inlineStr">
        <is>
          <t>2026-Q1</t>
        </is>
      </c>
      <c r="D2606" s="186" t="n">
        <v>68907.7835360618</v>
      </c>
      <c r="E2606" s="188" t="n">
        <v>1377439978226.68</v>
      </c>
      <c r="F2606" s="188" t="n">
        <v>36789211960.5509</v>
      </c>
    </row>
    <row r="2607" ht="15" customHeight="1" s="95">
      <c r="A2607" s="143" t="n">
        <v>46071</v>
      </c>
      <c r="B2607" s="94" t="n">
        <v>2026</v>
      </c>
      <c r="C2607" s="94" t="inlineStr">
        <is>
          <t>2026-Q1</t>
        </is>
      </c>
      <c r="D2607" s="186" t="n">
        <v>67489.4554026796</v>
      </c>
      <c r="E2607" s="188" t="n">
        <v>1349284955301.97</v>
      </c>
      <c r="F2607" s="188" t="n">
        <v>38338996657.3821</v>
      </c>
    </row>
    <row r="2608" ht="15" customHeight="1" s="95">
      <c r="A2608" s="143" t="n">
        <v>46072</v>
      </c>
      <c r="B2608" s="94" t="n">
        <v>2026</v>
      </c>
      <c r="C2608" s="94" t="inlineStr">
        <is>
          <t>2026-Q1</t>
        </is>
      </c>
      <c r="D2608" s="186" t="n">
        <v>66456.35376206769</v>
      </c>
      <c r="E2608" s="188" t="n">
        <v>1327723958117.11</v>
      </c>
      <c r="F2608" s="188" t="n">
        <v>36348385076.4419</v>
      </c>
    </row>
    <row r="2609" ht="15" customHeight="1" s="95">
      <c r="A2609" s="143" t="n">
        <v>46073</v>
      </c>
      <c r="B2609" s="94" t="n">
        <v>2026</v>
      </c>
      <c r="C2609" s="94" t="inlineStr">
        <is>
          <t>2026-Q1</t>
        </is>
      </c>
      <c r="D2609" s="186" t="n">
        <v>66918.68417467619</v>
      </c>
      <c r="E2609" s="188" t="n">
        <v>1338094580095.82</v>
      </c>
      <c r="F2609" s="188" t="n">
        <v>34180839195.0736</v>
      </c>
    </row>
    <row r="2610" ht="15" customHeight="1" s="95">
      <c r="A2610" s="143" t="n">
        <v>46074</v>
      </c>
      <c r="B2610" s="94" t="n">
        <v>2026</v>
      </c>
      <c r="C2610" s="94" t="inlineStr">
        <is>
          <t>2026-Q1</t>
        </is>
      </c>
      <c r="D2610" s="186" t="n">
        <v>67970.2940313318</v>
      </c>
      <c r="E2610" s="188" t="n">
        <v>1358591334156.97</v>
      </c>
      <c r="F2610" s="188" t="n">
        <v>53528257484.9043</v>
      </c>
    </row>
    <row r="2611" ht="15" customHeight="1" s="95">
      <c r="A2611" s="143" t="n">
        <v>46075</v>
      </c>
      <c r="B2611" s="94" t="n">
        <v>2026</v>
      </c>
      <c r="C2611" s="94" t="inlineStr">
        <is>
          <t>2026-Q1</t>
        </is>
      </c>
      <c r="D2611" s="186" t="n">
        <v>67977.9090419904</v>
      </c>
      <c r="E2611" s="188" t="n">
        <v>1359065859647.37</v>
      </c>
      <c r="F2611" s="188" t="n">
        <v>20679811587.418</v>
      </c>
    </row>
    <row r="2612" ht="15" customHeight="1" s="95">
      <c r="A2612" s="143" t="n">
        <v>46076</v>
      </c>
      <c r="B2612" s="94" t="n">
        <v>2026</v>
      </c>
      <c r="C2612" s="94" t="inlineStr">
        <is>
          <t>2026-Q1</t>
        </is>
      </c>
      <c r="D2612" s="186" t="n">
        <v>67585.11718938161</v>
      </c>
      <c r="E2612" s="188" t="n">
        <v>1350654423261.94</v>
      </c>
      <c r="F2612" s="188" t="n">
        <v>20354767532.0653</v>
      </c>
    </row>
    <row r="2613" ht="15" customHeight="1" s="95">
      <c r="A2613" s="143" t="n">
        <v>46077</v>
      </c>
      <c r="B2613" s="94" t="n">
        <v>2026</v>
      </c>
      <c r="C2613" s="94" t="inlineStr">
        <is>
          <t>2026-Q1</t>
        </is>
      </c>
      <c r="D2613" s="186" t="n">
        <v>64577.5532006744</v>
      </c>
      <c r="E2613" s="188" t="n">
        <v>1291178509392.75</v>
      </c>
      <c r="F2613" s="188" t="n">
        <v>56724400502.9159</v>
      </c>
    </row>
    <row r="2614" ht="15" customHeight="1" s="95">
      <c r="A2614" s="143" t="n">
        <v>46078</v>
      </c>
      <c r="B2614" s="94" t="n">
        <v>2026</v>
      </c>
      <c r="C2614" s="94" t="inlineStr">
        <is>
          <t>2026-Q1</t>
        </is>
      </c>
      <c r="D2614" s="186" t="n">
        <v>64074.1109852822</v>
      </c>
      <c r="E2614" s="188" t="n">
        <v>1281148417170.28</v>
      </c>
      <c r="F2614" s="188" t="n">
        <v>44864477921.1624</v>
      </c>
    </row>
    <row r="2615" ht="15" customHeight="1" s="95">
      <c r="A2615" s="143" t="n">
        <v>46079</v>
      </c>
      <c r="B2615" s="94" t="n">
        <v>2026</v>
      </c>
      <c r="C2615" s="94" t="inlineStr">
        <is>
          <t>2026-Q1</t>
        </is>
      </c>
      <c r="D2615" s="186" t="n">
        <v>67947.39185585191</v>
      </c>
      <c r="E2615" s="188" t="n">
        <v>1358175414542.92</v>
      </c>
      <c r="F2615" s="188" t="n">
        <v>54747624390.7818</v>
      </c>
    </row>
    <row r="2616" ht="15" customHeight="1" s="95">
      <c r="A2616" s="143" t="n">
        <v>46080</v>
      </c>
      <c r="B2616" s="94" t="n">
        <v>2026</v>
      </c>
      <c r="C2616" s="94" t="inlineStr">
        <is>
          <t>2026-Q1</t>
        </is>
      </c>
      <c r="D2616" s="186" t="n">
        <v>67469.0604032705</v>
      </c>
      <c r="E2616" s="188" t="n">
        <v>1348944333913.38</v>
      </c>
      <c r="F2616" s="188" t="n">
        <v>45543276394.8246</v>
      </c>
    </row>
    <row r="2617" ht="15" customHeight="1" s="95">
      <c r="A2617" s="143" t="n">
        <v>46081</v>
      </c>
      <c r="B2617" s="94" t="n">
        <v>2026</v>
      </c>
      <c r="C2617" s="94" t="inlineStr">
        <is>
          <t>2026-Q1</t>
        </is>
      </c>
      <c r="D2617" s="186" t="n">
        <v>65883.9909623532</v>
      </c>
      <c r="E2617" s="188" t="n">
        <v>1317715385672.92</v>
      </c>
      <c r="F2617" s="188" t="n">
        <v>43031961580.2117</v>
      </c>
    </row>
    <row r="2618" ht="15" customHeight="1" s="95">
      <c r="A2618" s="143" t="n">
        <v>46082</v>
      </c>
      <c r="B2618" s="94" t="n">
        <v>2026</v>
      </c>
      <c r="C2618" s="94" t="inlineStr">
        <is>
          <t>2026-Q1</t>
        </is>
      </c>
      <c r="D2618" s="186" t="n">
        <v>67008.4543574617</v>
      </c>
      <c r="E2618" s="188" t="n">
        <v>1340289147460.58</v>
      </c>
      <c r="F2618" s="188" t="n">
        <v>46319353202.3381</v>
      </c>
    </row>
    <row r="2619" ht="15" customHeight="1" s="95">
      <c r="A2619" s="143" t="n">
        <v>46083</v>
      </c>
      <c r="B2619" s="94" t="n">
        <v>2026</v>
      </c>
      <c r="C2619" s="94" t="inlineStr">
        <is>
          <t>2026-Q1</t>
        </is>
      </c>
      <c r="D2619" s="186" t="n">
        <v>65713.49898911209</v>
      </c>
      <c r="E2619" s="188" t="n">
        <v>1314048555375.68</v>
      </c>
      <c r="F2619" s="188" t="n">
        <v>43467491553.819</v>
      </c>
    </row>
    <row r="2620" ht="15" customHeight="1" s="95">
      <c r="A2620" s="143" t="n">
        <v>46084</v>
      </c>
      <c r="B2620" s="94" t="n">
        <v>2026</v>
      </c>
      <c r="C2620" s="94" t="inlineStr">
        <is>
          <t>2026-Q1</t>
        </is>
      </c>
      <c r="D2620" s="186" t="n">
        <v>68864.0369191853</v>
      </c>
      <c r="E2620" s="188" t="n">
        <v>1377737947309.9</v>
      </c>
      <c r="F2620" s="188" t="n">
        <v>60995565405.3643</v>
      </c>
    </row>
    <row r="2621" ht="15" customHeight="1" s="95">
      <c r="A2621" s="143" t="n">
        <v>46085</v>
      </c>
      <c r="B2621" s="94" t="n">
        <v>2026</v>
      </c>
      <c r="C2621" s="94" t="inlineStr">
        <is>
          <t>2026-Q1</t>
        </is>
      </c>
      <c r="D2621" s="186" t="n">
        <v>68321.6178484252</v>
      </c>
      <c r="E2621" s="188" t="n">
        <v>1367228918356.83</v>
      </c>
      <c r="F2621" s="188" t="n">
        <v>52704039830.2049</v>
      </c>
    </row>
    <row r="2622" ht="15" customHeight="1" s="95">
      <c r="A2622" s="143" t="n">
        <v>46086</v>
      </c>
      <c r="B2622" s="94" t="n">
        <v>2026</v>
      </c>
      <c r="C2622" s="94" t="inlineStr">
        <is>
          <t>2026-Q1</t>
        </is>
      </c>
      <c r="D2622" s="186" t="n">
        <v>72669.77016522161</v>
      </c>
      <c r="E2622" s="188" t="n">
        <v>1453089991035.75</v>
      </c>
      <c r="F2622" s="188" t="n">
        <v>81081561357.6971</v>
      </c>
    </row>
    <row r="2623" ht="15" customHeight="1" s="95">
      <c r="A2623" s="143" t="n">
        <v>46087</v>
      </c>
      <c r="B2623" s="94" t="n">
        <v>2026</v>
      </c>
      <c r="C2623" s="94" t="inlineStr">
        <is>
          <t>2026-Q1</t>
        </is>
      </c>
      <c r="D2623" s="186" t="n">
        <v>70874.9868714015</v>
      </c>
      <c r="E2623" s="188" t="n">
        <v>1417652016603.27</v>
      </c>
      <c r="F2623" s="188" t="n">
        <v>55313274475.7252</v>
      </c>
    </row>
    <row r="2624" ht="15" customHeight="1" s="95">
      <c r="A2624" s="143" t="n">
        <v>46088</v>
      </c>
      <c r="B2624" s="94" t="n">
        <v>2026</v>
      </c>
      <c r="C2624" s="94" t="inlineStr">
        <is>
          <t>2026-Q1</t>
        </is>
      </c>
      <c r="D2624" s="186" t="n">
        <v>68148.28339966539</v>
      </c>
      <c r="E2624" s="188" t="n">
        <v>1364073902597.76</v>
      </c>
      <c r="F2624" s="188" t="n">
        <v>46427994894.4799</v>
      </c>
    </row>
    <row r="2625" ht="15" customHeight="1" s="95">
      <c r="A2625" s="143" t="n">
        <v>46089</v>
      </c>
      <c r="B2625" s="94" t="n">
        <v>2026</v>
      </c>
      <c r="C2625" s="94" t="inlineStr">
        <is>
          <t>2026-Q1</t>
        </is>
      </c>
      <c r="D2625" s="186" t="n">
        <v>67271.1907777184</v>
      </c>
      <c r="E2625" s="188" t="n">
        <v>1345067153653.06</v>
      </c>
      <c r="F2625" s="188" t="n">
        <v>24588849466.2189</v>
      </c>
    </row>
    <row r="2626" ht="15" customHeight="1" s="95">
      <c r="A2626" s="143" t="n">
        <v>46090</v>
      </c>
      <c r="B2626" s="94" t="n">
        <v>2026</v>
      </c>
      <c r="C2626" s="94" t="inlineStr">
        <is>
          <t>2026-Q1</t>
        </is>
      </c>
      <c r="D2626" s="186" t="n">
        <v>66036.15782362669</v>
      </c>
      <c r="E2626" s="188" t="n">
        <v>1321622467264.54</v>
      </c>
      <c r="F2626" s="188" t="n">
        <v>35845854760.9539</v>
      </c>
    </row>
    <row r="2627" ht="15" customHeight="1" s="95">
      <c r="A2627" s="143" t="n">
        <v>46091</v>
      </c>
      <c r="B2627" s="94" t="n">
        <v>2026</v>
      </c>
      <c r="C2627" s="94" t="inlineStr">
        <is>
          <t>2026-Q1</t>
        </is>
      </c>
      <c r="D2627" s="186" t="n">
        <v>68459.31537095339</v>
      </c>
      <c r="E2627" s="188" t="n">
        <v>1369955697970.07</v>
      </c>
      <c r="F2627" s="188" t="n">
        <v>52419546997.0118</v>
      </c>
    </row>
    <row r="2628" ht="15" customHeight="1" s="95">
      <c r="A2628" s="143" t="n">
        <v>46092</v>
      </c>
      <c r="B2628" s="94" t="n">
        <v>2026</v>
      </c>
      <c r="C2628" s="94" t="inlineStr">
        <is>
          <t>2026-Q1</t>
        </is>
      </c>
      <c r="D2628" s="186" t="n">
        <v>69883.0088757988</v>
      </c>
      <c r="E2628" s="188" t="n">
        <v>1397516391202.65</v>
      </c>
      <c r="F2628" s="188" t="n">
        <v>57031319359.5185</v>
      </c>
    </row>
    <row r="2629" ht="15" customHeight="1" s="95">
      <c r="A2629" s="143" t="n">
        <v>46093</v>
      </c>
      <c r="B2629" s="94" t="n">
        <v>2026</v>
      </c>
      <c r="C2629" s="94" t="inlineStr">
        <is>
          <t>2026-Q1</t>
        </is>
      </c>
      <c r="D2629" s="186" t="n">
        <v>70226.81879069201</v>
      </c>
      <c r="E2629" s="188" t="n">
        <v>1405229147518.97</v>
      </c>
      <c r="F2629" s="188" t="n">
        <v>48188681300.7388</v>
      </c>
    </row>
    <row r="2630" ht="15" customHeight="1" s="95">
      <c r="A2630" s="143" t="n">
        <v>46094</v>
      </c>
      <c r="B2630" s="94" t="n">
        <v>2026</v>
      </c>
      <c r="C2630" s="94" t="inlineStr">
        <is>
          <t>2026-Q1</t>
        </is>
      </c>
      <c r="D2630" s="186" t="n">
        <v>70544.42535461931</v>
      </c>
      <c r="E2630" s="188" t="n">
        <v>1411413242207.76</v>
      </c>
      <c r="F2630" s="188" t="n">
        <v>43093376170.4917</v>
      </c>
    </row>
    <row r="2631" ht="15" customHeight="1" s="95">
      <c r="A2631" s="143" t="n">
        <v>46095</v>
      </c>
      <c r="B2631" s="94" t="n">
        <v>2026</v>
      </c>
      <c r="C2631" s="94" t="inlineStr">
        <is>
          <t>2026-Q1</t>
        </is>
      </c>
      <c r="D2631" s="186" t="n">
        <v>70965.2822860046</v>
      </c>
      <c r="E2631" s="188" t="n">
        <v>1419133420991.55</v>
      </c>
      <c r="F2631" s="188" t="n">
        <v>62328257621.5837</v>
      </c>
    </row>
    <row r="2632" ht="15" customHeight="1" s="95">
      <c r="A2632" s="143" t="n">
        <v>46096</v>
      </c>
      <c r="B2632" s="94" t="n">
        <v>2026</v>
      </c>
      <c r="C2632" s="94" t="inlineStr">
        <is>
          <t>2026-Q1</t>
        </is>
      </c>
      <c r="D2632" s="186" t="n">
        <v>71217.1010283798</v>
      </c>
      <c r="E2632" s="188" t="n">
        <v>1424666372555.85</v>
      </c>
      <c r="F2632" s="188" t="n">
        <v>23763781398.0259</v>
      </c>
    </row>
    <row r="2633" ht="15" customHeight="1" s="95">
      <c r="A2633" s="143" t="n">
        <v>46097</v>
      </c>
      <c r="B2633" s="94" t="n">
        <v>2026</v>
      </c>
      <c r="C2633" s="94" t="inlineStr">
        <is>
          <t>2026-Q1</t>
        </is>
      </c>
      <c r="D2633" s="186" t="n">
        <v>72681.9132538886</v>
      </c>
      <c r="E2633" s="188" t="n">
        <v>1453818980888.1</v>
      </c>
      <c r="F2633" s="188" t="n">
        <v>29137209887.5333</v>
      </c>
    </row>
    <row r="2634" ht="15" customHeight="1" s="95">
      <c r="A2634" s="143" t="n">
        <v>46098</v>
      </c>
      <c r="B2634" s="94" t="n">
        <v>2026</v>
      </c>
      <c r="C2634" s="94" t="inlineStr">
        <is>
          <t>2026-Q1</t>
        </is>
      </c>
      <c r="D2634" s="186" t="n">
        <v>74858.1487010034</v>
      </c>
      <c r="E2634" s="188" t="n">
        <v>1496606935787.31</v>
      </c>
      <c r="F2634" s="188" t="n">
        <v>56424669615.7877</v>
      </c>
    </row>
    <row r="2635" ht="15" customHeight="1" s="95">
      <c r="A2635" s="143" t="n">
        <v>46099</v>
      </c>
      <c r="B2635" s="94" t="n">
        <v>2026</v>
      </c>
      <c r="C2635" s="94" t="inlineStr">
        <is>
          <t>2026-Q1</t>
        </is>
      </c>
      <c r="D2635" s="186" t="n">
        <v>73926.2789915241</v>
      </c>
      <c r="E2635" s="188" t="n">
        <v>1479034380091.92</v>
      </c>
      <c r="F2635" s="188" t="n">
        <v>47796151709.5938</v>
      </c>
    </row>
    <row r="2636" ht="15" customHeight="1" s="95">
      <c r="A2636" s="143" t="n">
        <v>46100</v>
      </c>
      <c r="B2636" s="94" t="n">
        <v>2026</v>
      </c>
      <c r="C2636" s="94" t="inlineStr">
        <is>
          <t>2026-Q1</t>
        </is>
      </c>
      <c r="D2636" s="186" t="n">
        <v>71255.8635026564</v>
      </c>
      <c r="E2636" s="188" t="n">
        <v>1425248408811.23</v>
      </c>
      <c r="F2636" s="188" t="n">
        <v>46235388353.2678</v>
      </c>
    </row>
    <row r="2637" ht="15" customHeight="1" s="95">
      <c r="A2637" s="143" t="n">
        <v>46101</v>
      </c>
      <c r="B2637" s="94" t="n">
        <v>2026</v>
      </c>
      <c r="C2637" s="94" t="inlineStr">
        <is>
          <t>2026-Q1</t>
        </is>
      </c>
      <c r="D2637" s="186" t="n">
        <v>69871.4514796119</v>
      </c>
      <c r="E2637" s="188" t="n">
        <v>1397132369157.64</v>
      </c>
      <c r="F2637" s="188" t="n">
        <v>46069506172.9934</v>
      </c>
    </row>
    <row r="2638" ht="15" customHeight="1" s="95">
      <c r="A2638" s="143" t="n">
        <v>46102</v>
      </c>
      <c r="B2638" s="94" t="n">
        <v>2026</v>
      </c>
      <c r="C2638" s="94" t="inlineStr">
        <is>
          <t>2026-Q1</t>
        </is>
      </c>
      <c r="D2638" s="186" t="n">
        <v>70552.6253000937</v>
      </c>
      <c r="E2638" s="188" t="n">
        <v>1411553294477.22</v>
      </c>
      <c r="F2638" s="188" t="n">
        <v>39288514955.5623</v>
      </c>
    </row>
    <row r="2639" ht="15" customHeight="1" s="95">
      <c r="A2639" s="143" t="n">
        <v>46103</v>
      </c>
      <c r="B2639" s="94" t="n">
        <v>2026</v>
      </c>
      <c r="C2639" s="94" t="inlineStr">
        <is>
          <t>2026-Q1</t>
        </is>
      </c>
      <c r="D2639" s="186" t="n">
        <v>68733.5477945874</v>
      </c>
      <c r="E2639" s="188" t="n">
        <v>1381324607061.98</v>
      </c>
      <c r="F2639" s="188" t="n">
        <v>22788052215.9982</v>
      </c>
    </row>
    <row r="2640" ht="15" customHeight="1" s="95">
      <c r="A2640" s="143" t="n">
        <v>46104</v>
      </c>
      <c r="B2640" s="94" t="n">
        <v>2026</v>
      </c>
      <c r="C2640" s="94" t="inlineStr">
        <is>
          <t>2026-Q1</t>
        </is>
      </c>
      <c r="D2640" s="186" t="n">
        <v>67848.8760582183</v>
      </c>
      <c r="E2640" s="188" t="n">
        <v>1357220326650.5</v>
      </c>
      <c r="F2640" s="188" t="n">
        <v>30380203636.6111</v>
      </c>
    </row>
    <row r="2641" ht="15" customHeight="1" s="95">
      <c r="A2641" s="143" t="n">
        <v>46105</v>
      </c>
      <c r="B2641" s="94" t="n">
        <v>2026</v>
      </c>
      <c r="C2641" s="94" t="inlineStr">
        <is>
          <t>2026-Q1</t>
        </is>
      </c>
      <c r="D2641" s="186" t="n">
        <v>70892.8282399437</v>
      </c>
      <c r="E2641" s="188" t="n">
        <v>1417921177640.15</v>
      </c>
      <c r="F2641" s="188" t="n">
        <v>52502731112.0362</v>
      </c>
    </row>
    <row r="2642" ht="15" customHeight="1" s="95">
      <c r="A2642" s="143" t="n">
        <v>46106</v>
      </c>
      <c r="B2642" s="94" t="n">
        <v>2026</v>
      </c>
      <c r="C2642" s="94" t="inlineStr">
        <is>
          <t>2026-Q1</t>
        </is>
      </c>
      <c r="D2642" s="186" t="n">
        <v>70524.51175942821</v>
      </c>
      <c r="E2642" s="188" t="n">
        <v>1410852097506.25</v>
      </c>
      <c r="F2642" s="188" t="n">
        <v>40395077210.9571</v>
      </c>
    </row>
    <row r="2643" ht="15" customHeight="1" s="95">
      <c r="A2643" s="143" t="n">
        <v>46107</v>
      </c>
      <c r="B2643" s="94" t="n">
        <v>2026</v>
      </c>
      <c r="C2643" s="94" t="inlineStr">
        <is>
          <t>2026-Q1</t>
        </is>
      </c>
      <c r="D2643" s="186" t="n">
        <v>71309.2640385627</v>
      </c>
      <c r="E2643" s="188" t="n">
        <v>1426722276575.15</v>
      </c>
      <c r="F2643" s="188" t="n">
        <v>36566429238.8004</v>
      </c>
    </row>
    <row r="2644" ht="15" customHeight="1" s="95">
      <c r="A2644" s="143" t="n">
        <v>46108</v>
      </c>
      <c r="B2644" s="94" t="n">
        <v>2026</v>
      </c>
      <c r="C2644" s="94" t="inlineStr">
        <is>
          <t>2026-Q1</t>
        </is>
      </c>
      <c r="D2644" s="186" t="n">
        <v>68791.11093800361</v>
      </c>
      <c r="E2644" s="188" t="n">
        <v>1375963897395.84</v>
      </c>
      <c r="F2644" s="188" t="n">
        <v>52234708975.604</v>
      </c>
    </row>
    <row r="2645" ht="15" customHeight="1" s="95">
      <c r="A2645" s="143" t="n">
        <v>46109</v>
      </c>
      <c r="B2645" s="94" t="n">
        <v>2026</v>
      </c>
      <c r="C2645" s="94" t="inlineStr">
        <is>
          <t>2026-Q1</t>
        </is>
      </c>
      <c r="D2645" s="186" t="n">
        <v>66321.01624276199</v>
      </c>
      <c r="E2645" s="188" t="n">
        <v>1326110397917.71</v>
      </c>
      <c r="F2645" s="188" t="n">
        <v>48874426380.1285</v>
      </c>
    </row>
    <row r="2646" ht="15" customHeight="1" s="95">
      <c r="A2646" s="143" t="n">
        <v>46110</v>
      </c>
      <c r="B2646" s="94" t="n">
        <v>2026</v>
      </c>
      <c r="C2646" s="94" t="inlineStr">
        <is>
          <t>2026-Q1</t>
        </is>
      </c>
      <c r="D2646" s="186" t="n">
        <v>66321.0653999475</v>
      </c>
      <c r="E2646" s="188" t="n">
        <v>1326978316239.48</v>
      </c>
      <c r="F2646" s="188" t="n">
        <v>23637115348.5244</v>
      </c>
    </row>
    <row r="2647" ht="15" customHeight="1" s="95">
      <c r="A2647" s="143" t="n">
        <v>46111</v>
      </c>
      <c r="B2647" s="94" t="n">
        <v>2026</v>
      </c>
      <c r="C2647" s="94" t="inlineStr">
        <is>
          <t>2026-Q1</t>
        </is>
      </c>
      <c r="D2647" s="186" t="n">
        <v>65970.4289951336</v>
      </c>
      <c r="E2647" s="188" t="n">
        <v>1320068534523.28</v>
      </c>
      <c r="F2647" s="188" t="n">
        <v>25095464001.8946</v>
      </c>
    </row>
    <row r="2648" ht="15" customHeight="1" s="95">
      <c r="A2648" s="143" t="n">
        <v>46112</v>
      </c>
      <c r="B2648" s="94" t="n">
        <v>2026</v>
      </c>
      <c r="C2648" s="94" t="inlineStr">
        <is>
          <t>2026-Q1</t>
        </is>
      </c>
      <c r="D2648" s="186" t="n">
        <v>66699.2743689359</v>
      </c>
      <c r="E2648" s="188" t="n">
        <v>1334537611576.05</v>
      </c>
      <c r="F2648" s="188" t="n">
        <v>37098483334.6191</v>
      </c>
    </row>
    <row r="2649" ht="15" customHeight="1" s="95">
      <c r="A2649" s="143" t="n">
        <v>46113</v>
      </c>
      <c r="B2649" s="94" t="n">
        <v>2026</v>
      </c>
      <c r="C2649" s="94" t="inlineStr">
        <is>
          <t>2026-Q2</t>
        </is>
      </c>
      <c r="D2649" s="186" t="n">
        <v>68231.8304799325</v>
      </c>
      <c r="E2649" s="188" t="n">
        <v>1364706648348.35</v>
      </c>
      <c r="F2649" s="188" t="n">
        <v>56210727882.1615</v>
      </c>
    </row>
    <row r="2650" ht="15" customHeight="1" s="95">
      <c r="A2650" s="143" t="n">
        <v>46114</v>
      </c>
      <c r="B2650" s="94" t="n">
        <v>2026</v>
      </c>
      <c r="C2650" s="94" t="inlineStr">
        <is>
          <t>2026-Q2</t>
        </is>
      </c>
      <c r="D2650" s="186" t="n">
        <v>68089.0553821667</v>
      </c>
      <c r="E2650" s="188" t="n">
        <v>1362124061745.44</v>
      </c>
      <c r="F2650" s="188" t="n">
        <v>46822039842.985</v>
      </c>
    </row>
    <row r="2651" ht="15" customHeight="1" s="95">
      <c r="A2651" s="143" t="n">
        <v>46115</v>
      </c>
      <c r="B2651" s="94" t="n">
        <v>2026</v>
      </c>
      <c r="C2651" s="94" t="inlineStr">
        <is>
          <t>2026-Q2</t>
        </is>
      </c>
      <c r="D2651" s="186" t="n">
        <v>66891.6645686824</v>
      </c>
      <c r="E2651" s="188" t="n">
        <v>1338643103490.5</v>
      </c>
      <c r="F2651" s="188" t="n">
        <v>47198627198.5622</v>
      </c>
    </row>
    <row r="2652" ht="15" customHeight="1" s="95">
      <c r="A2652" s="143" t="n">
        <v>46116</v>
      </c>
      <c r="B2652" s="94" t="n">
        <v>2026</v>
      </c>
      <c r="C2652" s="94" t="inlineStr">
        <is>
          <t>2026-Q2</t>
        </is>
      </c>
      <c r="D2652" s="186" t="n">
        <v>66939.6912171531</v>
      </c>
      <c r="E2652" s="188" t="n">
        <v>1339404819037.87</v>
      </c>
      <c r="F2652" s="188" t="n">
        <v>26755680223.7606</v>
      </c>
    </row>
    <row r="2653" ht="15" customHeight="1" s="95">
      <c r="A2653" s="143" t="n">
        <v>46117</v>
      </c>
      <c r="B2653" s="94" t="n">
        <v>2026</v>
      </c>
      <c r="C2653" s="94" t="inlineStr">
        <is>
          <t>2026-Q2</t>
        </is>
      </c>
      <c r="D2653" s="186" t="n">
        <v>67304.24955635441</v>
      </c>
      <c r="E2653" s="188" t="n">
        <v>1346790078680.91</v>
      </c>
      <c r="F2653" s="188" t="n">
        <v>21516550336.8563</v>
      </c>
    </row>
    <row r="2654" ht="15" customHeight="1" s="95">
      <c r="A2654" s="143" t="n">
        <v>46118</v>
      </c>
      <c r="B2654" s="94" t="n">
        <v>2026</v>
      </c>
      <c r="C2654" s="94" t="inlineStr">
        <is>
          <t>2026-Q2</t>
        </is>
      </c>
      <c r="D2654" s="186" t="n">
        <v>68985.52642694541</v>
      </c>
      <c r="E2654" s="188" t="n">
        <v>1380583534920.16</v>
      </c>
      <c r="F2654" s="188" t="n">
        <v>26416194024.7661</v>
      </c>
    </row>
    <row r="2655" ht="15" customHeight="1" s="95">
      <c r="A2655" s="143" t="n">
        <v>46119</v>
      </c>
      <c r="B2655" s="94" t="n">
        <v>2026</v>
      </c>
      <c r="C2655" s="94" t="inlineStr">
        <is>
          <t>2026-Q2</t>
        </is>
      </c>
      <c r="D2655" s="186" t="n">
        <v>68864.2345275733</v>
      </c>
      <c r="E2655" s="188" t="n">
        <v>1378430433268.24</v>
      </c>
      <c r="F2655" s="188" t="n">
        <v>45398732027.772</v>
      </c>
    </row>
    <row r="2656" ht="15" customHeight="1" s="95">
      <c r="A2656" s="143" t="n">
        <v>46120</v>
      </c>
      <c r="B2656" s="94" t="n">
        <v>2026</v>
      </c>
      <c r="C2656" s="94" t="inlineStr">
        <is>
          <t>2026-Q2</t>
        </is>
      </c>
      <c r="D2656" s="186" t="n">
        <v>71975.6217104587</v>
      </c>
      <c r="E2656" s="188" t="n">
        <v>1439691204997.3</v>
      </c>
      <c r="F2656" s="188" t="n">
        <v>54821363017.7235</v>
      </c>
    </row>
    <row r="2657" ht="15" customHeight="1" s="95">
      <c r="A2657" s="143" t="n">
        <v>46121</v>
      </c>
      <c r="B2657" s="94" t="n">
        <v>2026</v>
      </c>
      <c r="C2657" s="94" t="inlineStr">
        <is>
          <t>2026-Q2</t>
        </is>
      </c>
      <c r="D2657" s="186" t="n">
        <v>71117.0771341181</v>
      </c>
      <c r="E2657" s="188" t="n">
        <v>1423286125223.94</v>
      </c>
      <c r="F2657" s="188" t="n">
        <v>42583999503.6708</v>
      </c>
    </row>
    <row r="2658" ht="15" customHeight="1" s="95">
      <c r="A2658" s="143" t="n">
        <v>46122</v>
      </c>
      <c r="B2658" s="94" t="n">
        <v>2026</v>
      </c>
      <c r="C2658" s="94" t="inlineStr">
        <is>
          <t>2026-Q2</t>
        </is>
      </c>
      <c r="D2658" s="186" t="n">
        <v>71770.7468500515</v>
      </c>
      <c r="E2658" s="188" t="n">
        <v>1436399827130.55</v>
      </c>
      <c r="F2658" s="188" t="n">
        <v>39293023566.9644</v>
      </c>
    </row>
    <row r="2659" ht="15" customHeight="1" s="95">
      <c r="A2659" s="143" t="n">
        <v>46123</v>
      </c>
      <c r="B2659" s="94" t="n">
        <v>2026</v>
      </c>
      <c r="C2659" s="94" t="inlineStr">
        <is>
          <t>2026-Q2</t>
        </is>
      </c>
      <c r="D2659" s="186" t="n">
        <v>72972.7082355704</v>
      </c>
      <c r="E2659" s="188" t="n">
        <v>1460609915845.46</v>
      </c>
      <c r="F2659" s="188" t="n">
        <v>38358391003.6679</v>
      </c>
    </row>
    <row r="2660" ht="15" customHeight="1" s="95">
      <c r="A2660" s="143" t="n">
        <v>46124</v>
      </c>
      <c r="B2660" s="94" t="n">
        <v>2026</v>
      </c>
      <c r="C2660" s="94" t="inlineStr">
        <is>
          <t>2026-Q2</t>
        </is>
      </c>
      <c r="D2660" s="186" t="n">
        <v>73053.8880848382</v>
      </c>
      <c r="E2660" s="188" t="n">
        <v>1462802384989.17</v>
      </c>
      <c r="F2660" s="188" t="n">
        <v>23868132454.7388</v>
      </c>
    </row>
    <row r="2661" ht="15" customHeight="1" s="95">
      <c r="A2661" s="143" t="n">
        <v>46125</v>
      </c>
      <c r="B2661" s="94" t="n">
        <v>2026</v>
      </c>
      <c r="C2661" s="94" t="inlineStr">
        <is>
          <t>2026-Q2</t>
        </is>
      </c>
      <c r="D2661" s="186" t="n">
        <v>70756.7510550002</v>
      </c>
      <c r="E2661" s="188" t="n">
        <v>1415861769817.88</v>
      </c>
      <c r="F2661" s="188" t="n">
        <v>30101377740.8736</v>
      </c>
    </row>
    <row r="2662" ht="15" customHeight="1" s="95">
      <c r="A2662" s="143" t="n">
        <v>46126</v>
      </c>
      <c r="B2662" s="94" t="n">
        <v>2026</v>
      </c>
      <c r="C2662" s="94" t="inlineStr">
        <is>
          <t>2026-Q2</t>
        </is>
      </c>
      <c r="D2662" s="186" t="n">
        <v>74514.63006655</v>
      </c>
      <c r="E2662" s="188" t="n">
        <v>1491650187280.67</v>
      </c>
      <c r="F2662" s="188" t="n">
        <v>53329034805.4737</v>
      </c>
    </row>
    <row r="2663" ht="15" customHeight="1" s="95">
      <c r="A2663" s="143" t="n">
        <v>46127</v>
      </c>
      <c r="B2663" s="94" t="n">
        <v>2026</v>
      </c>
      <c r="C2663" s="94" t="inlineStr">
        <is>
          <t>2026-Q2</t>
        </is>
      </c>
      <c r="D2663" s="186" t="n">
        <v>74181.10807228929</v>
      </c>
      <c r="E2663" s="188" t="n">
        <v>1484804385765.13</v>
      </c>
      <c r="F2663" s="188" t="n">
        <v>57684799834.5256</v>
      </c>
    </row>
    <row r="2664" ht="15" customHeight="1" s="95">
      <c r="A2664" s="143" t="n">
        <v>46128</v>
      </c>
      <c r="B2664" s="94" t="n">
        <v>2026</v>
      </c>
      <c r="C2664" s="94" t="inlineStr">
        <is>
          <t>2026-Q2</t>
        </is>
      </c>
      <c r="D2664" s="186" t="n">
        <v>74833.5063913241</v>
      </c>
      <c r="E2664" s="188" t="n">
        <v>1497468161198.85</v>
      </c>
      <c r="F2664" s="188" t="n">
        <v>33592871494.5551</v>
      </c>
    </row>
    <row r="2665" ht="15" customHeight="1" s="95">
      <c r="A2665" s="143" t="n">
        <v>46129</v>
      </c>
      <c r="B2665" s="94" t="n">
        <v>2026</v>
      </c>
      <c r="C2665" s="94" t="inlineStr">
        <is>
          <t>2026-Q2</t>
        </is>
      </c>
      <c r="D2665" s="186" t="n">
        <v>75149.1930221427</v>
      </c>
      <c r="E2665" s="188" t="n">
        <v>1503597305333.89</v>
      </c>
      <c r="F2665" s="188" t="n">
        <v>44500754086.9762</v>
      </c>
    </row>
    <row r="2666" ht="15" customHeight="1" s="95">
      <c r="A2666" s="143" t="n">
        <v>46130</v>
      </c>
      <c r="B2666" s="94" t="n">
        <v>2026</v>
      </c>
      <c r="C2666" s="94" t="inlineStr">
        <is>
          <t>2026-Q2</t>
        </is>
      </c>
      <c r="D2666" s="186" t="n">
        <v>77128.4433485815</v>
      </c>
      <c r="E2666" s="188" t="n">
        <v>1543927908120.29</v>
      </c>
      <c r="F2666" s="188" t="n">
        <v>64762179077.3521</v>
      </c>
    </row>
    <row r="2667" ht="15" customHeight="1" s="95">
      <c r="A2667" s="143" t="n">
        <v>46131</v>
      </c>
      <c r="B2667" s="94" t="n">
        <v>2026</v>
      </c>
      <c r="C2667" s="94" t="inlineStr">
        <is>
          <t>2026-Q2</t>
        </is>
      </c>
      <c r="D2667" s="186" t="n">
        <v>75728.4568176176</v>
      </c>
      <c r="E2667" s="188" t="n">
        <v>1515912560791.07</v>
      </c>
      <c r="F2667" s="188" t="n">
        <v>66292316931.1639</v>
      </c>
    </row>
    <row r="2668" ht="15" customHeight="1" s="95">
      <c r="A2668" s="143" t="n">
        <v>46132</v>
      </c>
      <c r="B2668" s="94" t="n">
        <v>2026</v>
      </c>
      <c r="C2668" s="94" t="inlineStr">
        <is>
          <t>2026-Q2</t>
        </is>
      </c>
      <c r="D2668" s="186" t="n">
        <v>73856.0550148763</v>
      </c>
      <c r="E2668" s="188" t="n">
        <v>1478753744436.92</v>
      </c>
      <c r="F2668" s="188" t="n">
        <v>62221359441.7264</v>
      </c>
    </row>
    <row r="2669" ht="15" customHeight="1" s="95">
      <c r="A2669" s="143" t="n">
        <v>46133</v>
      </c>
      <c r="B2669" s="94" t="n">
        <v>2026</v>
      </c>
      <c r="C2669" s="94" t="inlineStr">
        <is>
          <t>2026-Q2</t>
        </is>
      </c>
      <c r="D2669" s="186" t="n">
        <v>75874.5462935297</v>
      </c>
      <c r="E2669" s="188" t="n">
        <v>1518784350281.42</v>
      </c>
      <c r="F2669" s="188" t="n">
        <v>48152404105.5549</v>
      </c>
    </row>
    <row r="2670" ht="15" customHeight="1" s="95">
      <c r="A2670" s="143" t="n">
        <v>46134</v>
      </c>
      <c r="B2670" s="94" t="n">
        <v>2026</v>
      </c>
      <c r="C2670" s="94" t="inlineStr">
        <is>
          <t>2026-Q2</t>
        </is>
      </c>
      <c r="D2670" s="186" t="n">
        <v>76350.25202878821</v>
      </c>
      <c r="E2670" s="188" t="n">
        <v>1528459815743.43</v>
      </c>
      <c r="F2670" s="188" t="n">
        <v>41231756234.2761</v>
      </c>
    </row>
    <row r="2671" ht="15" customHeight="1" s="95">
      <c r="A2671" s="143" t="n">
        <v>46135</v>
      </c>
      <c r="B2671" s="94" t="n">
        <v>2026</v>
      </c>
      <c r="C2671" s="94" t="inlineStr">
        <is>
          <t>2026-Q2</t>
        </is>
      </c>
      <c r="D2671" s="186" t="n">
        <v>78194.78334884861</v>
      </c>
      <c r="E2671" s="188" t="n">
        <v>1566077005143.77</v>
      </c>
      <c r="F2671" s="188" t="n">
        <v>49815267208.0001</v>
      </c>
    </row>
    <row r="2672" ht="15" customHeight="1" s="95">
      <c r="A2672" s="143" t="n">
        <v>46136</v>
      </c>
      <c r="B2672" s="94" t="n">
        <v>2026</v>
      </c>
      <c r="C2672" s="94" t="inlineStr">
        <is>
          <t>2026-Q2</t>
        </is>
      </c>
      <c r="D2672" s="186" t="n">
        <v>78260.61998045089</v>
      </c>
      <c r="E2672" s="188" t="n">
        <v>1566737928291.19</v>
      </c>
      <c r="F2672" s="188" t="n">
        <v>41704798844.8277</v>
      </c>
    </row>
    <row r="2673" ht="15" customHeight="1" s="95">
      <c r="A2673" s="143" t="n">
        <v>46137</v>
      </c>
      <c r="B2673" s="94" t="n">
        <v>2026</v>
      </c>
      <c r="C2673" s="94" t="inlineStr">
        <is>
          <t>2026-Q2</t>
        </is>
      </c>
      <c r="D2673" s="186" t="n">
        <v>77444.79563692069</v>
      </c>
      <c r="E2673" s="188" t="n">
        <v>1550504073873.63</v>
      </c>
      <c r="F2673" s="188" t="n">
        <v>33584952477.9091</v>
      </c>
    </row>
    <row r="2674" ht="15" customHeight="1" s="95">
      <c r="A2674" s="143" t="n">
        <v>46138</v>
      </c>
      <c r="B2674" s="94" t="n">
        <v>2026</v>
      </c>
      <c r="C2674" s="94" t="inlineStr">
        <is>
          <t>2026-Q2</t>
        </is>
      </c>
      <c r="D2674" s="186" t="n">
        <v>77619.14219872659</v>
      </c>
      <c r="E2674" s="188" t="n">
        <v>1553988530840.65</v>
      </c>
      <c r="F2674" s="188" t="n">
        <v>17276677148.503</v>
      </c>
    </row>
    <row r="2675" ht="15" customHeight="1" s="95">
      <c r="A2675" s="143" t="n">
        <v>46139</v>
      </c>
      <c r="B2675" s="94" t="n">
        <v>2026</v>
      </c>
      <c r="C2675" s="94" t="inlineStr">
        <is>
          <t>2026-Q2</t>
        </is>
      </c>
      <c r="D2675" s="186" t="n">
        <v>78645.1256017085</v>
      </c>
      <c r="E2675" s="188" t="n">
        <v>1575064891879.29</v>
      </c>
      <c r="F2675" s="188" t="n">
        <v>22944408006.9236</v>
      </c>
    </row>
    <row r="2676" ht="15" customHeight="1" s="95">
      <c r="A2676" s="143" t="n">
        <v>46140</v>
      </c>
      <c r="B2676" s="94" t="n">
        <v>2026</v>
      </c>
      <c r="C2676" s="94" t="inlineStr">
        <is>
          <t>2026-Q2</t>
        </is>
      </c>
      <c r="D2676" s="186" t="n">
        <v>77361.299110388</v>
      </c>
      <c r="E2676" s="188" t="n">
        <v>1549702864531.72</v>
      </c>
      <c r="F2676" s="188" t="n">
        <v>39453767786.2529</v>
      </c>
    </row>
    <row r="2677" ht="15" customHeight="1" s="95">
      <c r="A2677" s="143" t="n">
        <v>46141</v>
      </c>
      <c r="B2677" s="94" t="n">
        <v>2026</v>
      </c>
      <c r="C2677" s="94" t="inlineStr">
        <is>
          <t>2026-Q2</t>
        </is>
      </c>
      <c r="D2677" s="186" t="n">
        <v>76345.2252100253</v>
      </c>
      <c r="E2677" s="188" t="n">
        <v>1528431321586.34</v>
      </c>
      <c r="F2677" s="188" t="n">
        <v>32683167166.9246</v>
      </c>
    </row>
    <row r="2678" ht="15" customHeight="1" s="95">
      <c r="A2678" s="143" t="n">
        <v>46142</v>
      </c>
      <c r="B2678" s="94" t="n">
        <v>2026</v>
      </c>
      <c r="C2678" s="94" t="inlineStr">
        <is>
          <t>2026-Q2</t>
        </is>
      </c>
      <c r="D2678" s="186" t="n">
        <v>75774.8855230121</v>
      </c>
      <c r="E2678" s="188" t="n">
        <v>1517194764796.42</v>
      </c>
      <c r="F2678" s="188" t="n">
        <v>42528290001.6707</v>
      </c>
    </row>
    <row r="2679" ht="15" customHeight="1" s="95">
      <c r="A2679" s="143" t="n">
        <v>46143</v>
      </c>
      <c r="B2679" s="94" t="n">
        <v>2026</v>
      </c>
      <c r="C2679" s="94" t="inlineStr">
        <is>
          <t>2026-Q2</t>
        </is>
      </c>
      <c r="D2679" s="186" t="n">
        <v>76286.5771095087</v>
      </c>
      <c r="E2679" s="188" t="n">
        <v>1528163519735.74</v>
      </c>
      <c r="F2679" s="188" t="n">
        <v>31717874196.5131</v>
      </c>
    </row>
    <row r="2680" ht="15" customHeight="1" s="95">
      <c r="A2680" s="143" t="n">
        <v>46144</v>
      </c>
      <c r="B2680" s="94" t="n">
        <v>2026</v>
      </c>
      <c r="C2680" s="94" t="inlineStr">
        <is>
          <t>2026-Q2</t>
        </is>
      </c>
      <c r="D2680" s="186" t="n">
        <v>78172.0742214792</v>
      </c>
      <c r="E2680" s="188" t="n">
        <v>1564746221568.42</v>
      </c>
      <c r="F2680" s="188" t="n">
        <v>39070393404.504</v>
      </c>
    </row>
    <row r="2681" ht="15" customHeight="1" s="95">
      <c r="A2681" s="143" t="n">
        <v>46145</v>
      </c>
      <c r="B2681" s="94" t="n">
        <v>2026</v>
      </c>
      <c r="C2681" s="94" t="inlineStr">
        <is>
          <t>2026-Q2</t>
        </is>
      </c>
      <c r="D2681" s="186" t="n">
        <v>78655.345553319</v>
      </c>
      <c r="E2681" s="188" t="n">
        <v>1574625317385.1</v>
      </c>
      <c r="F2681" s="188" t="n">
        <v>18618912381.9308</v>
      </c>
    </row>
    <row r="2682" ht="15" customHeight="1" s="95">
      <c r="A2682" s="143" t="n">
        <v>46146</v>
      </c>
      <c r="B2682" s="94" t="n">
        <v>2026</v>
      </c>
      <c r="C2682" s="94" t="inlineStr">
        <is>
          <t>2026-Q2</t>
        </is>
      </c>
      <c r="D2682" s="186" t="n">
        <v>78562.5505175486</v>
      </c>
      <c r="E2682" s="188" t="n">
        <v>1573067635502.93</v>
      </c>
      <c r="F2682" s="188" t="n">
        <v>21884574779.7554</v>
      </c>
    </row>
    <row r="2683" ht="15" customHeight="1" s="95">
      <c r="A2683" s="143" t="n">
        <v>46147</v>
      </c>
      <c r="B2683" s="94" t="n">
        <v>2026</v>
      </c>
      <c r="C2683" s="94" t="inlineStr">
        <is>
          <t>2026-Q2</t>
        </is>
      </c>
      <c r="D2683" s="186" t="n">
        <v>79823.8855595558</v>
      </c>
      <c r="E2683" s="188" t="n">
        <v>1598023587523.13</v>
      </c>
      <c r="F2683" s="188" t="n">
        <v>55780483402.1788</v>
      </c>
    </row>
    <row r="2684" ht="15" customHeight="1" s="95">
      <c r="A2684" s="143" t="n">
        <v>46148</v>
      </c>
      <c r="B2684" s="94" t="n">
        <v>2026</v>
      </c>
      <c r="C2684" s="94" t="inlineStr">
        <is>
          <t>2026-Q2</t>
        </is>
      </c>
      <c r="D2684" s="186" t="n">
        <v>80925.0936549508</v>
      </c>
      <c r="E2684" s="188" t="n">
        <v>1620550900862.8</v>
      </c>
      <c r="F2684" s="188" t="n">
        <v>41115413343.9415</v>
      </c>
    </row>
    <row r="2685" ht="15" customHeight="1" s="95">
      <c r="A2685" s="143" t="n">
        <v>46149</v>
      </c>
      <c r="B2685" s="94" t="n">
        <v>2026</v>
      </c>
      <c r="C2685" s="94" t="inlineStr">
        <is>
          <t>2026-Q2</t>
        </is>
      </c>
      <c r="D2685" s="186" t="n">
        <v>81424.9951565033</v>
      </c>
      <c r="E2685" s="188" t="n">
        <v>1630523861201.56</v>
      </c>
      <c r="F2685" s="188" t="n">
        <v>41133090710.8339</v>
      </c>
    </row>
    <row r="2686" ht="15" customHeight="1" s="95">
      <c r="A2686" s="143" t="n">
        <v>46150</v>
      </c>
      <c r="B2686" s="94" t="n">
        <v>2026</v>
      </c>
      <c r="C2686" s="94" t="inlineStr">
        <is>
          <t>2026-Q2</t>
        </is>
      </c>
      <c r="D2686" s="186" t="n">
        <v>80022.0412500642</v>
      </c>
      <c r="E2686" s="188" t="n">
        <v>1602537556660.9</v>
      </c>
      <c r="F2686" s="188" t="n">
        <v>38385751841.6719</v>
      </c>
    </row>
    <row r="2687" ht="15" customHeight="1" s="95">
      <c r="A2687" s="143" t="n">
        <v>46151</v>
      </c>
      <c r="B2687" s="94" t="n">
        <v>2026</v>
      </c>
      <c r="C2687" s="94" t="inlineStr">
        <is>
          <t>2026-Q2</t>
        </is>
      </c>
      <c r="D2687" s="186" t="n">
        <v>80189.0650356785</v>
      </c>
      <c r="E2687" s="188" t="n">
        <v>1605561829780.81</v>
      </c>
      <c r="F2687" s="188" t="n">
        <v>34583448281.1373</v>
      </c>
    </row>
    <row r="2688" ht="15" customHeight="1" s="95">
      <c r="A2688" s="143" t="n">
        <v>46152</v>
      </c>
      <c r="B2688" s="94" t="n">
        <v>2026</v>
      </c>
      <c r="C2688" s="94" t="inlineStr">
        <is>
          <t>2026-Q2</t>
        </is>
      </c>
      <c r="D2688" s="186" t="n">
        <v>80678.0339429646</v>
      </c>
      <c r="E2688" s="188" t="n">
        <v>1615753832504.22</v>
      </c>
      <c r="F2688" s="188" t="n">
        <v>18921531897.8849</v>
      </c>
    </row>
    <row r="2689" ht="15" customHeight="1" s="95">
      <c r="A2689" s="143" t="n">
        <v>46153</v>
      </c>
      <c r="B2689" s="94" t="n">
        <v>2026</v>
      </c>
      <c r="C2689" s="94" t="inlineStr">
        <is>
          <t>2026-Q2</t>
        </is>
      </c>
      <c r="D2689" s="186" t="n">
        <v>82145.65606759131</v>
      </c>
      <c r="E2689" s="188" t="n">
        <v>1644787760960.26</v>
      </c>
      <c r="F2689" s="188" t="n">
        <v>28066045740.0968</v>
      </c>
    </row>
    <row r="2690" ht="15" customHeight="1" s="95">
      <c r="A2690" s="143" t="n">
        <v>46154</v>
      </c>
      <c r="B2690" s="94" t="n">
        <v>2026</v>
      </c>
      <c r="C2690" s="94" t="inlineStr">
        <is>
          <t>2026-Q2</t>
        </is>
      </c>
      <c r="D2690" s="186" t="n">
        <v>81725.2077170191</v>
      </c>
      <c r="E2690" s="188" t="n">
        <v>1636812805155.44</v>
      </c>
      <c r="F2690" s="188" t="n">
        <v>33905980449.0992</v>
      </c>
    </row>
    <row r="2691" ht="15" customHeight="1" s="95">
      <c r="A2691" s="143" t="n">
        <v>46155</v>
      </c>
      <c r="B2691" s="94" t="n">
        <v>2026</v>
      </c>
      <c r="C2691" s="94" t="inlineStr">
        <is>
          <t>2026-Q2</t>
        </is>
      </c>
      <c r="D2691" s="186" t="n">
        <v>80480.8860012084</v>
      </c>
      <c r="E2691" s="188" t="n">
        <v>1611919136783.8</v>
      </c>
      <c r="F2691" s="188" t="n">
        <v>33067066161.6168</v>
      </c>
    </row>
    <row r="2692" ht="15" customHeight="1" s="95">
      <c r="A2692" s="143" t="n">
        <v>46156</v>
      </c>
      <c r="B2692" s="94" t="n">
        <v>2026</v>
      </c>
      <c r="C2692" s="94" t="inlineStr">
        <is>
          <t>2026-Q2</t>
        </is>
      </c>
      <c r="D2692" s="186" t="n">
        <v>79277.8045183824</v>
      </c>
      <c r="E2692" s="188" t="n">
        <v>1587717799781.69</v>
      </c>
      <c r="F2692" s="188" t="n">
        <v>44896912205.7427</v>
      </c>
    </row>
    <row r="2693" ht="15" customHeight="1" s="95">
      <c r="A2693" s="143" t="n">
        <v>46157</v>
      </c>
      <c r="B2693" s="94" t="n">
        <v>2026</v>
      </c>
      <c r="C2693" s="94" t="inlineStr">
        <is>
          <t>2026-Q2</t>
        </is>
      </c>
      <c r="D2693" s="186" t="n">
        <v>81051.9828878728</v>
      </c>
      <c r="E2693" s="188" t="n">
        <v>1623427124965.4</v>
      </c>
      <c r="F2693" s="188" t="n">
        <v>44287881795.3691</v>
      </c>
    </row>
    <row r="2694" ht="15" customHeight="1" s="95">
      <c r="A2694" s="143" t="n">
        <v>46158</v>
      </c>
      <c r="B2694" s="94" t="n">
        <v>2026</v>
      </c>
      <c r="C2694" s="94" t="inlineStr">
        <is>
          <t>2026-Q2</t>
        </is>
      </c>
      <c r="D2694" s="186" t="n">
        <v>79068.82024044939</v>
      </c>
      <c r="E2694" s="188" t="n">
        <v>1583853006822.62</v>
      </c>
      <c r="F2694" s="188" t="n">
        <v>38052335521.8063</v>
      </c>
    </row>
    <row r="2695" ht="15" customHeight="1" s="95">
      <c r="A2695" s="143" t="n">
        <v>46159</v>
      </c>
      <c r="B2695" s="94" t="n">
        <v>2026</v>
      </c>
      <c r="C2695" s="94" t="inlineStr">
        <is>
          <t>2026-Q2</t>
        </is>
      </c>
      <c r="D2695" s="186" t="n">
        <v>78135.0099486386</v>
      </c>
      <c r="E2695" s="188" t="n">
        <v>1565271173826.09</v>
      </c>
      <c r="F2695" s="188" t="n">
        <v>26082683404.3054</v>
      </c>
    </row>
    <row r="2696" ht="15" customHeight="1" s="95">
      <c r="A2696" s="143" t="n">
        <v>46160</v>
      </c>
      <c r="B2696" s="94" t="n">
        <v>2026</v>
      </c>
      <c r="C2696" s="94" t="inlineStr">
        <is>
          <t>2026-Q2</t>
        </is>
      </c>
      <c r="D2696" s="186" t="n">
        <v>77425.7151916849</v>
      </c>
      <c r="E2696" s="188" t="n">
        <v>1547173050294.12</v>
      </c>
      <c r="F2696" s="188" t="n">
        <v>22985134432.4523</v>
      </c>
    </row>
    <row r="2697" ht="15" customHeight="1" s="95">
      <c r="A2697" s="143" t="n">
        <v>46161</v>
      </c>
      <c r="B2697" s="94" t="n">
        <v>2026</v>
      </c>
      <c r="C2697" s="94" t="inlineStr">
        <is>
          <t>2026-Q2</t>
        </is>
      </c>
      <c r="D2697" s="186" t="n">
        <v>76952.21485949931</v>
      </c>
      <c r="E2697" s="188" t="n">
        <v>1541450290438.45</v>
      </c>
      <c r="F2697" s="188" t="n">
        <v>43600665899.5308</v>
      </c>
    </row>
    <row r="2698" ht="15" customHeight="1" s="95">
      <c r="A2698" s="143" t="n">
        <v>46162</v>
      </c>
      <c r="B2698" s="94" t="n">
        <v>2026</v>
      </c>
      <c r="C2698" s="94" t="inlineStr">
        <is>
          <t>2026-Q2</t>
        </is>
      </c>
      <c r="D2698" s="186" t="n">
        <v>76808.8105527178</v>
      </c>
      <c r="E2698" s="188" t="n">
        <v>1538679326205.18</v>
      </c>
      <c r="F2698" s="188" t="n">
        <v>28896388946.3338</v>
      </c>
    </row>
    <row r="2699" ht="15" customHeight="1" s="95">
      <c r="A2699" s="143" t="n">
        <v>46163</v>
      </c>
      <c r="B2699" s="94" t="n">
        <v>2026</v>
      </c>
      <c r="C2699" s="94" t="inlineStr">
        <is>
          <t>2026-Q2</t>
        </is>
      </c>
      <c r="D2699" s="186" t="n">
        <v>77459.9443455744</v>
      </c>
      <c r="E2699" s="188" t="n">
        <v>1551690153641.53</v>
      </c>
      <c r="F2699" s="188" t="n">
        <v>28637186323.3125</v>
      </c>
    </row>
    <row r="2700" ht="15" customHeight="1" s="95">
      <c r="A2700" s="143" t="n">
        <v>46164</v>
      </c>
      <c r="B2700" s="94" t="n">
        <v>2026</v>
      </c>
      <c r="C2700" s="94" t="inlineStr">
        <is>
          <t>2026-Q2</t>
        </is>
      </c>
      <c r="D2700" s="186" t="n">
        <v>77546.33765297419</v>
      </c>
      <c r="E2700" s="188" t="n">
        <v>1554827670331.53</v>
      </c>
      <c r="F2700" s="188" t="n">
        <v>29075253047.0522</v>
      </c>
    </row>
    <row r="2701" ht="15" customHeight="1" s="95">
      <c r="A2701" s="143" t="n">
        <v>46165</v>
      </c>
      <c r="B2701" s="94" t="n">
        <v>2026</v>
      </c>
      <c r="C2701" s="94" t="inlineStr">
        <is>
          <t>2026-Q2</t>
        </is>
      </c>
      <c r="D2701" s="186" t="n">
        <v>75482.5237995573</v>
      </c>
      <c r="E2701" s="188" t="n">
        <v>1512164902010.44</v>
      </c>
      <c r="F2701" s="188" t="n">
        <v>30314018356.6888</v>
      </c>
    </row>
    <row r="2702" ht="15" customHeight="1" s="95">
      <c r="A2702" s="143" t="n">
        <v>46166</v>
      </c>
      <c r="B2702" s="94" t="n">
        <v>2026</v>
      </c>
      <c r="C2702" s="94" t="inlineStr">
        <is>
          <t>2026-Q2</t>
        </is>
      </c>
      <c r="D2702" s="186" t="n">
        <v>76672.792890568</v>
      </c>
      <c r="E2702" s="188" t="n">
        <v>1536316423811</v>
      </c>
      <c r="F2702" s="188" t="n">
        <v>33021471675.8389</v>
      </c>
    </row>
    <row r="2703" ht="15" customHeight="1" s="95">
      <c r="A2703" s="143" t="n">
        <v>46167</v>
      </c>
      <c r="B2703" s="94" t="n">
        <v>2026</v>
      </c>
      <c r="C2703" s="94" t="inlineStr">
        <is>
          <t>2026-Q2</t>
        </is>
      </c>
      <c r="D2703" s="186" t="n">
        <v>76988.16126107219</v>
      </c>
      <c r="E2703" s="188" t="n">
        <v>1542380599548.26</v>
      </c>
      <c r="F2703" s="188" t="n">
        <v>23346751407.5956</v>
      </c>
    </row>
    <row r="2704" ht="15" customHeight="1" s="95">
      <c r="A2704" s="143" t="n">
        <v>46168</v>
      </c>
      <c r="B2704" s="94" t="n">
        <v>2026</v>
      </c>
      <c r="C2704" s="94" t="inlineStr">
        <is>
          <t>2026-Q2</t>
        </is>
      </c>
      <c r="D2704" s="186" t="n">
        <v>77274.4015218218</v>
      </c>
      <c r="E2704" s="188" t="n">
        <v>1547932919218.89</v>
      </c>
      <c r="F2704" s="188" t="n">
        <v>21579710482.7155</v>
      </c>
    </row>
    <row r="2705" ht="15" customHeight="1" s="95">
      <c r="A2705" s="143" t="n">
        <v>46169</v>
      </c>
      <c r="B2705" s="94" t="n">
        <v>2026</v>
      </c>
      <c r="C2705" s="94" t="inlineStr">
        <is>
          <t>2026-Q2</t>
        </is>
      </c>
      <c r="D2705" s="186" t="n">
        <v>75824.0633254291</v>
      </c>
      <c r="E2705" s="188" t="n">
        <v>1519006468647.74</v>
      </c>
      <c r="F2705" s="188" t="n">
        <v>39159693387.2736</v>
      </c>
    </row>
    <row r="2706" ht="15" customHeight="1" s="95">
      <c r="A2706" s="143" t="n">
        <v>46170</v>
      </c>
      <c r="B2706" s="94" t="n">
        <v>2026</v>
      </c>
      <c r="C2706" s="94" t="inlineStr">
        <is>
          <t>2026-Q2</t>
        </is>
      </c>
      <c r="D2706" s="186" t="n">
        <v>74352.69928002389</v>
      </c>
      <c r="E2706" s="188" t="n">
        <v>1489192939341.79</v>
      </c>
      <c r="F2706" s="188" t="n">
        <v>36456563334.1027</v>
      </c>
    </row>
    <row r="2707" ht="15" customHeight="1" s="95">
      <c r="A2707" s="143" t="n">
        <v>46171</v>
      </c>
      <c r="B2707" s="94" t="n">
        <v>2026</v>
      </c>
      <c r="C2707" s="94" t="inlineStr">
        <is>
          <t>2026-Q2</t>
        </is>
      </c>
      <c r="D2707" s="186" t="n">
        <v>73539.8418960617</v>
      </c>
      <c r="E2707" s="188" t="n">
        <v>1473190543991.8</v>
      </c>
      <c r="F2707" s="188" t="n">
        <v>39482623576.1436</v>
      </c>
    </row>
    <row r="2708" ht="15" customHeight="1" s="95">
      <c r="A2708" s="143" t="n">
        <v>46172</v>
      </c>
      <c r="B2708" s="94" t="n">
        <v>2026</v>
      </c>
      <c r="C2708" s="94" t="inlineStr">
        <is>
          <t>2026-Q2</t>
        </is>
      </c>
      <c r="D2708" s="186" t="n">
        <v>73382.7183142557</v>
      </c>
      <c r="E2708" s="188" t="n">
        <v>1470438487484.58</v>
      </c>
      <c r="F2708" s="188" t="n">
        <v>35500171846.4204</v>
      </c>
    </row>
    <row r="2709" ht="15" customHeight="1" s="95">
      <c r="A2709" s="143" t="n">
        <v>46173</v>
      </c>
      <c r="B2709" s="94" t="n">
        <v>2026</v>
      </c>
      <c r="C2709" s="94" t="inlineStr">
        <is>
          <t>2026-Q2</t>
        </is>
      </c>
      <c r="D2709" s="186" t="n">
        <v>73751.06787328031</v>
      </c>
      <c r="E2709" s="188" t="n">
        <v>1477685075481.03</v>
      </c>
      <c r="F2709" s="188" t="n">
        <v>18041892698.4912</v>
      </c>
    </row>
    <row r="2710" ht="15" customHeight="1" s="95">
      <c r="A2710" s="143" t="n">
        <v>46174</v>
      </c>
      <c r="B2710" s="94" t="n">
        <v>2026</v>
      </c>
      <c r="C2710" s="94" t="inlineStr">
        <is>
          <t>2026-Q2</t>
        </is>
      </c>
      <c r="D2710" s="186" t="n">
        <v>73593.37119702859</v>
      </c>
      <c r="E2710" s="188" t="n">
        <v>1474566905230.03</v>
      </c>
      <c r="F2710" s="188" t="n">
        <v>16753747818.538</v>
      </c>
    </row>
    <row r="2711" ht="15" customHeight="1" s="95">
      <c r="A2711" s="143" t="n">
        <v>46175</v>
      </c>
      <c r="B2711" s="94" t="n">
        <v>2026</v>
      </c>
      <c r="C2711" s="94" t="inlineStr">
        <is>
          <t>2026-Q2</t>
        </is>
      </c>
      <c r="D2711" s="186" t="n">
        <v>71360.32521325789</v>
      </c>
      <c r="E2711" s="188" t="n">
        <v>1430970894389.78</v>
      </c>
      <c r="F2711" s="188" t="n">
        <v>51807946724.1984</v>
      </c>
    </row>
    <row r="2712" ht="15" customHeight="1" s="95">
      <c r="A2712" s="143" t="n">
        <v>46176</v>
      </c>
      <c r="B2712" s="94" t="n">
        <v>2026</v>
      </c>
      <c r="C2712" s="94" t="inlineStr">
        <is>
          <t>2026-Q2</t>
        </is>
      </c>
      <c r="D2712" s="186" t="n">
        <v>66649.85561928029</v>
      </c>
      <c r="E2712" s="188" t="n">
        <v>1335527869867.5</v>
      </c>
      <c r="F2712" s="188" t="n">
        <v>66210108956.0754</v>
      </c>
    </row>
    <row r="2713" ht="15" customHeight="1" s="95">
      <c r="A2713" s="143" t="n">
        <v>46177</v>
      </c>
      <c r="B2713" s="94" t="n">
        <v>2026</v>
      </c>
      <c r="C2713" s="94" t="inlineStr">
        <is>
          <t>2026-Q2</t>
        </is>
      </c>
      <c r="D2713" s="186" t="n">
        <v>64021.889158675</v>
      </c>
      <c r="E2713" s="188" t="n">
        <v>1282892747601.91</v>
      </c>
      <c r="F2713" s="188" t="n">
        <v>47109696433.6755</v>
      </c>
    </row>
    <row r="2714" ht="15" customHeight="1" s="95">
      <c r="A2714" s="143" t="n">
        <v>46178</v>
      </c>
      <c r="B2714" s="94" t="n">
        <v>2026</v>
      </c>
      <c r="C2714" s="94" t="inlineStr">
        <is>
          <t>2026-Q2</t>
        </is>
      </c>
      <c r="D2714" s="186" t="n">
        <v>63796.2543917893</v>
      </c>
      <c r="E2714" s="188" t="n">
        <v>1277535354121.54</v>
      </c>
      <c r="F2714" s="188" t="n">
        <v>65428213201.189</v>
      </c>
    </row>
    <row r="2715" ht="15" customHeight="1" s="95">
      <c r="A2715" s="143" t="n">
        <v>46179</v>
      </c>
      <c r="B2715" s="94" t="n">
        <v>2026</v>
      </c>
      <c r="C2715" s="94" t="inlineStr">
        <is>
          <t>2026-Q2</t>
        </is>
      </c>
      <c r="D2715" s="186" t="n">
        <v>60921.7944151649</v>
      </c>
      <c r="E2715" s="188" t="n">
        <v>1221126222047.21</v>
      </c>
      <c r="F2715" s="188" t="n">
        <v>74296044994.81371</v>
      </c>
    </row>
    <row r="2716" ht="15" customHeight="1" s="95">
      <c r="A2716" s="143" t="n">
        <v>46180</v>
      </c>
      <c r="B2716" s="94" t="n">
        <v>2026</v>
      </c>
      <c r="C2716" s="94" t="inlineStr">
        <is>
          <t>2026-Q2</t>
        </is>
      </c>
      <c r="D2716" s="186" t="n">
        <v>60861.8801289763</v>
      </c>
      <c r="E2716" s="188" t="n">
        <v>1219858358359.38</v>
      </c>
      <c r="F2716" s="188" t="n">
        <v>31865516854.6098</v>
      </c>
    </row>
    <row r="2717" ht="15" customHeight="1" s="95">
      <c r="A2717" s="143" t="n">
        <v>46181</v>
      </c>
      <c r="B2717" s="94" t="n">
        <v>2026</v>
      </c>
      <c r="C2717" s="94" t="inlineStr">
        <is>
          <t>2026-Q2</t>
        </is>
      </c>
      <c r="D2717" s="186" t="n">
        <v>63254.5721505068</v>
      </c>
      <c r="E2717" s="188" t="n">
        <v>1266954887605.99</v>
      </c>
      <c r="F2717" s="188" t="n">
        <v>37684637505.9084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style="95" min="1" max="1"/>
    <col width="16" customWidth="1" style="95" min="2" max="2"/>
    <col width="17" customWidth="1" style="95" min="3" max="3"/>
    <col width="18" customWidth="1" style="95" min="4" max="4"/>
    <col width="15" customWidth="1" style="95" min="5" max="5"/>
    <col width="16" customWidth="1" style="95" min="6" max="6"/>
    <col width="17" customWidth="1" style="95" min="7" max="7"/>
    <col width="52" customWidth="1" style="95" min="8" max="8"/>
  </cols>
  <sheetData>
    <row r="1">
      <c r="A1" s="189" t="inlineStr">
        <is>
          <t>Tether Equity &amp; Profit (USD millions) — from BDO ISAE-3000 attestations</t>
        </is>
      </c>
    </row>
    <row r="2">
      <c r="A2" s="190" t="inlineStr">
        <is>
          <t>Reserve = token-issuing entities (Tether International + Tether Limited); Group = consolidated incl. Tether Investments. Profit_Q = per-quarter; Profit_YTD = cumulative within calendar year. Pre-2024: equity/profit not disclosed (reserves-only reports).</t>
        </is>
      </c>
    </row>
    <row r="4">
      <c r="A4" s="191" t="inlineStr">
        <is>
          <t>Quarter</t>
        </is>
      </c>
      <c r="B4" s="191" t="inlineStr">
        <is>
          <t>Reserve_Equity_m</t>
        </is>
      </c>
      <c r="C4" s="191" t="inlineStr">
        <is>
          <t>Reserve_Profit_Q_m</t>
        </is>
      </c>
      <c r="D4" s="191" t="inlineStr">
        <is>
          <t>Reserve_Profit_YTD_m</t>
        </is>
      </c>
      <c r="E4" s="191" t="inlineStr">
        <is>
          <t>Group_Equity_m</t>
        </is>
      </c>
      <c r="F4" s="191" t="inlineStr">
        <is>
          <t>Group_Profit_Q_m</t>
        </is>
      </c>
      <c r="G4" s="191" t="inlineStr">
        <is>
          <t>Group_Profit_YTD_m</t>
        </is>
      </c>
      <c r="H4" s="191" t="inlineStr">
        <is>
          <t>Source</t>
        </is>
      </c>
    </row>
    <row r="5">
      <c r="A5" s="192" t="inlineStr">
        <is>
          <t>2022-Q3</t>
        </is>
      </c>
      <c r="B5" s="193" t="inlineStr">
        <is>
          <t>N/A</t>
        </is>
      </c>
      <c r="C5" s="193" t="inlineStr">
        <is>
          <t>N/A</t>
        </is>
      </c>
      <c r="D5" s="193" t="inlineStr">
        <is>
          <t>N/A</t>
        </is>
      </c>
      <c r="E5" s="193" t="inlineStr">
        <is>
          <t>N/A</t>
        </is>
      </c>
      <c r="F5" s="193" t="inlineStr">
        <is>
          <t>N/A</t>
        </is>
      </c>
      <c r="G5" s="193" t="inlineStr">
        <is>
          <t>N/A</t>
        </is>
      </c>
      <c r="H5" s="194" t="inlineStr">
        <is>
          <t>CRR (reserves only) — equity/profit not disclosed</t>
        </is>
      </c>
    </row>
    <row r="6">
      <c r="A6" s="192" t="inlineStr">
        <is>
          <t>2022-Q4</t>
        </is>
      </c>
      <c r="B6" s="193" t="inlineStr">
        <is>
          <t>N/A</t>
        </is>
      </c>
      <c r="C6" s="193" t="inlineStr">
        <is>
          <t>N/A</t>
        </is>
      </c>
      <c r="D6" s="193" t="inlineStr">
        <is>
          <t>N/A</t>
        </is>
      </c>
      <c r="E6" s="193" t="inlineStr">
        <is>
          <t>N/A</t>
        </is>
      </c>
      <c r="F6" s="193" t="inlineStr">
        <is>
          <t>N/A</t>
        </is>
      </c>
      <c r="G6" s="193" t="inlineStr">
        <is>
          <t>N/A</t>
        </is>
      </c>
      <c r="H6" s="194" t="inlineStr">
        <is>
          <t>CRR (reserves only) — equity/profit not disclosed</t>
        </is>
      </c>
    </row>
    <row r="7">
      <c r="A7" s="192" t="inlineStr">
        <is>
          <t>2023-Q1</t>
        </is>
      </c>
      <c r="B7" s="193" t="inlineStr">
        <is>
          <t>N/A</t>
        </is>
      </c>
      <c r="C7" s="193" t="inlineStr">
        <is>
          <t>N/A</t>
        </is>
      </c>
      <c r="D7" s="193" t="inlineStr">
        <is>
          <t>N/A</t>
        </is>
      </c>
      <c r="E7" s="193" t="inlineStr">
        <is>
          <t>N/A</t>
        </is>
      </c>
      <c r="F7" s="193" t="inlineStr">
        <is>
          <t>N/A</t>
        </is>
      </c>
      <c r="G7" s="193" t="inlineStr">
        <is>
          <t>N/A</t>
        </is>
      </c>
      <c r="H7" s="194" t="inlineStr">
        <is>
          <t>CRR (reserves only) — equity/profit not disclosed</t>
        </is>
      </c>
    </row>
    <row r="8">
      <c r="A8" s="192" t="inlineStr">
        <is>
          <t>2023-Q2</t>
        </is>
      </c>
      <c r="B8" s="193" t="inlineStr">
        <is>
          <t>N/A</t>
        </is>
      </c>
      <c r="C8" s="193" t="inlineStr">
        <is>
          <t>N/A</t>
        </is>
      </c>
      <c r="D8" s="193" t="inlineStr">
        <is>
          <t>N/A</t>
        </is>
      </c>
      <c r="E8" s="193" t="inlineStr">
        <is>
          <t>N/A</t>
        </is>
      </c>
      <c r="F8" s="193" t="inlineStr">
        <is>
          <t>N/A</t>
        </is>
      </c>
      <c r="G8" s="193" t="inlineStr">
        <is>
          <t>N/A</t>
        </is>
      </c>
      <c r="H8" s="194" t="inlineStr">
        <is>
          <t>CRR (reserves only) — equity/profit not disclosed</t>
        </is>
      </c>
    </row>
    <row r="9">
      <c r="A9" s="192" t="inlineStr">
        <is>
          <t>2023-Q3</t>
        </is>
      </c>
      <c r="B9" s="193" t="inlineStr">
        <is>
          <t>N/A</t>
        </is>
      </c>
      <c r="C9" s="193" t="inlineStr">
        <is>
          <t>N/A</t>
        </is>
      </c>
      <c r="D9" s="193" t="inlineStr">
        <is>
          <t>N/A</t>
        </is>
      </c>
      <c r="E9" s="193" t="inlineStr">
        <is>
          <t>N/A</t>
        </is>
      </c>
      <c r="F9" s="193" t="inlineStr">
        <is>
          <t>N/A</t>
        </is>
      </c>
      <c r="G9" s="193" t="inlineStr">
        <is>
          <t>N/A</t>
        </is>
      </c>
      <c r="H9" s="194" t="inlineStr">
        <is>
          <t>CRR (reserves only) — equity/profit not disclosed</t>
        </is>
      </c>
    </row>
    <row r="10">
      <c r="A10" s="192" t="inlineStr">
        <is>
          <t>2023-Q4</t>
        </is>
      </c>
      <c r="B10" s="195" t="n">
        <v>5203</v>
      </c>
      <c r="C10" s="193" t="inlineStr">
        <is>
          <t>N/A</t>
        </is>
      </c>
      <c r="D10" s="193" t="inlineStr">
        <is>
          <t>N/A</t>
        </is>
      </c>
      <c r="E10" s="195" t="n">
        <v>7005</v>
      </c>
      <c r="F10" s="193" t="inlineStr">
        <is>
          <t>N/A</t>
        </is>
      </c>
      <c r="G10" s="193" t="inlineStr">
        <is>
          <t>N/A</t>
        </is>
      </c>
      <c r="H10" s="194" t="inlineStr">
        <is>
          <t>Comparative opening balance in 2024 consolidated report</t>
        </is>
      </c>
    </row>
    <row r="11">
      <c r="A11" s="192" t="inlineStr">
        <is>
          <t>2024-Q1</t>
        </is>
      </c>
      <c r="B11" s="195" t="n">
        <v>6261</v>
      </c>
      <c r="C11" s="195" t="n">
        <v>4306</v>
      </c>
      <c r="D11" s="195" t="n">
        <v>4306</v>
      </c>
      <c r="E11" s="195" t="n">
        <v>11373</v>
      </c>
      <c r="F11" s="195" t="n">
        <v>4522</v>
      </c>
      <c r="G11" s="195" t="n">
        <v>4522</v>
      </c>
      <c r="H11" s="194" t="inlineStr">
        <is>
          <t>Consolidated Financials 31-03-2024</t>
        </is>
      </c>
    </row>
    <row r="12">
      <c r="A12" s="192" t="inlineStr">
        <is>
          <t>2024-Q2</t>
        </is>
      </c>
      <c r="B12" s="195" t="n">
        <v>5334</v>
      </c>
      <c r="C12" s="193" t="inlineStr">
        <is>
          <t>N/A</t>
        </is>
      </c>
      <c r="D12" s="193" t="inlineStr">
        <is>
          <t>N/A</t>
        </is>
      </c>
      <c r="E12" s="195" t="n">
        <v>11893</v>
      </c>
      <c r="F12" s="195" t="n">
        <v>670</v>
      </c>
      <c r="G12" s="195" t="n">
        <v>5192</v>
      </c>
      <c r="H12" s="194" t="inlineStr">
        <is>
          <t>Consolidated Financials 30-06-2024</t>
        </is>
      </c>
    </row>
    <row r="13">
      <c r="A13" s="192" t="inlineStr">
        <is>
          <t>2024-Q3</t>
        </is>
      </c>
      <c r="B13" s="195" t="n">
        <v>6092</v>
      </c>
      <c r="C13" s="195" t="n">
        <v>2999</v>
      </c>
      <c r="D13" s="195" t="n">
        <v>7305</v>
      </c>
      <c r="E13" s="195" t="n">
        <v>14152</v>
      </c>
      <c r="F13" s="195" t="n">
        <v>2505</v>
      </c>
      <c r="G13" s="195" t="n">
        <v>7697</v>
      </c>
      <c r="H13" s="194" t="inlineStr">
        <is>
          <t>Consolidated Financials 30-09-2024</t>
        </is>
      </c>
    </row>
    <row r="14">
      <c r="A14" s="192" t="inlineStr">
        <is>
          <t>2024-Q4</t>
        </is>
      </c>
      <c r="B14" s="195" t="n">
        <v>7087</v>
      </c>
      <c r="C14" s="195" t="n">
        <v>4834</v>
      </c>
      <c r="D14" s="195" t="n">
        <v>12139</v>
      </c>
      <c r="E14" s="195" t="n">
        <v>20030</v>
      </c>
      <c r="F14" s="195" t="n">
        <v>6027</v>
      </c>
      <c r="G14" s="195" t="n">
        <v>13724</v>
      </c>
      <c r="H14" s="194" t="inlineStr">
        <is>
          <t>Consolidated Financials 31-12-2024</t>
        </is>
      </c>
    </row>
    <row r="15">
      <c r="A15" s="192" t="inlineStr">
        <is>
          <t>2025-Q1</t>
        </is>
      </c>
      <c r="B15" s="195" t="n">
        <v>5592</v>
      </c>
      <c r="C15" s="195" t="n">
        <v>852</v>
      </c>
      <c r="D15" s="195" t="n">
        <v>852</v>
      </c>
      <c r="E15" s="193" t="inlineStr">
        <is>
          <t>N/A</t>
        </is>
      </c>
      <c r="F15" s="193" t="inlineStr">
        <is>
          <t>N/A</t>
        </is>
      </c>
      <c r="G15" s="193" t="inlineStr">
        <is>
          <t>N/A</t>
        </is>
      </c>
      <c r="H15" s="194" t="inlineStr">
        <is>
          <t>Int'l Financial Figures 31-03-2025 (reserve entity)</t>
        </is>
      </c>
    </row>
    <row r="16">
      <c r="A16" s="192" t="inlineStr">
        <is>
          <t>2025-Q2</t>
        </is>
      </c>
      <c r="B16" s="195" t="n">
        <v>5467</v>
      </c>
      <c r="C16" s="195" t="n">
        <v>4885</v>
      </c>
      <c r="D16" s="195" t="n">
        <v>5737</v>
      </c>
      <c r="E16" s="193" t="inlineStr">
        <is>
          <t>N/A</t>
        </is>
      </c>
      <c r="F16" s="193" t="inlineStr">
        <is>
          <t>N/A</t>
        </is>
      </c>
      <c r="G16" s="193" t="inlineStr">
        <is>
          <t>N/A</t>
        </is>
      </c>
      <c r="H16" s="194" t="inlineStr">
        <is>
          <t>Int'l Financial Figures 30-06-2025 (reserve entity)</t>
        </is>
      </c>
    </row>
    <row r="17">
      <c r="A17" s="192" t="inlineStr">
        <is>
          <t>2025-Q3</t>
        </is>
      </c>
      <c r="B17" s="195" t="n">
        <v>6778</v>
      </c>
      <c r="C17" s="195" t="n">
        <v>4339</v>
      </c>
      <c r="D17" s="195" t="n">
        <v>10076</v>
      </c>
      <c r="E17" s="193" t="inlineStr">
        <is>
          <t>N/A</t>
        </is>
      </c>
      <c r="F17" s="193" t="inlineStr">
        <is>
          <t>N/A</t>
        </is>
      </c>
      <c r="G17" s="193" t="inlineStr">
        <is>
          <t>N/A</t>
        </is>
      </c>
      <c r="H17" s="194" t="inlineStr">
        <is>
          <t>Int'l Financial Figures 30-09-2025 (reserve entity)</t>
        </is>
      </c>
    </row>
    <row r="18">
      <c r="A18" s="192" t="inlineStr">
        <is>
          <t>2025-Q4</t>
        </is>
      </c>
      <c r="B18" s="195" t="n">
        <v>6338</v>
      </c>
      <c r="C18" s="195" t="n">
        <v>30</v>
      </c>
      <c r="D18" s="195" t="n">
        <v>10106</v>
      </c>
      <c r="E18" s="193" t="inlineStr">
        <is>
          <t>N/A</t>
        </is>
      </c>
      <c r="F18" s="193" t="inlineStr">
        <is>
          <t>N/A</t>
        </is>
      </c>
      <c r="G18" s="193" t="inlineStr">
        <is>
          <t>N/A</t>
        </is>
      </c>
      <c r="H18" s="194" t="inlineStr">
        <is>
          <t>Int'l Financial Figures 31-12-2025 (reserve entity)</t>
        </is>
      </c>
    </row>
  </sheetData>
  <mergeCells count="1"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style="95" min="1" max="1"/>
    <col width="12" customWidth="1" style="95" min="2" max="2"/>
    <col width="15" customWidth="1" style="95" min="3" max="3"/>
    <col width="13" customWidth="1" style="95" min="4" max="4"/>
    <col width="16" customWidth="1" style="95" min="5" max="5"/>
    <col width="15" customWidth="1" style="95" min="6" max="6"/>
    <col width="16" customWidth="1" style="95" min="7" max="7"/>
    <col width="56" customWidth="1" style="95" min="8" max="8"/>
  </cols>
  <sheetData>
    <row r="1">
      <c r="A1" s="189" t="inlineStr">
        <is>
          <t>Circle / USDC Equity &amp; Profit (USD millions) — from SEC filings (S-1 audited 2022-24; 10-Q 2025)</t>
        </is>
      </c>
    </row>
    <row r="2" ht="58" customHeight="1" s="95">
      <c r="A2" s="196" t="inlineStr">
        <is>
          <t>Circle Internet Group, Inc. is a US-listed public company (CIK 0001876042). Figures are GROUP/consolidated. The USDC reserve runs ~1:1 (assets approx. equal circulation), so reserve-level equity is structurally near-zero every quarter (e.g. FY2024 reserve surplus $191m on $43.9bn). Yield is swept to the parent as "reserve income", not retained in the reserve. Net income is therefore a parent number, not a reserve buffer. Pre-IPO equity is distorted by redeemable convertible preferred stock and the 2022 SPAC-related writedown; group equity jumps in 2025 from the June IPO + August follow-on.</t>
        </is>
      </c>
    </row>
    <row r="4">
      <c r="A4" s="191" t="inlineStr">
        <is>
          <t>Period</t>
        </is>
      </c>
      <c r="B4" s="191" t="inlineStr">
        <is>
          <t>Quarter_tag</t>
        </is>
      </c>
      <c r="C4" s="191" t="inlineStr">
        <is>
          <t>Group_Equity_m</t>
        </is>
      </c>
      <c r="D4" s="191" t="inlineStr">
        <is>
          <t>Net_Income_m</t>
        </is>
      </c>
      <c r="E4" s="191" t="inlineStr">
        <is>
          <t>Reserve_Income_m</t>
        </is>
      </c>
      <c r="F4" s="191" t="inlineStr">
        <is>
          <t>Total_Revenue_m</t>
        </is>
      </c>
      <c r="G4" s="191" t="inlineStr">
        <is>
          <t>Reserve_Surplus_m</t>
        </is>
      </c>
      <c r="H4" s="191" t="inlineStr">
        <is>
          <t>Source</t>
        </is>
      </c>
    </row>
    <row r="5">
      <c r="A5" s="192" t="inlineStr">
        <is>
          <t>FY2022</t>
        </is>
      </c>
      <c r="B5" s="192" t="inlineStr">
        <is>
          <t>2022-Q4</t>
        </is>
      </c>
      <c r="C5" s="193" t="inlineStr">
        <is>
          <t>N/A</t>
        </is>
      </c>
      <c r="D5" s="195" t="n">
        <v>-761.8</v>
      </c>
      <c r="E5" s="195" t="n">
        <v>735.9</v>
      </c>
      <c r="F5" s="195" t="n">
        <v>772.1</v>
      </c>
      <c r="G5" s="193" t="inlineStr">
        <is>
          <t>N/A</t>
        </is>
      </c>
      <c r="H5" s="194" t="inlineStr">
        <is>
          <t>S-1 audited; net loss incl. SPAC-related writedown</t>
        </is>
      </c>
    </row>
    <row r="6">
      <c r="A6" s="192" t="inlineStr">
        <is>
          <t>FY2023</t>
        </is>
      </c>
      <c r="B6" s="192" t="inlineStr">
        <is>
          <t>2023-Q4</t>
        </is>
      </c>
      <c r="C6" s="193" t="inlineStr">
        <is>
          <t>N/A</t>
        </is>
      </c>
      <c r="D6" s="195" t="n">
        <v>271.5</v>
      </c>
      <c r="E6" s="195" t="n">
        <v>1430.6</v>
      </c>
      <c r="F6" s="195" t="n">
        <v>1450.5</v>
      </c>
      <c r="G6" s="193" t="inlineStr">
        <is>
          <t>N/A</t>
        </is>
      </c>
      <c r="H6" s="194" t="inlineStr">
        <is>
          <t>S-1 audited FY2023</t>
        </is>
      </c>
    </row>
    <row r="7">
      <c r="A7" s="192" t="inlineStr">
        <is>
          <t>FY2024</t>
        </is>
      </c>
      <c r="B7" s="192" t="inlineStr">
        <is>
          <t>2024-Q4</t>
        </is>
      </c>
      <c r="C7" s="195" t="n">
        <v>570.5</v>
      </c>
      <c r="D7" s="195" t="n">
        <v>156.9</v>
      </c>
      <c r="E7" s="195" t="n">
        <v>1661.1</v>
      </c>
      <c r="F7" s="195" t="n">
        <v>1676.3</v>
      </c>
      <c r="G7" s="195" t="n">
        <v>191.2</v>
      </c>
      <c r="H7" s="194" t="inlineStr">
        <is>
          <t>S-1 audited FY2024; reserve surplus $191m on $43.9bn</t>
        </is>
      </c>
    </row>
    <row r="8">
      <c r="A8" s="192" t="inlineStr">
        <is>
          <t>Q1-2025</t>
        </is>
      </c>
      <c r="B8" s="192" t="inlineStr">
        <is>
          <t>2025-Q1</t>
        </is>
      </c>
      <c r="C8" s="193" t="inlineStr">
        <is>
          <t>N/A</t>
        </is>
      </c>
      <c r="D8" s="195" t="n">
        <v>-482.1</v>
      </c>
      <c r="E8" s="193" t="inlineStr">
        <is>
          <t>N/A</t>
        </is>
      </c>
      <c r="F8" s="195" t="n">
        <v>658.1</v>
      </c>
      <c r="G8" s="193" t="inlineStr">
        <is>
          <t>N/A</t>
        </is>
      </c>
      <c r="H8" s="194" t="inlineStr">
        <is>
          <t>10-Q Q1 2025; net loss incl. IPO-related charges</t>
        </is>
      </c>
    </row>
    <row r="9">
      <c r="A9" s="192" t="inlineStr">
        <is>
          <t>Q2-2025</t>
        </is>
      </c>
      <c r="B9" s="192" t="inlineStr">
        <is>
          <t>2025-Q2</t>
        </is>
      </c>
      <c r="C9" s="193" t="inlineStr">
        <is>
          <t>N/A</t>
        </is>
      </c>
      <c r="D9" s="193" t="inlineStr">
        <is>
          <t>N/A</t>
        </is>
      </c>
      <c r="E9" s="193" t="inlineStr">
        <is>
          <t>N/A</t>
        </is>
      </c>
      <c r="F9" s="195" t="n">
        <v>658.1</v>
      </c>
      <c r="G9" s="193" t="inlineStr">
        <is>
          <t>N/A</t>
        </is>
      </c>
      <c r="H9" s="194" t="inlineStr">
        <is>
          <t>10-Q Q2 2025</t>
        </is>
      </c>
    </row>
    <row r="10">
      <c r="A10" s="192" t="inlineStr">
        <is>
          <t>Q3-2025</t>
        </is>
      </c>
      <c r="B10" s="192" t="inlineStr">
        <is>
          <t>2025-Q3</t>
        </is>
      </c>
      <c r="C10" s="195" t="n">
        <v>3020</v>
      </c>
      <c r="D10" s="195" t="n">
        <v>214.4</v>
      </c>
      <c r="E10" s="193" t="inlineStr">
        <is>
          <t>N/A</t>
        </is>
      </c>
      <c r="F10" s="195" t="n">
        <v>739.8</v>
      </c>
      <c r="G10" s="195" t="n">
        <v>100</v>
      </c>
      <c r="H10" s="194" t="inlineStr">
        <is>
          <t>10-Q Q3 2025; equity $3.02bn post-IPO+follow-on; surplus ~$100m</t>
        </is>
      </c>
    </row>
    <row r="11">
      <c r="A11" s="192" t="inlineStr">
        <is>
          <t>FY2025</t>
        </is>
      </c>
      <c r="B11" s="192" t="inlineStr">
        <is>
          <t>2025-Q4</t>
        </is>
      </c>
      <c r="C11" s="195" t="n">
        <v>3330.8</v>
      </c>
      <c r="D11" s="193" t="inlineStr">
        <is>
          <t>N/A</t>
        </is>
      </c>
      <c r="E11" s="193" t="inlineStr">
        <is>
          <t>N/A</t>
        </is>
      </c>
      <c r="F11" s="193" t="inlineStr">
        <is>
          <t>N/A</t>
        </is>
      </c>
      <c r="G11" s="195" t="n">
        <v>155.3</v>
      </c>
      <c r="H11" s="194" t="inlineStr">
        <is>
          <t>Consolidated balance sheet Dec-2025; equity $3.33bn; surplus $155m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2026-06-04T15:39:37Z</dcterms:created>
  <dcterms:modified xmlns:dcterms="http://purl.org/dc/terms/" xmlns:xsi="http://www.w3.org/2001/XMLSchema-instance" xsi:type="dcterms:W3CDTF">2026-06-28T16:40:09Z</dcterms:modified>
  <cp:revision>0</cp:revision>
</cp:coreProperties>
</file>